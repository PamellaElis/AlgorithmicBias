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extLst>
    <ext uri="GoogleSheetsCustomDataVersion2">
      <go:sheetsCustomData xmlns:go="http://customooxmlschemas.google.com/" r:id="rId5" roundtripDataChecksum="JAzJXSJoKKow32hEBZ/ki+dVX/DtENMpvmqEFh6qijY="/>
    </ext>
  </extLst>
</workbook>
</file>

<file path=xl/sharedStrings.xml><?xml version="1.0" encoding="utf-8"?>
<sst xmlns="http://schemas.openxmlformats.org/spreadsheetml/2006/main" count="66335" uniqueCount="8730">
  <si>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</si>
  <si>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</si>
  <si>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</si>
  <si>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</si>
  <si>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</si>
  <si>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</si>
  <si>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</si>
  <si>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</si>
  <si>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</si>
  <si>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</si>
  <si>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</si>
  <si>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</si>
  <si>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</si>
  <si>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</si>
  <si>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</si>
  <si>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</si>
  <si>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</si>
  <si>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</si>
  <si>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</si>
  <si>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</si>
  <si>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</si>
  <si>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</si>
  <si>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</si>
  <si>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</si>
  <si>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</si>
  <si>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</si>
  <si>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</si>
  <si>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</si>
  <si>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</si>
  <si>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</si>
  <si>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</si>
  <si>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</si>
  <si>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</si>
  <si>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</si>
  <si>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</si>
  <si>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</si>
  <si>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</si>
  <si>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</si>
  <si>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</si>
  <si>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</si>
  <si>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</si>
  <si>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</si>
  <si>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</si>
  <si>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</si>
  <si>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</si>
  <si>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</si>
  <si>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</si>
  <si>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</si>
  <si>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</si>
  <si>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</si>
  <si>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</si>
  <si>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</si>
  <si>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</si>
  <si>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</si>
  <si>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</si>
  <si>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</si>
  <si>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</si>
  <si>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</si>
  <si>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</si>
  <si>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</si>
  <si>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</si>
  <si>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</si>
  <si>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</si>
  <si>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</si>
  <si>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</si>
  <si>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</si>
  <si>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</si>
  <si>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</si>
  <si>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</si>
  <si>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</si>
  <si>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</si>
  <si>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</si>
  <si>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</si>
  <si>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Zhang, SY; Fu, DC; Liang, WZ; Zhang, Z; Yu, B; Cai, PL; Yao, BZ</t>
  </si>
  <si>
    <t/>
  </si>
  <si>
    <t>Zhang, Siyao; Fu, Daocheng; Liang, Wenzhe; Zhang, Zhao; Yu, Bin; Cai, Pinlong; Yao, Baozhen</t>
  </si>
  <si>
    <t>TrafficGPT: Viewing, processing and interacting with traffic foundation models</t>
  </si>
  <si>
    <t>TRANSPORT POLICY</t>
  </si>
  <si>
    <t>Article</t>
  </si>
  <si>
    <t>LLM; ITS; Traffic management; Supported decision-making</t>
  </si>
  <si>
    <t>ANALYTICS</t>
  </si>
  <si>
    <t>With the promotion of ChatGPT to the public, Large language models indeed showcase remarkable common sense, reasoning, and planning skills, frequently providing insightful guidance. These capabilities hold significant promise for their application in urban traffic management and control. However, large language models (LLMs) struggle with addressing traffic issues, especially processing numerical data and interacting with simulations, limiting their potential in solving traffic-related challenges. In parallel, specialized traffic foundation models exist but are typically designed for specific tasks with limited input -output interactions. Combining these models with LLMs presents an opportunity to enhance their capacity for tackling complex traffic-related problems and providing insightful suggestions. To bridge this gap, we present TrafficGPT -a fusion of multiple LLMs and traffic foundation models. This integration yields the following key enhancements: 1) empowering LLMs with the capacity to view, analyze, process traffic data, and provide insightful decision support for urban transportation system management; 2) facilitating the intelligent deconstruction of broad and complex tasks and sequential utilization of traffic foundation models for their gradual completion; 3) aiding human decision-making in traffic control through natural language dialogues; and 4) enabling interactive feedback and solicitation of revised outcomes. By seamlessly intertwining large language model and traffic expertise, TrafficGPT not only advances traffic management but also offers a novel approach to leveraging AI capabilities in this domain. The TrafficGPT demo can be found in https://github.com/lijlansg/TrafficGPT.git.</t>
  </si>
  <si>
    <t>0967-070X</t>
  </si>
  <si>
    <t>1879-310X</t>
  </si>
  <si>
    <t>MAY</t>
  </si>
  <si>
    <t>10.1016/j.tranpol.2024.03.006</t>
  </si>
  <si>
    <t>MAR 2024</t>
  </si>
  <si>
    <t>Business &amp; Economics; Transportation</t>
  </si>
  <si>
    <t>WOS:001225808400001</t>
  </si>
  <si>
    <t>Huang, KH; Chan, HP; Fung, M; Qiu, HY; Zhou, MY; Joty, S; Chang, SF; Ji, H</t>
  </si>
  <si>
    <t>Huang, Kung-Hsiang; Chan, Hou Pong; Fung, May; Qiu, Haoyi; Zhou, Mingyang; Joty, Shafiq; Chang, Shih-Fu; Ji, Heng</t>
  </si>
  <si>
    <t>From Pixels to Insights: A Survey on Automatic Chart Understanding in the Era of Large Foundation Models</t>
  </si>
  <si>
    <t>IEEE TRANSACTIONS ON KNOWLEDGE AND DATA ENGINEERING</t>
  </si>
  <si>
    <t>Visualization; Cognition; Surveys; Data models; Measurement; Data mining; Market research; Feature extraction; Data visualization; Complexity theory; Chart understanding; chart question answering; chart captioning; multimodality; large vision-language models; knowledgeable foundation model reasoning</t>
  </si>
  <si>
    <t>Data visualization in the form of charts plays a pivotal role in data analysis, offering critical insights and aiding in informed decision-making. Automatic chart understanding has witnessed significant advancements with the rise of large foundation models in recent years. Foundation models, such as large language models, have revolutionized various natural language processing tasks and are increasingly being applied to chart understanding tasks. This survey paper provides a comprehensive overview of the recent developments, challenges, and future directions in chart understanding within the context of these foundation models. We review fundamental building blocks crucial for studying chart understanding tasks. Additionally, we explore various tasks and their evaluation metrics and sources of both charts and textual inputs. Various modeling strategies are then examined, encompassing both classification-based and generation-based approaches, along with tool augmentation techniques that enhance chart understanding performance. Furthermore, we discuss the state-of-the-art performance of each task and discuss how we can improve the performance. Challenges and future directions are addressed, highlighting the importance of several topics, such as domain-specific charts, lack of efforts in developing evaluation metrics, and agent-oriented settings. This survey paper aims to provide valuable insights and directions for future research in chart understanding leveraging large foundation models.</t>
  </si>
  <si>
    <t>1041-4347</t>
  </si>
  <si>
    <t>1558-2191</t>
  </si>
  <si>
    <t>10.1109/TKDE.2024.3513320</t>
  </si>
  <si>
    <t>Computer Science; Engineering</t>
  </si>
  <si>
    <t>WOS:001459544100008</t>
  </si>
  <si>
    <t>Wang, GW; Cheng, SB</t>
  </si>
  <si>
    <t>Wang, Ganwei; Cheng, Sibo</t>
  </si>
  <si>
    <t>Can foundation language models predict fluid dynamics?</t>
  </si>
  <si>
    <t>ENGINEERING APPLICATIONS OF ARTIFICIAL INTELLIGENCE</t>
  </si>
  <si>
    <t>Deep learning; Foundation model; Fluid dynamics; Large language model; Field prediction</t>
  </si>
  <si>
    <t>DEEP; NETWORK; FLOW</t>
  </si>
  <si>
    <t>The application of deep learning-based, data-driven methods to fluid dynamics problems has attracted significant interest in recent years, due to their potential for faster flow predictions (model inferences) and reduced computational requirements compared to traditional Computational Fluid Dynamics (CFD) methods. Despite their success, existing supervised deep learning approaches typically require extensive model design and large amounts of high-quality training data to achieve satisfactory performance for each specific fluid flow problem. The emergence of foundation models-pre-trained on large-scale, multidisciplinary datasets and capable of solving a wide range of downstream tasks-raises the question of whether their capabilities can extend to scientific domains such as fluid dynamics. Most foundation models to date have been rooted in language tasks. This study investigates a specific instantiation of a foundation model, the Large Language Model Meta AI (Llama) 3 model, for predicting fluid flows with varying dynamical complexities. Results show that the Llama 3 foundation model, although originally designed for natural language processing, can be applied to fluid dynamics problems with simple engineering adaptations and without fine-tuning its pre-trained weights. This approach achieves improved accuracy and robustness compared to conventional fully connected or recurrent neural network models with comparable capacities and equivalent training data. Furthermore, fine-tuning the model by injecting problem-specific knowledge into the pre-trained weights further enhances its performance. These findings suggest that foundation models hold promise for fast inference and deployment of solutions to fluid dynamics problems. Whether unified with models from other domains (e.g., language models) or developed specifically for fluid dynamics, such models could become powerful tools for improving predictive accuracy and computational efficiency in engineering and scientific applications. The code is accessible at https://gitlab.com/houWGW/llm_for_fluid_dynamics.</t>
  </si>
  <si>
    <t>0952-1976</t>
  </si>
  <si>
    <t>1873-6769</t>
  </si>
  <si>
    <t>OCT 22</t>
  </si>
  <si>
    <t>B</t>
  </si>
  <si>
    <t>10.1016/j.engappai.2025.111427</t>
  </si>
  <si>
    <t>JUN 2025</t>
  </si>
  <si>
    <t>Automation &amp; Control Systems; Computer Science; Engineering</t>
  </si>
  <si>
    <t>hybrid</t>
  </si>
  <si>
    <t>WOS:001519877700010</t>
  </si>
  <si>
    <t>Ezukwoke, K; Hoayek, A; Batton-Hubert, M; Boucher, X; Gounet, P; Adrian, J</t>
  </si>
  <si>
    <t>Ezukwoke, Kenneth; Hoayek, Anis; Batton-Hubert, Mireille; Boucher, Xavier; Gounet, Pascal; Adrian, Jerome</t>
  </si>
  <si>
    <t>Big GCVAE: decision-making with adaptive transformer model for failure root cause analysis in semiconductor industry</t>
  </si>
  <si>
    <t>JOURNAL OF INTELLIGENT MANUFACTURING</t>
  </si>
  <si>
    <t>Failure root cause analysis; Large language model; Decision-making; Generalized latent space modelling</t>
  </si>
  <si>
    <t>Pre-trained large language models (LLMs) have gained significant attention in the field of natural language processing (NLP), especially for the task of text summarization, generation, and question answering. The success of LMs can be attributed to the attention mechanism introduced in Transformer models, which have outperformed traditional recurrent neural network models (e.g., LSTM) in modeling sequential data. In this paper, we leverage pre-trained causal language models for the downstream task of failure analysis triplet generation (FATG), which involves generating a sequence of failure analysis decision steps for identifying failure root causes in the semiconductor industry. In particular, we conduct extensive comparative analysis of various transformer models for the FATG task and find that the BERT-GPT-2 Transformer (Big GCVAE), fine-tuned on a proposed Generalized-Controllable Variational AutoEncoder loss (GCVAE), exhibits superior performance in generating informative latent space by promoting disentanglement of latent factors. Specifically, we observe that fine-tuning the Transformer style BERT-GPT2 on the GCVAE loss yields optimal representation by reducing the trade-off between reconstruction loss and KL-divergence, promoting meaningful, diverse and coherent FATs similar to expert expectations.</t>
  </si>
  <si>
    <t>0956-5515</t>
  </si>
  <si>
    <t>1572-8145</t>
  </si>
  <si>
    <t>APR</t>
  </si>
  <si>
    <t>10.1007/s10845-024-02346-x</t>
  </si>
  <si>
    <t>APR 2024</t>
  </si>
  <si>
    <t>Green Submitted</t>
  </si>
  <si>
    <t>WOS:001195648500002</t>
  </si>
  <si>
    <t>Fleurence, RL; Bian, J; Wang, XY; Xu, H; Dawoud, D; Higashi, M; Chhatwal, J</t>
  </si>
  <si>
    <t>Fleurence, Rachael L.; Bian, Jiang; Wang, Xiaoyan; Xu, Hua; Dawoud, Dalia; Higashi, Mitchell; Chhatwal, Jagpreet</t>
  </si>
  <si>
    <t>ISPOR Working Grp Generative AI</t>
  </si>
  <si>
    <t>Generative Artificial Intelligence for Health Technology Assessment: Opportunities, Challenges, and Policy Considerations: An ISPOR Working Group Report</t>
  </si>
  <si>
    <t>VALUE IN HEALTH</t>
  </si>
  <si>
    <t>artificial intelligence; economic modeling methods; generative AI; large language models; real world evidence; systematic reviews</t>
  </si>
  <si>
    <t>ALGORITHM; BIAS</t>
  </si>
  <si>
    <t>Objectives: To provide an introduction to the uses of generative artificial intelligence (AI) and foundation models, including large language models, in the field of health technology assessment (HTA). Methods: We reviewed applications of generative AI in 3 areas: systematic literature reviews, real- world evidence, and health economic modeling. Results: (1) Literature reviews: generative AI has the potential to assist in automating aspects of systematic literature reviews by proposing search terms, screening abstracts, extracting data, and generating code for meta-analyses; (2) real-world evidence: generative AI can facilitate automating processes and analyze large collections of real-world data, including unstructured clinical notes and imaging; (3) health economic modeling: generative AI can aid in the development of health economic models, from conceptualization to validation. Limitations in the use of foundation models and large language models include challenges surrounding their scientific rigor and reliability, the potential for bias, implications for equity, as well as nontrivial concerns regarding adherence to regulatory and ethical standards, particularly in terms of data privacy and security. Additionally, we survey the current policy landscape and provide suggestions for HTA agencies on responsibly integrating generative AI into their workflows, emphasizing the importance of human oversight and the fast-evolving nature of these tools. Conclusions: Although generative AI technology holds promise with respect to HTA applications, it is still undergoing rapid developments and improvements. Continued careful evaluation of their applications to HTA is required. Both developers and users of research incorporating these tools, should familiarize themselves with their current capabilities and limitations.</t>
  </si>
  <si>
    <t>1098-3015</t>
  </si>
  <si>
    <t>1524-4733</t>
  </si>
  <si>
    <t>FEB</t>
  </si>
  <si>
    <t>10.1016/j.jval.2024.10.3846</t>
  </si>
  <si>
    <t>JAN 2025</t>
  </si>
  <si>
    <t>Business &amp; Economics; Health Care Sciences &amp; Services</t>
  </si>
  <si>
    <t>WOS:001426454400001</t>
  </si>
  <si>
    <t>Pajón-Sanmartín, A; De Arriba-Pérez, F; García-Méndez, S; Leal, F; Malheiro, B; Burguillo-Rial, JC</t>
  </si>
  <si>
    <t>Pajon-Sanmartin, Alejandro; De Arriba-Perez, Francisco; Garcia-Mendez, Silvia; Leal, Fatima; Malheiro, Benedita; Carlos Burguillo-Rial, Juan</t>
  </si>
  <si>
    <t>Unraveling Emotions With Pre-Trained Models</t>
  </si>
  <si>
    <t>IEEE ACCESS</t>
  </si>
  <si>
    <t>Emotion recognition; Transformers; Analytical models; Data models; Prompt engineering; Biological system modeling; Accuracy; Context modeling; Sentiment analysis; Linguistics; large language models; natural language processing; open-ended responses; prompt engineering; transformer models</t>
  </si>
  <si>
    <t>Transformer models have significantly advanced the field of emotion recognition. However, there are still open challenges when exploring open-ended queries for Large Language Models (llms). Although current models offer good results, automatic emotion analysis in open texts presents significant challenges, such as contextual ambiguity, linguistic variability, and difficulty interpreting complex emotional expressions. These limitations make the direct application of generalist models difficult. Accordingly, this work compares the effectiveness of fine-tuning and prompt engineering in emotion detection in three distinct scenarios: (i) performance of fine-tuned pre-trained models and general-purpose llms using simple prompts; (ii) effectiveness of different emotion prompt designs with llms; and (iii) impact of emotion grouping techniques on these models. Experimental tests attain metrics above 70% with a fine-tuned pre-trained model for emotion recognition. Moreover, the findings highlight that llms require structured prompt engineering and emotion grouping to enhance their performance. These advancements improve sentiment analysis, human-computer interaction, and understanding of user behavior across various domains.</t>
  </si>
  <si>
    <t>2169-3536</t>
  </si>
  <si>
    <t>10.1109/ACCESS.2025.3623877</t>
  </si>
  <si>
    <t>Computer Science; Engineering; Telecommunications</t>
  </si>
  <si>
    <t>Green Submitted, gold</t>
  </si>
  <si>
    <t>WOS:001605291400026</t>
  </si>
  <si>
    <t>Ghafari, M; Sami, A; Rezapour, H; Ghayour, SS; Lin, FF; Basaran, K; Lazaroiu, GC; Siano, P</t>
  </si>
  <si>
    <t>Ghafari, Masoumeh; Sami, Asal; Rezapour, Hamed; Saravani Ghayour, Sepideh; Lin, Fanfan; Basaran, Kivanc; Cristian Lazaroiu, George; Siano, Pierluigi</t>
  </si>
  <si>
    <t>A Comprehensive Review on the Application of Large Language Models (LLMs) in Power Systems</t>
  </si>
  <si>
    <t>Review</t>
  </si>
  <si>
    <t>Power system stability; Artificial intelligence; Power systems; Transformers; Real-time systems; Power system reliability; Chatbots; Distributed power generation; Data models; Computer architecture; Artificial intelligence (AI); large language models (LLMs); explainable AI (XAI); natural language processing (NLP); transformer models; distributed energy resources (DERs); electric vehicles (EVs); renewable energy sources (RESs); smart grids; energy management; optimal power flow (OPF); demand response (DR); intrusion detection systems (IDS); multi-objective optimization (MOO); cybersecurity in power systems; carbon footprint accounting; energy transition</t>
  </si>
  <si>
    <t>ARTIFICIAL-INTELLIGENCE; MANAGEMENT</t>
  </si>
  <si>
    <t>Nowadays, modern power systems are facing increasing complexity with the rapid growth of renewable energy sources (RESs), the expansion of small and distributed energy resources (DERs) and the evolution towards cyber-physical smart grids. These developments have made the need for intelligent and flexible systems to support the decision-making processes. Advanced large linguistic models (LLM), as a new generation of artificial intelligence (AI), can understand and process complex text data and have been proposed as an innovative solution in the energy industry. These technologies can create a fundamental transformation in power systems management and optimization. This paper analyzes in depth the application of LLM in power systems. The current research tracks the evolution of AI in this field from simple methods, based on basic rules, to more advanced technologies, such as deep learning and transformer models. Within the paper, the basic principles of transformer models are described, and three important capabilities of this technology are emphasized: the ability to interpret the results, the ability to expand for different applications, and the flexibility to face different conditions. The conducted analysis highlights how the new generation of AI can bring a fundamental transformation in the management of power systems.</t>
  </si>
  <si>
    <t>10.1109/ACCESS.2025.3637226</t>
  </si>
  <si>
    <t>gold</t>
  </si>
  <si>
    <t>WOS:001641551600012</t>
  </si>
  <si>
    <t>Bacin, FA; de Mello, BA; Salton, GD; Feitosa, SD</t>
  </si>
  <si>
    <t>Bacin, Fabio Alecsandro; de Mello, Braulio Adriano; Salton, Giancarlo Dondoni; Feitosa, Samuel da Silva</t>
  </si>
  <si>
    <t>A Systematic Review about Large Language Models (LLMs) applied to Code Generation</t>
  </si>
  <si>
    <t>REVISTA BRASILEIRA DE COMPUTACAO APLICADA</t>
  </si>
  <si>
    <t>Fuzzing; Natural Language Processing; AI in Software Engineering; Automatic Code Synthesis; Transformer Models</t>
  </si>
  <si>
    <t>Large Language Models (LLMs) for code generation represent a significant advancement in software development by boosting productivity, simplifying repetitive tasks, enabling automated testing, and promoting best practices. This paper presents a systematic literature review (SLR) of studies focused on LLMs applied to code generation. The review enhances understanding of the capabilities and limitations of these models, outlining both their benefits and challenges. The review protocol included a search on the Google Scholar database using relevant keywords related to LLMs and code generation. A total of 112 articles were initially retrieved, from which 15 were selected based on relevance and quality criteria. Of these, 8 were analyzed in depth to evaluate various approaches and outcomes, while the remaining 7 provided the theoretical foundation for the study. This work contributes to the growing body of knowledge in the field and supports future research and applications of LLMs in software engineering.</t>
  </si>
  <si>
    <t>2176-6649</t>
  </si>
  <si>
    <t>NOV</t>
  </si>
  <si>
    <t>10.5335/rbca.v17i3.16310</t>
  </si>
  <si>
    <t>Computer Science</t>
  </si>
  <si>
    <t>WOS:001644160000001</t>
  </si>
  <si>
    <t>Faruqui, N; Thatoi, P; Choudhary, R; Roncevic, I; Alqahtani, H; Sarker, IH; Khanam, S</t>
  </si>
  <si>
    <t>Faruqui, Nuruzzaman; Thatoi, Priyabrata; Choudhary, Rohit; Roncevic, Ivana; Alqahtani, Hamed; Sarker, Iqbal H.; Khanam, Shapla</t>
  </si>
  <si>
    <t>AI-Analyst: An AI-Assisted SDLC Analysis Framework for Business Cost Optimization</t>
  </si>
  <si>
    <t>Mathematical models; Transformers; Costs; Vectors; Business; Unified modeling language; Training; Optimization; Testing; Systematic literature review; Transformer model; large language model; system development lifecycle; transfer learning; artificial intelligence; business cost optimization; project management automation; system analyst; LLM; SDLC; AI; PMP</t>
  </si>
  <si>
    <t>Managing the System Development Lifecycle (SDLC) is a complex task because of its involvement in coordinating diverse activities, stakeholders, and resources while ensuring project goals are met efficiently. The complex nature of the SDLC process leaves plenty of scope for human error, which impacts the overall business cost. This paper introduces AI-Analyst, an AI-assisted framework developed using the transformer-based model with more than 150 million parameters to assist with SDLC management. It minimizes manual effort errors, optimizes resource allocation, and improves decision-making processes, resulting in substantial cost savings. The statistical analysis shows that it saves around 53.33% of costs in an experimental project. The transformer model has been trained with a uniquely prepared dataset tailored for SDLC through transfer learning. It achieved impressive results, with an accuracy of 91.5%, precision of 91.9%, recall of 91.3%, and an F1-score of 91.5%, demonstrating its high reliability and performance. The perplexity score of 15 further indicates the model's strong language understanding capabilities to retrieve relations from complex characteristics of Natural Language Processing (NLP). The AI-Analyst framework represents a significant advancement in integrating Large Language Models (LLMs) into SDLC, offering a scalable and cost-effective solution for optimizing business processes.</t>
  </si>
  <si>
    <t>10.1109/ACCESS.2024.3519423</t>
  </si>
  <si>
    <t>WOS:001385626400050</t>
  </si>
  <si>
    <t>Cedeno-Moreno, D; Delgado-Herrera, A; Vargas-Lombardo, M; Montilla-Herrera, N</t>
  </si>
  <si>
    <t>Cedeno-Moreno, Denis; Delgado-Herrera, Alan; Vargas-Lombardo, Miguel; Montilla-Herrera, Nelson</t>
  </si>
  <si>
    <t>Automatic Detection of Emotions and Mental Health Conditions from Social Networks in Panama: A Comparative Study of Large Language Models and Transformers</t>
  </si>
  <si>
    <t>INTERNATIONAL JOURNAL OF ONLINE AND BIOMEDICAL ENGINEERING</t>
  </si>
  <si>
    <t>emotions; automatic emotion recognition (AER); mental health; large language models (LLMs); natural language processing (NLP)</t>
  </si>
  <si>
    <t>Social media platforms such as X publish millions of emotionally charged comments every day. These posts can be classified into several categories, and automatic emotion recognition (AER) can be applied to identify the human emotions associated with them based on aspects such as text, speech, or facial expressions. From these emotions, we can detect mental health conditions, which represent a complex, multi-layered problem with negative impacts. The aim of this study is to perform an analysis of the emotions expressed via Panama's social networks by extracting a dataset from the X network and evaluating it using some existing lightweight Transformer models to detect mental health conditions that could then be referred to Panamanian hospitals. Methods: Natural language processing (NLP) has undergone major development thanks to the emergence of large language models (LLMs). These models are based on the Transformer, a powerful neural network architecture that has revolutionized the field of deep learning. We show that lightweight models generally outperform alternative approaches. This study demonstrates the potential for automatic emotion detection, with the aim of developing predictive models that can support authorities in decision-making processes.</t>
  </si>
  <si>
    <t>2626-8493</t>
  </si>
  <si>
    <t>10.3991/ijoe.v21i12.57173</t>
  </si>
  <si>
    <t>WOS:001592432400003</t>
  </si>
  <si>
    <t>Behrend, TS; Landers, RN</t>
  </si>
  <si>
    <t>Behrend, Tara S.; Landers, Richard N.</t>
  </si>
  <si>
    <t>Participant Interactions with Artificial Intelligence: Using Large Language Models to Generate Research Materials for Surveys and Experiments</t>
  </si>
  <si>
    <t>JOURNAL OF BUSINESS AND PSYCHOLOGY</t>
  </si>
  <si>
    <t>Research design; Experiments; Artificial intelligence; ChatGPT; Validity; Audits; Fairness</t>
  </si>
  <si>
    <t>Researchers are increasingly exploring the use of large language models (LLMs) to develop materials for surveys and experiments. However, clear guidance on effective implementation remains limited. In this paper, we propose a decision-making framework comprising five use cases for integrating large language models into psychological survey and experimental methods: (1) LLM as research assistant; (2) LLM as adaptive content creator; (3) LLM as external resource; (4) LLM as conversation partner, and (5) LLM as research confederate. To support these applications, we introduce the open-source Qualtrics-AI Link (QUAIL), a software designed to integrate content generated by ChatGPT's LLM foundation model into the Qualtrics platform. Across contexts, and for all scenarios involving the use of LLMs in research material creation, we provide guidance on the technical steps necessary to support both internal and external validity. These include effective prompt engineering, model selection, alpha and beta testing, launching, and monitoring. We conclude with a discussion of relevant ethical considerations, cautions, and resources for auditing validity claims. Throughout, we emphasize that good research design and adherence to ethical principles should guide decision-making, and that researcher expertise in both LLMs and research design is essential to ensure valid participant interactions when using LLM-based tools.</t>
  </si>
  <si>
    <t>0889-3268</t>
  </si>
  <si>
    <t>1573-353X</t>
  </si>
  <si>
    <t>DEC</t>
  </si>
  <si>
    <t>10.1007/s10869-025-10035-6</t>
  </si>
  <si>
    <t>Business &amp; Economics; Psychology</t>
  </si>
  <si>
    <t>WOS:001512394400001</t>
  </si>
  <si>
    <t>Rodríguez-Muñoz-de-Baena, I; Coronado-Vaca, M; Vaquero-Lafuente, E</t>
  </si>
  <si>
    <t>Rodriguez-Munoz-de-Baena, Ines; Coronado-Vaca, Maria; Vaquero-Lafuente, Esther</t>
  </si>
  <si>
    <t>Fine-tuning transformer models for M&amp;A target prediction in the U.S. ENERGY sector</t>
  </si>
  <si>
    <t>COGENT BUSINESS &amp; MANAGEMENT</t>
  </si>
  <si>
    <t>Mergers and acquisitions (M&amp;A); renewable energy; takeover target prediction; green M&amp;A; natural language processing (NLP); transformer models; large language models (LLM)</t>
  </si>
  <si>
    <t>TAKEOVER TARGETS; TENDER OFFERS; ACQUISITIONS; MERGERS; MARKET; PERFORMANCE; GAINS; CHINA</t>
  </si>
  <si>
    <t>This study explores the application of transformer models directly for classification in predicting mergers and acquisitions (M&amp;A) targets within the U.S. energy sector. The primary objective is to evaluate the capability and performance of various transformer-based models in directly predicting M&amp;A target companies, while the secondary objective investigates the relationship between target companies and renewable energy terminology in their annual reports. We present a novel approach to predicting M&amp;A targets by utilizing cutting-edge Natural Language Processing (NLP) techniques, such as fine-tuned transformer LLMs (Large Language Models) for direct classification. We analyze textual data from 200 publicly-listed US energy companies' SEC-filings and employ FinBERT, ALBERT, and GPT-3-babage-002 as predictive models of M&amp;A targets. We provide empirical evidence on LLMs' capability in the direct classification of M&amp;A target companies, with FinBERT utilizing oversampling, being the top-performing model due to its high precision and minimized false positives, critical for precise financial decision-making. Additionally, while the study revealed key differences in target and non-target report characteristics, it finds no significant evidence that M&amp;A target companies use more renewable energy-related terminology. It is the first paper applying fine-tuned transformer-LLMs to predict M&amp;A targets, effectively showcasing their capability for this task of direct classification as predictive models.</t>
  </si>
  <si>
    <t>2331-1975</t>
  </si>
  <si>
    <t>DEC 12</t>
  </si>
  <si>
    <t>10.1080/23311975.2025.2487219</t>
  </si>
  <si>
    <t>Business &amp; Economics</t>
  </si>
  <si>
    <t>WOS:001464104000001</t>
  </si>
  <si>
    <t>Chen, J; Liu, Z; Huang, X; Wu, CW; Liu, Q; Jiang, GW; Pu, YH; Lei, YX; Chen, XL; Wang, XM; Zheng, K; Lian, DF; Chen, EH</t>
  </si>
  <si>
    <t>Chen, Jin; Liu, Zheng; Huang, Xu; Wu, Chenwang; Liu, Qi; Jiang, Gangwei; Pu, Yuanhao; Lei, Yuxuan; Chen, Xiaolong; Wang, Xingmei; Zheng, Kai; Lian, Defu; Chen, Enhong</t>
  </si>
  <si>
    <t>When large language models meet personalization: perspectives of challenges and opportunities</t>
  </si>
  <si>
    <t>WORLD WIDE WEB-INTERNET AND WEB INFORMATION SYSTEMS</t>
  </si>
  <si>
    <t>Large language models; Personalization systems; Recommender systems; Tool-learning; AIGC</t>
  </si>
  <si>
    <t>KNOWLEDGE</t>
  </si>
  <si>
    <t>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</si>
  <si>
    <t>1386-145X</t>
  </si>
  <si>
    <t>1573-1413</t>
  </si>
  <si>
    <t>JUL</t>
  </si>
  <si>
    <t>10.1007/s11280-024-01276-1</t>
  </si>
  <si>
    <t>WOS:001257486100001</t>
  </si>
  <si>
    <t>Lee, H; Kim, M; Baek, S; Zhou, W; Lee, N; Debbah, M; Lee, I</t>
  </si>
  <si>
    <t>Lee, Hoon; Kim, Mintae; Baek, Seunghwan; Zhou, Wentao; Lee, Namyoon; Debbah, Merouane; Lee, Inkyu</t>
  </si>
  <si>
    <t>Large Language Models for Knowledge-Free Network Management: Feasibility Study and Opportunities</t>
  </si>
  <si>
    <t>Optimization; Knowledge engineering; Wireless communication; Large language models; Cognition; Resource management; Overfitting; Decision making; Training; Linear regression; Knowledge-free optimization; large language model (LLM); massive multiple-input multiple-output (mMIMO); wireless resource management</t>
  </si>
  <si>
    <t>DEEP; COMPUTATION</t>
  </si>
  <si>
    <t>Traditional network management algorithms have relied on prior knowledge of system models and networking scenarios. In practice, a universal optimization framework is desirable where a sole optimization module can be readily applied to arbitrary network management tasks without any knowledge of the system. To this end, knowledge-free optimization techniques are necessary where optimization operations are independent of scenario-specific information including objective functions, system parameters, and network setups. The major challenge is the requirement of a hyper-intelligent black-box optimizer that can establish efficient decision-making policies using its internal reasoning capabilities. This paper presents a novel knowledge-free network management paradigm with the power of large language models (LLMs). Trained on vast amounts of datasets, LLMs can understand important contexts from input prompts containing minimal system information, thereby offering remarkable inference performance even for entirely new tasks. Pretrained LLMs can be potentially leveraged as foundation models for versatile network optimization. By eliminating the dependency on prior knowledge, LLMs can be seamlessly applied to various network management tasks. The viability of this approach is demonstrated using various language models. Numerical results validate that knowledge-free LLM optimizers are able to achieve near-optimal performance.</t>
  </si>
  <si>
    <t>10.1109/ACCESS.2025.3625637</t>
  </si>
  <si>
    <t>WOS:001611725700006</t>
  </si>
  <si>
    <t>Ammar, A; Koubaa, A; Benjdira, B; Nacar, O; Sibaee, S</t>
  </si>
  <si>
    <t>Ammar, Adel; Koubaa, Anis; Benjdira, Bilel; Nacar, Omer; Sibaee, Serry</t>
  </si>
  <si>
    <t>Prediction of Arabic Legal Rulings Using Large Language Models</t>
  </si>
  <si>
    <t>ELECTRONICS</t>
  </si>
  <si>
    <t>large language models; Arabic court analysis; foundation models; natural language processing; transformers</t>
  </si>
  <si>
    <t>In the intricate field of legal studies, the analysis of court decisions is a cornerstone for the effective functioning of the judicial system. The ability to predict court outcomes helps judges during the decision-making process and equips lawyers with invaluable insights, enhancing their strategic approaches to cases. Despite its significance, the domain of Arabic court analysis remains under-explored. This paper pioneers a comprehensive predictive analysis of Arabic court decisions on a dataset of 10,813 commercial court real cases, leveraging the advanced capabilities of the current state-of-the-art large language models. Through a systematic exploration, we evaluate three prevalent foundational models (LLaMA-7b, JAIS-13b, and GPT-3.5-turbo) and three training paradigms: zero-shot, one-shot, and tailored fine-tuning. In addition, we assess the benefit of summarizing and/or translating the original Arabic input texts. This leads to a spectrum of 14 model variants, for which we offer a granular performance assessment with a series of different metrics (human assessment, GPT evaluation, ROUGE, and BLEU scores). We show that all variants of LLaMA models yield limited performance, whereas GPT-3.5-based models outperform all other models by a wide margin, surpassing the average score of the dedicated Arabic-centric JAIS model by 50%. Furthermore, we show that all scores except human evaluation are inconsistent and unreliable for assessing the performance of large language models on court decision predictions. This study paves the way for future research, bridging the gap between computational linguistics and Arabic legal analytics.</t>
  </si>
  <si>
    <t>2079-9292</t>
  </si>
  <si>
    <t>10.3390/electronics13040764</t>
  </si>
  <si>
    <t>Computer Science; Engineering; Physics</t>
  </si>
  <si>
    <t>WOS:001172384800001</t>
  </si>
  <si>
    <t>Leon, M</t>
  </si>
  <si>
    <t>Leon, Maikel</t>
  </si>
  <si>
    <t>Sentiment analysis: From rule-based lexicons to large language models</t>
  </si>
  <si>
    <t>INTELLIGENT SYSTEMS WITH APPLICATIONS</t>
  </si>
  <si>
    <t>Opinion mining; Sentiment analysis; Marketing research; Large language models; Multimodal sentiment analysis; And transformer models</t>
  </si>
  <si>
    <t>TEXT</t>
  </si>
  <si>
    <t>This study provides a comprehensive review of two decades of research in opinion mining and sentiment analysis, addressing the fragmentation of prior work across methodologies, application domains, and data sources. The evolution of the field is traced from pre-1990 rule-based systems to lexicon heuristics, statistical learning, machine learning, deep learning, and the current wave of transformer-driven, multimodal, and generative models. Applications are examined across marketing, finance, politics, and social media, with emphasis on how methodological innovations have improved accuracy and enabled broader adoption. Best practices-including transformer fine-tuning, prompt engineering, zero-shot and few-shot learning, multimodal fusion, and domain adaptation-are analyzed to distill evidence-based guidelines for researchers and practitioners. The synthesis shows how sentiment analysis has shaped critical areas, including brand management, investor decision-making, political discourse, and online user engagement. Findings highlight the effectiveness of transformer-based approaches, particularly when combined with domain adaptation and prompt engineering, in delivering state-of-the-art performance. Beyond methodological and applied insights, the study identifies promising directions for future research, including real-time customer journey analytics, explainability in generative AI, robustness across multiple languages, ethical implications, and sustainability considerations. By consolidating dispersed knowledge into a unified account, this review provides both historical grounding and a structured roadmap that advances theoretical understanding and informs managerial practice.</t>
  </si>
  <si>
    <t>2667-3053</t>
  </si>
  <si>
    <t>10.1016/j.iswa.2025.200599</t>
  </si>
  <si>
    <t>NOV 2025</t>
  </si>
  <si>
    <t>WOS:001617294600001</t>
  </si>
  <si>
    <t>Kumar, Y; Huang, K; Perez, A; Yang, GH; Li, JJ; Morreale, P; Kruger, D; Jiang, R</t>
  </si>
  <si>
    <t>Kumar, Yulia; Huang, Kuan; Perez, Angelo; Yang, Guohao; Li, J. Jenny; Morreale, Patricia; Kruger, Dov; Jiang, Raymond</t>
  </si>
  <si>
    <t>Bias and Cyberbullying Detection and Data Generation Using Transformer Artificial Intelligence Models and Top Large Language Models</t>
  </si>
  <si>
    <t>synthetic cyberbullying data; bias data generator; cyberbullying detection; intersectional cyberbullying; multilabel text classification; transformer models; bias detection tokens; CyberBulliedBiasedBot</t>
  </si>
  <si>
    <t>Despite significant advancements in Artificial Intelligence (AI) and Large Language Models (LLMs), detecting and mitigating bias remains a critical challenge, particularly on social media platforms like X (formerly Twitter), to address the prevalent cyberbullying on these platforms. This research investigates the effectiveness of leading LLMs in generating synthetic biased and cyberbullying data and evaluates the proficiency of transformer AI models in detecting bias and cyberbullying within both authentic and synthetic contexts. The study involves semantic analysis and feature engineering on a dataset of over 48,000 sentences related to cyberbullying collected from Twitter (before it became X). Utilizing state-of-the-art LLMs and AI tools such as ChatGPT-4, Pi AI, Claude 3 Opus, and Gemini-1.5, synthetic biased, cyberbullying, and neutral data were generated to deepen the understanding of bias in human-generated data. AI models including DeBERTa, Longformer, BigBird, HateBERT, MobileBERT, DistilBERT, BERT, RoBERTa, ELECTRA, and XLNet were initially trained to classify Twitter cyberbullying data and subsequently fine-tuned, optimized, and experimentally quantized. This study focuses on intersectional cyberbullying and multilabel classification to detect both bias and cyberbullying. Additionally, it proposes two prototype applications: one that detects cyberbullying using an intersectional approach and the innovative CyberBulliedBiasedBot that combines the generation and detection of biased and cyberbullying content.</t>
  </si>
  <si>
    <t>SEP</t>
  </si>
  <si>
    <t>10.3390/electronics13173431</t>
  </si>
  <si>
    <t>WOS:001311173900001</t>
  </si>
  <si>
    <t>Yang, L; Hou, QM; Zhu, X; Lu, Y; Da Xu, L</t>
  </si>
  <si>
    <t>Yang, Lei; Hou, Qiaoming; Zhu, Xin; Lu, Yang; Da Xu, Li</t>
  </si>
  <si>
    <t>Potential of large language models in blockchain-based supply chain finance</t>
  </si>
  <si>
    <t>ENTERPRISE INFORMATION SYSTEMS</t>
  </si>
  <si>
    <t>Supply chain finance; large language models; blockchain</t>
  </si>
  <si>
    <t>TECHNOLOGY; MANAGEMENT</t>
  </si>
  <si>
    <t>Supply chain financing can alleviate the financial constraints of small and medium-sized enterprises, blockchain can optimise supply chain financing strategies. The unique natural language processing capabilities of large language models have broad application prospects in supply chain financing decision-making. We innovatively introduce large language models to explore their application in blockchain-driven supply chain financing platforms. It is found that the excellent information processing capabilities of large language models significantly improves users' financing efficiency. This study highlights the application potential of large language models and provides decision-making reference for managers.</t>
  </si>
  <si>
    <t>1751-7575</t>
  </si>
  <si>
    <t>1751-7583</t>
  </si>
  <si>
    <t>NOV 2</t>
  </si>
  <si>
    <t>10.1080/17517575.2025.2541199</t>
  </si>
  <si>
    <t>AUG 2025</t>
  </si>
  <si>
    <t>WOS:001543901100001</t>
  </si>
  <si>
    <t>You, J; Shin, H</t>
  </si>
  <si>
    <t>You, Jiwon; Shin, Hangsik</t>
  </si>
  <si>
    <t>Structural insights into clinical large language models and their barriers to translational readiness</t>
  </si>
  <si>
    <t>JOURNAL OF THE AMERICAN MEDICAL INFORMATICS ASSOCIATION</t>
  </si>
  <si>
    <t>Review; Early Access</t>
  </si>
  <si>
    <t>clinical artificial intelligence; clinical decision support; foundation models; large language models; model alignment</t>
  </si>
  <si>
    <t>Background Despite rapid integration into clinical decision-making, clinical large language models (LLMs) face substantial translational barriers due to insufficient structural characterization and limited external validation.Objective We systematically map the clinical LLM research landscape to identify key structural patterns influencing their readiness for real-world clinical deployment.Methods We identified 73 clinical LLM studies published between January 2020 and March 2025 using a structured evidence-mapping approach. To ensure transparency and reproducibility in study selection, we followed key principles from the PRISMA 2020 framework. Each study was categorized by clinical task, base architecture, alignment strategy, data type, language, study design, validation methods, and evaluation metrics.Results Studies often addressed multiple early stage clinical tasks-question answering (56.2%), knowledge structuring (31.5%), and disease prediction (43.8%)-primarily using text data (52.1%) and English-language resources (80.8%). GPT models favored retrieval-augmented generation (43.8%), and LLaMA models consistently adopted multistage pretraining and fine-tuning strategies. Only 6.9% of studies included external validation, and prospective designs were observed in just 4.1% of cases, reflecting significant gaps in translational reliability. Evaluations were predominantly quantitative only (79.5%), though qualitative and mixed-method approaches are increasingly recognized for assessing clinical usability and trustworthiness.Conclusion Clinical LLM research remains exploratory, marked by limited generalizability across languages, data types, and clinical environments. To bridge this gap, future studies must prioritize multilingual and multimodal training, prospective study designs with rigorous external validation, and hybrid evaluation frameworks combining quantitative performance with qualitative clinical usability metrics.</t>
  </si>
  <si>
    <t>1067-5027</t>
  </si>
  <si>
    <t>1527-974X</t>
  </si>
  <si>
    <t>2026 JAN 11</t>
  </si>
  <si>
    <t>PMID 9430800</t>
  </si>
  <si>
    <t>10.1093/jamia/ocaf230</t>
  </si>
  <si>
    <t>JAN 2026</t>
  </si>
  <si>
    <t>Computer Science; Health Care Sciences &amp; Services; Information Science &amp; Library Science; Medical Informatics</t>
  </si>
  <si>
    <t>WOS:001658217000001</t>
  </si>
  <si>
    <t>Assiri, A; Gumaei, A; Mehmood, F; Abbas, T; Ullah, S</t>
  </si>
  <si>
    <t>Assiri, Adel; Gumaei, Abdu; Mehmood, Faisal; Abbas, Touqeer; Ullah, Sami</t>
  </si>
  <si>
    <t>DeBERTa-GRU: Sentiment Analysis for Large Language Model</t>
  </si>
  <si>
    <t>CMC-COMPUTERS MATERIALS &amp; CONTINUA</t>
  </si>
  <si>
    <t>DeBERTa; GRU; Naive Bayes; LSTM; sentiment analysis; large language model</t>
  </si>
  <si>
    <t>Modern technological advancements have made social media an essential component of daily life. Social media allow individuals to share thoughts, emotions, and ideas. Sentiment analysis plays the function of evaluating whether the sentiment of the text is positive, negative, neutral, or any other personal emotion to understand the sentiment context of the text. Sentiment analysis is essential in business and society because it impacts strategic decision-making. Sentiment analysis involves challenges due to lexical variation, an unlabeled dataset, and text distance correlations. The execution time increases due to the sequential processing of the sequence models. However, the calculation times for the Transformer models are reduced because of the parallel processing. This study uses a hybrid deep learning strategy to combine the strengths of the Transformer and Sequence models while ignoring their limitations. In particular, the proposed model integrates the Decoding-enhanced with Bidirectional Encoder Representations from Transformers (BERT) attention (DeBERTa) and the Gated Recurrent Unit (GRU) for sentiment analysis. Using the Decoding-enhanced BERT technique, the words are mapped into a compact, semantic word embedding space, and the Gated Recurrent Unit model can capture the distance contextual semantics correctly. The proposed hybrid model achieves F1-scores of 97% on the Twitter Large Language Model (LLM) dataset, which is much higher than the performance of new techniques.</t>
  </si>
  <si>
    <t>1546-2218</t>
  </si>
  <si>
    <t>1546-2226</t>
  </si>
  <si>
    <t>10.32604/cmc.2024.050781</t>
  </si>
  <si>
    <t>Computer Science; Materials Science</t>
  </si>
  <si>
    <t>WOS:001268119400007</t>
  </si>
  <si>
    <t>Chen, D; Huang, YB</t>
  </si>
  <si>
    <t>Chen, Dong; Huang, Yanbo</t>
  </si>
  <si>
    <t>Integrating reinforcement learning and large language models for crop production process management optimization and control through a new knowledge-based deep learning paradigm</t>
  </si>
  <si>
    <t>COMPUTERS AND ELECTRONICS IN AGRICULTURE</t>
  </si>
  <si>
    <t>Crop management; Agricultural cybernetics; Artificial intelligence; Reinforcement learning; Large language models; Foundation models</t>
  </si>
  <si>
    <t>LEVEL; IRRIGATION</t>
  </si>
  <si>
    <t>Efficient and sustainable crop production process management is crucial to meet the growing global demand for food, fuel, and feed while minimizing environmental impacts. Traditional crop management practices, often developed through empirical experience, face significant challenges in adapting to the dynamic nature of modern agriculture, which is influenced by factors such as climate change, soil variability, and market conditions. Recently, reinforcement learning (RL) and large language models (LLMs) bring transformative potential, with RL providing adaptive methodologies to learn optimal strategies and LLMs offering vast, superhuman knowledge across agricultural domains, enabling informed, context-specific decision-making. This paper systematically examines how the integration of RL and LLMs into crop management decision support systems (DSSs) can drive advancements in agricultural practice. We explore recent advancements in RL and LLM algorithms, their application within crop management, and the use of crop management simulators to develop these technologies. The convergence of RL and LLMs with crop management DSSs presents new opportunities to optimize agricultural practices through data-driven, adaptive solutions that can address the uncertainties and complexities of crop production. However, this integration also brings challenges, particularly in real-world deployment. We discuss these challenges and propose potential solutions, including the use of offline RL and enhanced LLM integration, to maximize the effectiveness and sustainability of crop management. Our findings emphasize the need for continued research and innovation to unlock the full potential of these advanced tools in transforming agricultural systems into optimal and controllable ones.</t>
  </si>
  <si>
    <t>0168-1699</t>
  </si>
  <si>
    <t>1872-7107</t>
  </si>
  <si>
    <t>10.1016/j.compag.2025.110028</t>
  </si>
  <si>
    <t>FEB 2025</t>
  </si>
  <si>
    <t>Agriculture; Computer Science</t>
  </si>
  <si>
    <t>WOS:001427277400001</t>
  </si>
  <si>
    <t>Perikos, I; Diamantopoulos, A</t>
  </si>
  <si>
    <t>Perikos, Isidoros; Diamantopoulos, Athanasios</t>
  </si>
  <si>
    <t>Explainable Aspect-Based Sentiment Analysis Using Transformer Models</t>
  </si>
  <si>
    <t>BIG DATA AND COGNITIVE COMPUTING</t>
  </si>
  <si>
    <t>explainability; transformers; large language models; LIME; SHAP; attention visualization; integrated gradients; GRAD-CAM; aspect-based sentiment analysis</t>
  </si>
  <si>
    <t>EXTRACTION</t>
  </si>
  <si>
    <t>An aspect-based sentiment analysis (ABSA) aims to perform a fine-grained analysis of text to identify sentiments and opinions associated with specific aspects. Recently, transformers and large language models have demonstrated exceptional performance in detecting aspects and determining their associated sentiments within text. However, understanding the decision-making processes of transformers remains a significant challenge, as they often operate as black-box models, making it difficult to interpret how they arrive at specific predictions. In this article, we examine the performance of various transformers on ABSA and we employ explainability techniques to illustrate their inner decision-making processes. Firstly, we fine-tune several pre-trained transformers, including BERT, RoBERTa, DistilBERT, and XLNet, on an extensive set of data composed of MAMS, SemEval, and Naver datasets. These datasets consist of over 16,100 complex sentences, each containing a couple of aspects and corresponding polarities. The models were fine-tuned using optimal hyperparameters and RoBERTa achieved the highest performance, reporting 89.16% accuracy on MAMS and SemEval and 97.62% on Naver. We implemented five explainability techniques, LIME, SHAP, attention weight visualization, integrated gradients, and Grad-CAM, to illustrate how transformers make predictions and highlight influential words. These techniques can reveal how models use specific words and contextual information to make sentiment predictions, which can improve performance, address biases, and enhance model efficiency and robustness. These also point out directions for further focus on the analysis of models' bias in combination with explainability methods, ensuring that explainability highlights potential biases in predictions.</t>
  </si>
  <si>
    <t>2504-2289</t>
  </si>
  <si>
    <t>10.3390/bdcc8110141</t>
  </si>
  <si>
    <t>WOS:001363976700001</t>
  </si>
  <si>
    <t>Yang, JC; Li, HB; Wei, DL</t>
  </si>
  <si>
    <t>Yang, Jiancheng; Li, Hongwei Bran; Wei, Donglai</t>
  </si>
  <si>
    <t>The impact of ChatGPT and LLMs on medical imaging stakeholders: Perspectives and use cases</t>
  </si>
  <si>
    <t>META-RADIOLOGY</t>
  </si>
  <si>
    <t>ChatGPT; LLM; Foundation models; Medical imaging</t>
  </si>
  <si>
    <t>OMICS</t>
  </si>
  <si>
    <t>This study investigates the transformative potential of Large Language Models (LLMs), such as OpenAI ChatGPT, in medical imaging. With the aid of public data, these models, which possess remarkable language understanding and generation capabilities, are augmenting the interpretive skills of radiologists, enhancing patient-physician communication, and streamlining clinical workflows. The paper introduces an analytic framework for presenting the complex interactions between LLMs and the broader ecosystem of medical imaging stakeholders, including businesses, insurance entities, governments, research institutions, and hospitals (nicknamed BIGR-H). Through detailed analyses, illustrative use cases, and discussions on the broader implications and future directions, this perspective seeks to raise discussion in strategic planning and decision-making in the era of AI-enabled healthcare.</t>
  </si>
  <si>
    <t>2950-1628</t>
  </si>
  <si>
    <t>JUN</t>
  </si>
  <si>
    <t>10.1016/j.metrad.2023.100007</t>
  </si>
  <si>
    <t>Computer Science; Radiology, Nuclear Medicine &amp; Medical Imaging</t>
  </si>
  <si>
    <t>WOS:001577808600001</t>
  </si>
  <si>
    <t>Shah, SM; Gillani, SA; Baig, MSA; Saleem, MA; Siddiqui, MH</t>
  </si>
  <si>
    <t>Shah, Shahid Munir; Gillani, Syeda Anshrah; Baig, Mirza Samad Ahmed; Saleem, Muhammad Aamer; Siddiqui, Muhammad Hamzah</t>
  </si>
  <si>
    <t>Advancing depression detection on social media platforms through fine-tuned large language models</t>
  </si>
  <si>
    <t>ONLINE SOCIAL NETWORKS AND MEDIA</t>
  </si>
  <si>
    <t>Large language models; Fine-tuned large language models; Depression detection using large language models</t>
  </si>
  <si>
    <t>This study investigates the use of Large Language Models (LLMs) for improved depression detection from users' social media data. Through the use of fine-tuned GPT-3.5 Turbo 1106 and LLaMA2-7B models and a sizable dataset from earlier studies, we were able to identify depressed content in social media posts with a high accuracy of 96.4%. The comparative analysis of the obtained results with the relevant studies in the literature and the base models shows that the proposed fine-tuned LLMs achieved enhanced performance compared to existing state-of-the-art systems and the base models. This demonstrates the robustness of LLM-based finetuned systems to be used as potential depression detection systems. The study describes the approach in depth, including the parameters used and the fine-tuning procedure, along with the dataset description and comparative summary of the results, indicating the important implications of the obtained results for the early diagnosis of depression on various social media platforms.</t>
  </si>
  <si>
    <t>2468-6964</t>
  </si>
  <si>
    <t>10.1016/j.osnem.2025.100311</t>
  </si>
  <si>
    <t>MAR 2025</t>
  </si>
  <si>
    <t>Computer Science; Social Sciences - Other Topics</t>
  </si>
  <si>
    <t>WOS:001452980700001</t>
  </si>
  <si>
    <t>Hagendorff, T; Fabi, S; Kosinski, M</t>
  </si>
  <si>
    <t>Hagendorff, Thilo; Fabi, Sarah; Kosinski, Michal</t>
  </si>
  <si>
    <t>Human-like intuitive behavior and reasoning biases emerged in large language models but disappeared in ChatGPT</t>
  </si>
  <si>
    <t>NATURE COMPUTATIONAL SCIENCE</t>
  </si>
  <si>
    <t>COGNITIVE REFLECTION TEST; HEURISTICS</t>
  </si>
  <si>
    <t>We design a battery of semantic illusions and cognitive reflection tests, aimed to elicit intuitive yet erroneous responses. We administer these tasks, traditionally used to study reasoning and decision-making in humans, to OpenAI's generative pre-trained transformer model family. The results show that as the models expand in size and linguistic proficiency they increasingly display human-like intuitive system 1 thinking and associated cognitive errors. This pattern shifts notably with the introduction of ChatGPT models, which tend to respond correctly, avoiding the traps embedded in the tasks. Both ChatGPT-3.5 and 4 utilize the input-output context window to engage in chain-of-thought reasoning, reminiscent of how people use notepads to support their system 2 thinking. Yet, they remain accurate even when prevented from engaging in chain-of-thought reasoning, indicating that their system-1-like next-word generation processes are more accurate than those of older models. Our findings highlight the value of applying psychological methodologies to study large language models, as this can uncover previously undetected emergent characteristics. The reasoning capabilities of OpenAI's generative pre-trained transformer family were tested using semantic illusions and cognitive reflection tests that are typically used in human studies. While early models were prone to human-like cognitive errors, ChatGPT decisively outperformed humans, avoiding the cognitive traps embedded in the tasks.</t>
  </si>
  <si>
    <t>2662-8457</t>
  </si>
  <si>
    <t>OCT</t>
  </si>
  <si>
    <t>+</t>
  </si>
  <si>
    <t>10.1038/s43588-023-00527-x</t>
  </si>
  <si>
    <t>OCT 2023</t>
  </si>
  <si>
    <t>Computer Science; Science &amp; Technology - Other Topics</t>
  </si>
  <si>
    <t>WOS:001119334100001</t>
  </si>
  <si>
    <t>Sinthusha, AVA; Charles, EYA; Weerasinghe, R</t>
  </si>
  <si>
    <t>Sinthusha, Anton Vijeevaraj Ann; Charles, Eugene Y. A.; Weerasinghe, Ruvan</t>
  </si>
  <si>
    <t>Machine Reading Comprehension for the Tamil Language With Translated SQuAD</t>
  </si>
  <si>
    <t>Multilingual; Computational modeling; Translation; Benchmark testing; Transformers; Analytical models; Data models; Accuracy; Training; Standards; Machine reading comprehension (MRC); natural language processing (NLP); multilingual language models; low-resourced languages (LRL); Tamil language processing; transformer models; language model fine-tuning; cross-lingual learning; multilingual BERT; XLM-RoBERTa</t>
  </si>
  <si>
    <t>Machine Reading Comprehension (MRC) is a challenging task in Natural Language Processing (NLP), crucial for automated customer support, enabling chatbots and virtual assistants to accurately understand and respond to queries. It also enhances question-answering systems, benefiting educational tools, search engines, and help desks. The introduction of attention-based transformer models has significantly boosted MRC performance, especially for well-resourced languages such as English. However, MRC for low-resourced languages (LRL) remains an ongoing research area. Although Large Language Models show exceptional NLP performance, they are less effective for LRL and are expensive to train and deploy. Consequently, simpler language models that are targeted at specific tasks remain viable for these languages. This research examines high-performing language models on the Tamil MRC task, detailing the preparation of a Tamil-translated and processed SQuAD dataset to establish a standard dataset for Tamil MRC. The study analyzes the performance of multilingual transformer models on the Tamil MRC task, including Multilingual DistilBERT, Multilingual BERT, XLM-RoBERTa, MuRIL, and RemBERT. Additionally, it explores improving these models' performance by fine-tuning them with English SQuAD, Tamil SQuAD, and a newly developed Tamil Short Story (TSS) dataset for MRC. Tamil's agglutinative nature, which expresses grammatical information through suffixation, results in a high degree of word inflexion. Given this characteristic, the BERT score was chosen as the evaluation metric for MRC performance. The analysis shows that the XLM-RoBERTa model outperformed the others for Tamil MRC, achieving a BERT score of 86.29% on the TSS MRC test set. This superior performance is attributed to the model's cross-lingual learning capability and the increased number of data records used for fine-tuning. The research underscores the necessity of language-specific fine-tuning of multilingual models to enhance NLP task performance, for low-resourced languages.</t>
  </si>
  <si>
    <t>10.1109/ACCESS.2025.3530949</t>
  </si>
  <si>
    <t>WOS:001405883900034</t>
  </si>
  <si>
    <t>Amjad, F; Korotko, T; Rosin, A</t>
  </si>
  <si>
    <t>Amjad, Furqan; Korotko, Tarmo; Rosin, Argo</t>
  </si>
  <si>
    <t>Review of LLMs Applications in Electrical Power and Energy Systems</t>
  </si>
  <si>
    <t>Power systems; Load modeling; Artificial intelligence; Reviews; Fault diagnosis; Decision making; Transformers; Power system stability; Renewable energy sources; Real-time systems; electrical power domain; fault diagnosis; grid management; large language models; load forecasting; natural language processing; predictive analytics; power systems; renewable energy integration; smart grids; transformer models</t>
  </si>
  <si>
    <t>This paper presents a comprehensive review of the applications, challenges, and future directions of Large Language Models (LLMs) in the Electrical Power Domain (EPD). Leveraging transformer-based architectures such as GPT, BERT, and LLaMA, LLMs have shown transformative potential across power system applications including load forecasting, fault diagnosis, regulatory compliance, question answering, risk assessment, and intelligent data analysis. Through a systematic analysis of over 45 studies, the review highlights measurable benefits such as up to 20% improvement in load forecasting accuracy, 30% reduction in operational response time, and 40% decrease in manual workload for regulatory tasks. LLMs have demonstrated strong adaptability through zero-shot and few-shot learning and are capable of processing multimodal inputs for real-time decision-making. However, limitations such as high computational costs, lack of domain-specific datasets, limited explainability, and concerns around regulatory alignment hinder widespread deployment. To address these gaps, the paper outlines research opportunities including domain-specific fine-tuning, scalable deployment strategies, multimodal integration, and the development of unified benchmarks such as ElecBench. Overall, the integration of LLMs in power systems represents a significant step toward more intelligent, reliable, and sustainable energy management.</t>
  </si>
  <si>
    <t>10.1109/ACCESS.2025.3599922</t>
  </si>
  <si>
    <t>WOS:001562578800012</t>
  </si>
  <si>
    <t>Cheng, SY; Wei, YS; Zhou, YL; Xu, ZH; Wright, DN; Liu, JZ; Peng, YF</t>
  </si>
  <si>
    <t>Cheng, Shuyan; Wei, Yishu; Zhou, Yiliang; Xu, Zihan; Wright, Drew N.; Liu, Jinze; Peng, Yifan</t>
  </si>
  <si>
    <t>Deciphering genomic codes using advanced natural language processing techniques: a scoping review</t>
  </si>
  <si>
    <t>natural language processing; large language models; genomic sequencing data; regulatory annotations</t>
  </si>
  <si>
    <t>Objectives The vast and complex nature of human genomic sequencing data presents challenges for effective analysis. This review aims to investigate the application of natural language processing (NLP) techniques, particularly large language models (LLMs) and transformer architectures, in deciphering genomic codes, focusing on tokenization, transformer models, and regulatory annotation prediction. The goal of this review is to assess data and model accessibility in the most recent literature, gaining a better understanding of the existing capabilities and constraints of these tools in processing genomic sequencing data.Materials and Methods Following Preferred Reporting Items for Systematic Reviews and Meta-Analyses (PRISMA) guidelines, our scoping review was conducted across PubMed, Medline, Scopus, Web of Science, Embase, and ACM Digital Library. Studies were included if they focused on NLP methodologies applied to genomic sequencing data analysis, without restrictions on publication date or article type.Results A total of 26 studies published between 2021 and April 2024 were selected for review. The review highlights that tokenization and transformer models enhance the processing and understanding of genomic data, with applications in predicting regulatory annotations like transcription-factor binding sites and chromatin accessibility.Discussion The application of NLP and LLMs to genomic sequencing data interpretation is a promising field that can help streamline the processing of large-scale genomic data while also providing a better understanding of its complex structures. It has the potential to drive advancements in personalized medicine by offering more efficient and scalable solutions for genomic analysis. Further research is also needed to discuss and overcome current limitations, enhancing model transparency and applicability.Conclusion This review highlights the growing role of NLP, particularly LLMs, in genomic sequencing data analysis. While these models improve data processing and regulatory annotation prediction, challenges remain in accessibility and interpretability. Further research is needed to refine their application in genomics.</t>
  </si>
  <si>
    <t>10.1093/jamia/ocaf029</t>
  </si>
  <si>
    <t>Bronze</t>
  </si>
  <si>
    <t>WOS:001433188600001</t>
  </si>
  <si>
    <t>Huynh, AT; Tran, P</t>
  </si>
  <si>
    <t>Huynh, Anh-Tuan; Tran, Phuoc</t>
  </si>
  <si>
    <t>Utilizing Transformer Models To Detect Vietnamese Fake News on Social Media Platforms</t>
  </si>
  <si>
    <t>KSII TRANSACTIONS ON INTERNET AND INFORMATION SYSTEMS</t>
  </si>
  <si>
    <t>Fake News Detection; PhoBERT; Social Media Analysis; Transformer Models; Vietnamese Fake News</t>
  </si>
  <si>
    <t>The spread of fake news on social media has become a serious issue, leading to misinformation and causing harm to society. This research aims to develop a system for analyzing and classifying Vietnamese fake news using transformer models, with a particular focus on PhoBERT - a version of BERT optimized for Vietnamese. To address this issue, we collected a dataset consisting of Vietnamese posts on the Facebook social media platform and several articles from Vietnamese news sources, covering topics such as lifestyle news, current affairs, and politics. Nevertheless, there are still challenges due to data imbalance between the number of true and false news. The posts were labeled as real or fake, then underwent data preprocessing and were trained using transformer models and PhoBERT for Vietnamese. We also incorporated the TF-IDF and Word2Vec word embedding techniques to optimize the model's performance. To evaluate the performance of the models, we used various evaluation metrics such as Accuracy, Precision, Recall, F1 Score, and AUC. Our results indicate that PhoBERT outperforms other transformer models in detecting Vietnamese fake news, achieving high accuracy and reliability. This paper outlines the background, objectives, methodology, and future research directions, providing a comprehensive overview of the research and its contributions to the field of fake news detection.</t>
  </si>
  <si>
    <t>1976-7277</t>
  </si>
  <si>
    <t>FEB 28</t>
  </si>
  <si>
    <t>10.3837/tiis.2025.02.006</t>
  </si>
  <si>
    <t>Computer Science; Telecommunications</t>
  </si>
  <si>
    <t>WOS:001437607800006</t>
  </si>
  <si>
    <t>Elhafsi, A; Sinha, R; Agia, C; Schmerling, E; Nesnas, IAD; Pavone, M</t>
  </si>
  <si>
    <t>Elhafsi, Amine; Sinha, Rohan; Agia, Christopher; Schmerling, Edward; Nesnas, Issa A. D.; Pavone, Marco</t>
  </si>
  <si>
    <t>Semantic anomaly detection with large language models</t>
  </si>
  <si>
    <t>AUTONOMOUS ROBOTS</t>
  </si>
  <si>
    <t>Semantic reasoning; OOD detection; Fault monitoring</t>
  </si>
  <si>
    <t>As robots acquire increasingly sophisticated skills and see increasingly complex and varied environments, the threat of an edge case or anomalous failure is ever present. For example, Tesla cars have seen interesting failure modes ranging from autopilot disengagements due to inactive traffic lights carried by trucks to phantom braking caused by images of stop signs on roadside billboards. These system-level failures are not due to failures of any individual component of the autonomy stack but rather system-level deficiencies in semantic reasoning. Such edge cases, which we call semantic anomalies, are simple for a human to disentangle yet require insightful reasoning. To this end, we study the application of large language models (LLMs), endowed with broad contextual understanding and reasoning capabilities, to recognize such edge cases and introduce a monitoring framework for semantic anomaly detection in vision-based policies. Our experiments apply this framework to a finite state machine policy for autonomous driving and a learned policy for object manipulation. These experiments demonstrate that the LLM-based monitor can effectively identify semantic anomalies in a manner that shows agreement with human reasoning. Finally, we provide an extended discussion on the strengths and weaknesses of this approach and motivate a research outlook on how we can further use foundation models for semantic anomaly detection. Our project webpage can be found at https://sites.google.com/view/llm-anomaly-detection.</t>
  </si>
  <si>
    <t>0929-5593</t>
  </si>
  <si>
    <t>1573-7527</t>
  </si>
  <si>
    <t>10.1007/s10514-023-10132-6</t>
  </si>
  <si>
    <t>Computer Science; Robotics</t>
  </si>
  <si>
    <t>WOS:001097671300001</t>
  </si>
  <si>
    <t>Zhecheva, D</t>
  </si>
  <si>
    <t>Zhecheva, Denitsa</t>
  </si>
  <si>
    <t>Exploratory Data Analysis and the Rise of Large Language Models - Gaming Industry Insights</t>
  </si>
  <si>
    <t>TEM JOURNAL-TECHNOLOGY EDUCATION MANAGEMENT INFORMATICS</t>
  </si>
  <si>
    <t>Large language models; exploratory data analysis; gaming industry; generative artificial intelligence; natural language processing</t>
  </si>
  <si>
    <t>The applications of modern large language models are diverse and new at the same time. It is forecasted that the scientific society and businesses may experience a long period of time exploring all opportunities and challenges for using them which will allow analysis of the impact on how advanced generative artificial intelligence is changing work occupation activities and performance efficiency. Undoubtedly, today's question that every business must answer is not if but how to implement large language models, due to their ability to transform numerous business processes. This study aims to give a better understanding on how large language models are contributing to the process of exploratory data analysis as they are not here to replace the traditional methods but to add generative artificial intelligence capabilities to the well-established ones. The results of this paper reveal high level of accuracy of the paired output between operation prompts in OpenAI's large language model and human-mediated entry. However, such output comparison highlighs the need for more informative and specific input prompts to ascertain this accuracy. Further caveats that need to be placed in consideration refer to possible system downtimes, as well as the expenses incurred with every prompt execution. Nevertheless, the comparative speed of operation of large language models remains their most substantial competitive advantage. Overall, the findings in this paper contribute to understanding that large language models streamline with ease the desired extraction of insightful information which may further be used for better decision-making, good data management, and design of winning growth strategy as is the case of the gaming industry</t>
  </si>
  <si>
    <t>2217-8309</t>
  </si>
  <si>
    <t>2217-8333</t>
  </si>
  <si>
    <t>10.18421/TEM131-59</t>
  </si>
  <si>
    <t>WOS:001179511200037</t>
  </si>
  <si>
    <t>Dai, XY; Guo, C; Tang, Y; Li, HC; Wang, YT; Huang, J; Tian, YL; Xia, X; Lv, YS; Wang, FY</t>
  </si>
  <si>
    <t>Dai, Xingyuan; Guo, Chao; Tang, Yun; Li, Haichuan; Wang, Yutong; Huang, Jun; Tian, Yonglin; Xia, Xin; Lv, Yisheng; Wang, Fei-Yue</t>
  </si>
  <si>
    <t>VistaRAG: Toward Safe and Trustworthy Autonomous Driving Through Retrieval-Augmented Generation</t>
  </si>
  <si>
    <t>IEEE TRANSACTIONS ON INTELLIGENT VEHICLES</t>
  </si>
  <si>
    <t>Databases; Autonomous vehicles; Decision making; Safety; Data models; Real-time systems; Reliability; Intelligent vehicles; foundation models; retrieval- augmented generation (RAG)</t>
  </si>
  <si>
    <t>Autonomous driving based on foundation models has recently garnered widespread attention. However, the risk of hallucinations inherent in foundation models could compromise the safety and reliability of autonomous driving systems. This letter, as part of a series of reports from the Distributed/Decentralized Hybrid Workshop on Foundation/Infrastructure Intelligence (DHW-FII), aims to tackle these issues. We introduce VistaRAG, which integrates retrieval-augmented generation (RAG) technologies into autonomous driving systems based on foundation models, to address the inherent reliability challenges in decision-making. VistaRAG employs a dynamic retrieval mechanism to access highly relevant driving experience, real-time road network status, and other contextual information from external databases. This aids foundation models in informed reasoning and decision-making, thereby enhancing the safety and trustworthiness of foundation-model-based autonomous driving systems under complex traffic scenarios.</t>
  </si>
  <si>
    <t>2379-8858</t>
  </si>
  <si>
    <t>2379-8904</t>
  </si>
  <si>
    <t>10.1109/TIV.2024.3396450</t>
  </si>
  <si>
    <t>Computer Science; Engineering; Transportation</t>
  </si>
  <si>
    <t>WOS:001250038700013</t>
  </si>
  <si>
    <t>Saleh, Y; Abu Talib, M; Nasir, Q; Dakalbab, F</t>
  </si>
  <si>
    <t>Saleh, Yasmeen; Abu Talib, Manar; Nasir, Qassim; Dakalbab, Fatima</t>
  </si>
  <si>
    <t>Evaluating large language models: a systematic review of efficiency, applications, and future directions</t>
  </si>
  <si>
    <t>FRONTIERS IN COMPUTER SCIENCE</t>
  </si>
  <si>
    <t>large language models; LLMS; efficiency; performance; application</t>
  </si>
  <si>
    <t>Large language models, the innovative breakthrough taking the world by storm, have been applied in several fields, such as medicine, education, finance, and law. Moreover, large language models can integrate into those fields through their abilities in natural language processing, text generation, question answering, and several other use cases that benefit human interactions and decision-making. Furthermore, it is imperative to acknowledge the differences involved with large language models beyond their applications by considering aspects such as their types, setups, parameters, and performance. This could help us understand how each large language model could be utilized to its fullest extent for maximum benefit. In this systematic literature review, we explore each of these aspects in depth. Finally, we conclude with insights and future directions for advancing the efficiency and applicability of large language models.</t>
  </si>
  <si>
    <t>2624-9898</t>
  </si>
  <si>
    <t>MAY 27</t>
  </si>
  <si>
    <t>10.3389/fcomp.2025.1523699</t>
  </si>
  <si>
    <t>WOS:001505398100001</t>
  </si>
  <si>
    <t>Zhong, Y; Wong, D; Lan, K</t>
  </si>
  <si>
    <t>Zhong, Yan; Wong, Dennis; Lan, Kun</t>
  </si>
  <si>
    <t>Tax Intelligent Decision-Making Language Model</t>
  </si>
  <si>
    <t>Data models; Finance; Computational modeling; Databases; Task analysis; Decision making; Adaptation models; Large language models; Domain knowledge; large language model; tax</t>
  </si>
  <si>
    <t>Large language models' exceptional all-purpose abilities have made human-computer conversations normal, but for particular industries and verticals, they fall short of enhancing the expertise of knowledge and the timeliness of information. In order to give current information, and provide improved search capabilities, large language models need to increasingly incorporate specialist resources and databases. In this research, a model for intelligent assisted decision-making was proposed that the model incorporates knowledge from domain-specific databases and real-time data and uses large language models to offer expert tax guidance. The research proposed to overcome the limits of general-purpose language models and deliver specialized advise for tax-related inquiries by complementing large language models with domain-specific information.The results we achieve demonstrate that by offering tax advice tailored to a given situation, and the model we proposed goes beyond the validity of general large language language models. Our contribution is that not only exploring the combination of tax area and large language model, but also proposing a new effective model for government tax department to use in real life. This study highlights the potential of big language models for use in real-world professional domains and advances the field of domain-specific human-computer interaction.</t>
  </si>
  <si>
    <t>10.1109/ACCESS.2024.3419079</t>
  </si>
  <si>
    <t>WOS:001338116200001</t>
  </si>
  <si>
    <t>Fu, YV; Ramachandran, GK; Halwani, A; McInnes, BT; Xia, F; Lybarger, K; Yetisgen, M; Uzuner, O</t>
  </si>
  <si>
    <t>Fu, Yujuan Velvin; Ramachandran, Giridhar Kaushik; Halwani, Ahmad; McInnes, Bridget T.; Xia, Fei; Lybarger, Kevin; Yetisgen, Meliha; Uzuner, Oezlem</t>
  </si>
  <si>
    <t>CACER: Clinical concept Annotations for Cancer Events and Relations</t>
  </si>
  <si>
    <t>natural language processing; machine learning; electronic health records; information extraction; data mining; cancer patients</t>
  </si>
  <si>
    <t>INFORMATION EXTRACTION; TEMPORAL RELATIONS; TEXT</t>
  </si>
  <si>
    <t>Objective Clinical notes contain unstructured representations of patient histories, including the relationships between medical problems and prescription drugs. To investigate the relationship between cancer drugs and their associated symptom burden, we extract structured, semantic representations of medical problem and drug information from the clinical narratives of oncology notes.Materials and Methods We present Clinical concept Annotations for Cancer Events and Relations (CACER), a novel corpus with fine-grained annotations for over 48 000 medical problems and drug events and 10 000 drug-problem and problem-problem relations. Leveraging CACER, we develop and evaluate transformer-based information extraction models such as Bidirectional Encoder Representations from Transformers (BERT), Fine-tuned Language Net Text-To-Text Transfer Transformer (Flan-T5), Large Language Model Meta AI (Llama3), and Generative Pre-trained Transformers-4 (GPT-4) using fine-tuning and in-context learning (ICL).Results In event extraction, the fine-tuned BERT and Llama3 models achieved the highest performance at 88.2-88.0 F1, which is comparable to the inter-annotator agreement (IAA) of 88.4 F1. In relation extraction, the fine-tuned BERT, Flan-T5, and Llama3 achieved the highest performance at 61.8-65.3 F1. GPT-4 with ICL achieved the worst performance across both tasks.Discussion The fine-tuned models significantly outperformed GPT-4 in ICL, highlighting the importance of annotated training data and model optimization. Furthermore, the BERT models performed similarly to Llama3. For our task, large language models offer no performance advantage over the smaller BERT models.Conclusions We introduce CACER, a novel corpus with fine-grained annotations for medical problems, drugs, and their relationships in clinical narratives of oncology notes. State-of-the-art transformer models achieved performance comparable to IAA for several extraction tasks.</t>
  </si>
  <si>
    <t>SEP 3</t>
  </si>
  <si>
    <t>10.1093/jamia/ocae231</t>
  </si>
  <si>
    <t>SEP 2024</t>
  </si>
  <si>
    <t>WOS:001303466100001</t>
  </si>
  <si>
    <t>Decardi-Nelson, B; Alshehri, AS; Ajagekar, A; You, FQ</t>
  </si>
  <si>
    <t>Decardi-Nelson, Benjamin; Alshehri, Abdulelah S.; Ajagekar, Akshay; You, Fengqi</t>
  </si>
  <si>
    <t>Generative AI and process systems engineering: The next frontier</t>
  </si>
  <si>
    <t>COMPUTERS &amp; CHEMICAL ENGINEERING</t>
  </si>
  <si>
    <t>Generative AI; Process systems engineering; Large language models; Multiscale</t>
  </si>
  <si>
    <t>MATHEMATICAL-PROGRAMMING TECHNIQUES; MIXED-INTEGER OPTIMIZATION; AIDED MOLECULAR DESIGN; OF-THE-ART; DATA-DRIVEN; GLOBAL OPTIMIZATION; SURROGATE MODELS; NEURAL-NETWORKS; VARIATIONAL AUTOENCODER; CHEMICAL-PRODUCT</t>
  </si>
  <si>
    <t>This review article explores how emerging generative artificial intelligence (GenAI) models, such as large language models (LLMs), can enhance solution methodologies within process systems engineering (PSE). These cutting-edge GenAI models, particularly foundation models (FMs), which are pre-trained on extensive, generalpurpose datasets, offer versatile adaptability for a broad range of tasks, including responding to queries, image generation, and complex decision-making. Given the close relationship between advancements in PSE and developments in computing and systems technologies, exploring the synergy between GenAI and PSE is essential. We begin our discussion with a compact overview of both classic and emerging GenAI models, including FMs, and then dive into their applications within key PSE domains: synthesis and design, optimization and integration, and process monitoring and control. In each domain, we explore how GenAI models could potentially advance PSE methodologies, providing insights and prospects for each area. Furthermore, the article identifies and discusses potential challenges in fully leveraging GenAI within PSE, including multiscale modeling, data requirements, evaluation metrics and benchmarks, and trust and safety, thereby deepening the discourse on effective GenAI integration into systems analysis, design, optimization, operations, monitoring, and control. This paper provides a guide for future research focused on the applications of emerging GenAI in PSE.</t>
  </si>
  <si>
    <t>0098-1354</t>
  </si>
  <si>
    <t>1873-4375</t>
  </si>
  <si>
    <t>AUG</t>
  </si>
  <si>
    <t>10.1016/j.compchemeng.2024.108723</t>
  </si>
  <si>
    <t>MAY 2024</t>
  </si>
  <si>
    <t>WOS:001241104200001</t>
  </si>
  <si>
    <t>Mohamed, A; Alaleeli, R; Shaalan, K</t>
  </si>
  <si>
    <t>Mohamed, Azza; Alaleeli, Reem; Shaalan, Khaled</t>
  </si>
  <si>
    <t>Advancing Predictive Healthcare: A Systematic Review of Transformer Models in Electronic Health Records</t>
  </si>
  <si>
    <t>COMPUTERS</t>
  </si>
  <si>
    <t>electronic health records; EHR; health records; transformer models; transformers; electronic medical records; EMR; record analysis; GPT; BEHRT</t>
  </si>
  <si>
    <t>This systematic study seeks to evaluate the use and impact of transformer models in the healthcare domain, with a particular emphasis on their usefulness in tackling key medical difficulties and performing critical natural language processing (NLP) functions. The research questions focus on how these models can improve clinical decision-making through information extraction and predictive analytics. Our findings show that transformer models, especially in applications like named entity recognition (NER) and clinical data analysis, greatly increase the accuracy and efficiency of processing unstructured data. Notably, case studies demonstrated a 30% boost in entity recognition accuracy in clinical notes and a 90% detection rate for malignancies in medical imaging. These contributions emphasize the revolutionary potential of transformer models in healthcare, and therefore their importance in enhancing resource management and patient outcomes. Furthermore, this paper emphasizes significant obstacles, such as the reliance on restricted datasets and the need for data format standardization, and provides a road map for future research to improve the applicability and performance of these models in real-world clinical settings.</t>
  </si>
  <si>
    <t>2073-431X</t>
  </si>
  <si>
    <t>APR 14</t>
  </si>
  <si>
    <t>10.3390/computers14040148</t>
  </si>
  <si>
    <t>WOS:001474423800001</t>
  </si>
  <si>
    <t>Liu, S; Pan, YH; Hong, K; Fei, RT; Lin, CH; Li, Q; Shen, C</t>
  </si>
  <si>
    <t>Liu, Shuai; Pan, Yiheng; Hong, Kun; Fei, Ruite; Lin, Chenhao; Li, Qian; Shen, Chao</t>
  </si>
  <si>
    <t>Backdoor threats in large language models-a survey</t>
  </si>
  <si>
    <t>SCIENCE CHINA-INFORMATION SCIENCES</t>
  </si>
  <si>
    <t>large language models; backdoor threats; attack and defence category; LLM life cycle; artificial intelligence security</t>
  </si>
  <si>
    <t>ATTACKS; TEXT</t>
  </si>
  <si>
    <t>Large language models (LLMs), with their advanced language comprehension and text generation capabilities, have demonstrated remarkable performance across diverse application scenarios involving code processing, search engines, and translation, among others. However, these models have become increasingly vulnerable to security threats, particularly to backdoor attacks. Therefore, a timely and comprehensive review of the existing backdoor threats is urgently required. In this paper, we present a systematic and timely review of the research on backdoor attacks on LLMs, categorising existing attack and defence methods according to the LLM. Additionally, we draw comparisons with backdoor attacks in traditional deep learning to provide a more intuitive understanding of backdoor threats in LLMs. Through this effective analysis and an evaluation of the reviewed studies, we identify the current research challenges and propose potential future research directions to address these issues.</t>
  </si>
  <si>
    <t>1674-733X</t>
  </si>
  <si>
    <t>1869-1919</t>
  </si>
  <si>
    <t>AUG 14</t>
  </si>
  <si>
    <t>10.1007/s11432-024-4351-3</t>
  </si>
  <si>
    <t>WOS:001552929000002</t>
  </si>
  <si>
    <t>Liu, S; Miao, H; Li, Z; Olson, M; Pascucci, V; Bremer, PT</t>
  </si>
  <si>
    <t>Liu, S.; Miao, H.; Li, Z.; Olson, M.; Pascucci, V.; Bremer, P-T.</t>
  </si>
  <si>
    <t>AVA: Towards Autonomous Visualization Agents through Visual Perception-Driven Decision-Making</t>
  </si>
  <si>
    <t>COMPUTER GRAPHICS FORUM</t>
  </si>
  <si>
    <t>With recent advances in multi-modal foundation models, the previously text-only large language models (LLM) have evolved to incorporate visual input, opening up unprecedented opportunities for various applications in visualization. Compared to existing work on LLM-based visualization works that generate and control visualization with textual input and output only, the proposed approach explores the utilization of the visual processing ability of multi-modal LLMs to develop Autonomous Visualization Agents (AVAs) that can evaluate the generated visualization and iterate on the result to accomplish user-defined objectives defined through natural language. We propose the first framework for the design of AVAs and present several usage scenarios intended to demonstrate the general applicability of the proposed paradigm. Our preliminary exploration and proof-of-concept agents suggest that this approach can be widely applicable whenever the choices of appropriate visualization parameters require the interpretation of previous visual output. Our study indicates that AVAs represent a general paradigm for designing intelligent visualization systems that can achieve high-level visualization goals, which pave the way for developing expert-level visualization agents in the future.</t>
  </si>
  <si>
    <t>0167-7055</t>
  </si>
  <si>
    <t>1467-8659</t>
  </si>
  <si>
    <t>10.1111/cgf.15093</t>
  </si>
  <si>
    <t>JUN 2024</t>
  </si>
  <si>
    <t>WOS:001241902800001</t>
  </si>
  <si>
    <t>Bhaskaran, SV</t>
  </si>
  <si>
    <t>Bhaskaran, Shinoy Vengaramkode</t>
  </si>
  <si>
    <t>EnterpriseAI: A Transformer-Based Framework for Cost Optimization and Process Enhancement in Enterprise Systems</t>
  </si>
  <si>
    <t>enterprise systems; transformer model; large language models; decision support system; enterprise data analytics; operational cost reduction; resource allocation automation; process flow optimization</t>
  </si>
  <si>
    <t>Coordination among multiple interdependent processes and stakeholders and the allocation of optimal resources make enterprise systems management a challenging process. Even for experienced professionals, it is not uncommon to cause inefficiencies and escalate operational costs. This paper introduces EnterpriseAI, a novel transformer-based framework designed to automate enterprise system management. This transformer model has been designed and customized to reduce manual effort, minimize errors, and enhance resource allocation. Moreover, it assists in decision making by incorporating all interdependent and independent variables associated with a matter. All of these together lead to significant cost savings across organizational workflows. A unique dataset has been derived in this study from real-world enterprise scenarios. Using the transfer learning approach, the EnterpriseAI transformer has been trained to analyze complex operational dependencies and deliver context-aware solutions related to enterprise systems. The experimental results demonstrate EnterpriseAI's effectiveness, achieving an accuracy of 92.1%, a precision of 92.5%, and a recall of 91.8%, with a perplexity score of 14. These results represent the ability of the EnterpriseAI to accurately respond to queries. The scalability and resource utilization tests reflect the astonishing factors that significantly reduce resource consumption while adapting to demand. Most importantly, it reduces the operational cost while enhancing the operational flow of business.</t>
  </si>
  <si>
    <t>MAR 16</t>
  </si>
  <si>
    <t>10.3390/computers14030106</t>
  </si>
  <si>
    <t>WOS:001452001600001</t>
  </si>
  <si>
    <t>Ishtiaq, A; Munir, K; Raza, A; Samee, NA; Jamjoom, MM; Ullah, Z</t>
  </si>
  <si>
    <t>Ishtiaq, Areeba; Munir, Kashif; Raza, Ali; Samee, Nagwan Abdel; Jamjoom, Mona M.; Ullah, Zahid</t>
  </si>
  <si>
    <t>Product Helpfulness Detection With Novel Transformer Based BERT Embedding and Class Probability Features</t>
  </si>
  <si>
    <t>Product helpfulness; large language model (LLM); machine learning; deep learning; text mining; BERT; transformer</t>
  </si>
  <si>
    <t>CLASSIFICATION</t>
  </si>
  <si>
    <t>Nowadays global market products are readily accessible worldwide, and a vast array of reviews across numerous platforms are posted daily in several categories, making it challenging for customers to stay informed about their product interests. To make informed decisions regarding product quality, users require access to reviews and ratings. Owners and managers must analyze customer ratings and the underlying emotional content of reviews to enhance the product's quality, cost, customer service, and environmental impact. The primary aim of our proposed research is to accurately predict product helpfulness through customer reviews using the Large Language Model (LLM), thereby assisting customers in saving time and money. We employed a benchmark dataset, the Amazon Fine Food Reviews, to develop numerous advanced machine-learning techniques. We introduced a novel transformer approach BERF (BERT Random Forest) for feature engineering to enhance the value of user evaluations for Amazon's gourmet food products. The BERF method utilizes BERT embeddings and class probability features derived from product helpfulness online reviews textual data. We have balanced the dataset using the Synthetic Minority Over-sampling TEchnique (SMOTE) approach. Our comprehensive study results demonstrated that the Light Gradient Boosting Machine (LGBM) strategy outperformed existing state-of-the-art approaches, achieving an accuracy of 98%. The performance of each method is confirmed using a k-fold method and further improved through hyperparameter optimization. Our innovative study employing a transformer model has significantly enhanced the utility of customer reviews, substantially reducing online product scams and preventing wasted time and money.</t>
  </si>
  <si>
    <t>10.1109/ACCESS.2024.3390605</t>
  </si>
  <si>
    <t>WOS:001208020100001</t>
  </si>
  <si>
    <t>Kazmierczak, R; Berthier, E; Frehse, G; Franchi, G</t>
  </si>
  <si>
    <t>Kazmierczak, Remi; Berthier, Eloise; Frehse, Goran; Franchi, Gianni</t>
  </si>
  <si>
    <t>Explainability and vision foundation models: A survey</t>
  </si>
  <si>
    <t>INFORMATION FUSION</t>
  </si>
  <si>
    <t>Interpretability; Explainability; XAI; Foundation models; Vision; Survey</t>
  </si>
  <si>
    <t>EXPLANATIONS</t>
  </si>
  <si>
    <t>As artificial intelligence systems become increasingly integrated into daily life, the field of explainability has gained significant attention. This trend is particularly driven by the complexity of modern AI models and their decision-making processes. The advent of foundation models, characterized by their extensive generalization capabilities and emergent uses, has further complicated this landscape. Foundation models occupy an ambiguous position in the explainability domain: their complexity makes them inherently challenging to interpret, yet they are increasingly leveraged as tools to construct explainable models. In this survey, we explore the intersection of foundation models and eXplainable AI (XAI) in the vision domain. We begin by compiling a comprehensive corpus of papers that bridge these fields. Next, we categorize these works based on their architectural characteristics. We then discuss the challenges faced by current research in integrating XAI within foundation models. Furthermore, we review common evaluation methodologies for these combined approaches. Finally, we present key observations and insights from our survey, offering directions for future research in this rapidly evolving field.</t>
  </si>
  <si>
    <t>1566-2535</t>
  </si>
  <si>
    <t>1872-6305</t>
  </si>
  <si>
    <t>10.1016/j.inffus.2025.103184</t>
  </si>
  <si>
    <t>APR 2025</t>
  </si>
  <si>
    <t>WOS:001478796200001</t>
  </si>
  <si>
    <t>Yuan, Y; Ding, JT; Feng, J; Jin, DP; Li, Y</t>
  </si>
  <si>
    <t>Yuan, Yuan; Ding, Jingtao; Feng, Jie; Jin, Depeng; Li, Yong</t>
  </si>
  <si>
    <t>A Universal Pre-Training and Prompting Framework for General Urban Spatio-Temporal Prediction</t>
  </si>
  <si>
    <t>Data models; Predictive models; Urban areas; Training; Adaptation models; Foundation models; Training data; Transformers; Three-dimensional displays; Tensors; Spatio-temporal prediction; prompt learning; universal model</t>
  </si>
  <si>
    <t>Urban spatio-temporal prediction is crucial for informed decision-making, such as traffic management, resource optimization, and emergency response. Despite remarkable breakthroughs in pretrained natural language models that enable one model to handle diverse tasks, a universal solution for spatio-temporal prediction remains challenging. Existing prediction approaches are typically tailored for specific spatio-temporal scenarios, requiring task-specific model designs and extensive domain-specific training data. In this study, we introduce UniST, a universal model designed for general urban spatio-temporal prediction across a wide range of scenarios. Inspired by large language models, UniST achieves success through: (i) utilizing diverse spatio-temporal data from different scenarios, (ii) effective pre-training to capture complex spatio-temporal dynamics, (iii) knowledge-guided prompts to enhance generalization capabilities. These designs together unlock the potential of building a universal model for various scenarios. Extensive experiments on more than 20 spatio-temporal scenarios, including grid-based data and graph-based data, demonstrate UniST's efficacy in advancing state-of-the-art performance, especially in few-shot and zero-shot prediction.</t>
  </si>
  <si>
    <t>10.1109/TKDE.2025.3545948</t>
  </si>
  <si>
    <t>WOS:001459525900010</t>
  </si>
  <si>
    <t>Huang, S; Yang, KX; Qi, S; Wang, R</t>
  </si>
  <si>
    <t>Huang, Sen; Yang, Kaixiang; Qi, Sheng; Wang, Rui</t>
  </si>
  <si>
    <t>When large language model meets optimization</t>
  </si>
  <si>
    <t>SWARM AND EVOLUTIONARY COMPUTATION</t>
  </si>
  <si>
    <t>Large language model; Optimization algorithm; Evolutionary computation</t>
  </si>
  <si>
    <t>LARGE-SCALE OPTIMIZATION; DISTRIBUTION ALGORITHM; DIFFERENTIAL EVOLUTION; ARCHITECTURE SEARCH</t>
  </si>
  <si>
    <t>Optimization algorithms and large language models (LLMs) enhance decision-making in dynamic environments by integrating artificial intelligence with traditional techniques. LLMs, with extensive domain knowledge, facilitate intelligent modeling and strategic decision-making in optimization, while optimization algorithms refine LLM architectures and output quality. This synergy offers novel approaches for advancing general AI, addressing both the computational challenges of complex problems and the application of LLMs in practical scenarios. This review outlines the progress and potential of combining LLMs with optimization algorithms, providing insights for future research directions.</t>
  </si>
  <si>
    <t>2210-6502</t>
  </si>
  <si>
    <t>2210-6510</t>
  </si>
  <si>
    <t>10.1016/j.swevo.2024.101663</t>
  </si>
  <si>
    <t>JUL 2024</t>
  </si>
  <si>
    <t>WOS:001279652900001</t>
  </si>
  <si>
    <t>Zafarmomen, N; Samadi, V</t>
  </si>
  <si>
    <t>Zafarmomen, Nima; Samadi, Vidya</t>
  </si>
  <si>
    <t>Can large language models effectively reason about adverse weather conditions?</t>
  </si>
  <si>
    <t>ENVIRONMENTAL MODELLING &amp; SOFTWARE</t>
  </si>
  <si>
    <t>Large language model; Text classification; LLaMA; BART; BERT; Adverse weather conditions</t>
  </si>
  <si>
    <t>This paper seeks to answer the question can Large Language Models (LLMs) effectively reason about adverse weather conditions?. To address this question, we utilized multiple LLMs to harness the US National Weather Service (NWS) flood report data spanning from June 2005 to September 2024. Bidirectional and Auto-Regressive Transformer (BART), Bidirectional Encoder Representations from Transformers (BERT), Large Language Model Meta AI (LLaMA-2), LLaMA-3, and LLaMA-3.1 were employed to categorize data based on predefined labels. The methodology was implemented in Charleston County, South Carolina, USA. Extreme events were unevenly distributed across the training period with the Cyclonic category exhibiting significantly fewer instances compared to the Flood and Thunderstorm categories. Analysis suggests that the LLaMA-3 reached its peak performance at 60% of the dataset size while other LLMs achieved peak performance at approximately 80-100% of the dataset size. This study provided deep insights into the application of LLMs in reasoning adverse weather conditions.</t>
  </si>
  <si>
    <t>1364-8152</t>
  </si>
  <si>
    <t>1873-6726</t>
  </si>
  <si>
    <t>10.1016/j.envsoft.2025.106421</t>
  </si>
  <si>
    <t>Computer Science; Engineering; Environmental Sciences &amp; Ecology; Water Resources</t>
  </si>
  <si>
    <t>WOS:001446654700001</t>
  </si>
  <si>
    <t>Liu, CH; Arulappan, A; Naha, R; Mahanti, A; Kamruzzaman, J; Ra, IH</t>
  </si>
  <si>
    <t>Liu, Chenghao; Arulappan, Arunkumar; Naha, Ranesh; Mahanti, Aniket; Kamruzzaman, Joarder; Ra, In-Ho</t>
  </si>
  <si>
    <t>Large Language Models and Sentiment Analysis in Financial Markets: A Review, Datasets, and Case Study</t>
  </si>
  <si>
    <t>Sentiment analysis; Bitcoin; Analytical models; Predictive models; Large language models; Correlation; Quality assessment; Large language model; Bitcoin price; sentiment analysis; machine learning; market dynamics</t>
  </si>
  <si>
    <t>INVESTOR SENTIMENT; INFORMATION; FRAMEWORK; CONTAGION; MEDIA</t>
  </si>
  <si>
    <t>This paper comprehensively examines Large Language Models (LLMs) in sentiment analysis, specifically focusing on financial markets and exploring the correlation between news sentiment and Bitcoin prices. We systematically categorize various LLMs used in financial sentiment analysis, highlighting their unique applications and features. We also investigate the methodologies for effective data collection and categorization, underscoring the need for diverse and comprehensive datasets. Our research features a case study investigating the correlation between news sentiment and Bitcoin prices, utilizing advanced sentiment analysis and financial analysis methods to demonstrate the practical application of LLMs. The findings reveal a modest but discernible correlation between news sentiment and Bitcoin price fluctuations, with historical news patterns showing a more substantial impact on Bitcoin's longer-term price than immediate news events. This highlights LLMs' potential in market trend prediction and informed investment decision-making.</t>
  </si>
  <si>
    <t>10.1109/ACCESS.2024.3445413</t>
  </si>
  <si>
    <t>WOS:001327326300001</t>
  </si>
  <si>
    <t>Bridgelall, R</t>
  </si>
  <si>
    <t>Bridgelall, Raj</t>
  </si>
  <si>
    <t>Unraveling the mysteries of AI chatbots</t>
  </si>
  <si>
    <t>ARTIFICIAL INTELLIGENCE REVIEW</t>
  </si>
  <si>
    <t>Generative artificial intelligence; Large language models; ChatGPT; Bard; Transformer architecture; Prompt engineering</t>
  </si>
  <si>
    <t>This primer provides an overview of the rapidly evolving field of generative artificial intelligence, specifically focusing on large language models like ChatGPT (OpenAI) and Bard (Google). Large language models have demonstrated unprecedented capabilities in responding to natural language prompts. The aim of this primer is to demystify the underlying theory and architecture of large language models, providing intuitive explanations for a broader audience. Learners seeking to gain insight into the technical underpinnings of large language models must sift through rapidly growing and fragmented literature on the topic. This primer brings all the main concepts into a single digestible document. Topics covered include text tokenization, vocabulary construction, token embedding, context embedding with attention mechanisms, artificial neural networks, and objective functions in model training. The primer also explores state-of-the-art methods in training large language models to generalize on specific applications and to align with human intentions. Finally, an introduction to the concept of prompt engineering highlights the importance of effective human-machine interaction through natural language in harnessing the full potential of artificial intelligence chatbots. This comprehensive yet accessible primer will benefit students and researchers seeking foundational knowledge and a deeper understanding of the inner workings of existing and emerging artificial intelligence models. The author hopes that the primer will encourage further responsible innovation and informed discussions about these increasingly powerful tools.</t>
  </si>
  <si>
    <t>0269-2821</t>
  </si>
  <si>
    <t>1573-7462</t>
  </si>
  <si>
    <t>MAR 13</t>
  </si>
  <si>
    <t>10.1007/s10462-024-10720-7</t>
  </si>
  <si>
    <t>Green Submitted, hybrid</t>
  </si>
  <si>
    <t>WOS:001181378200001</t>
  </si>
  <si>
    <t>Raj, S; Sharma, A; Saha, S; Singh, B; Pedanekar, N</t>
  </si>
  <si>
    <t>Raj, Subham; Sharma, Anurag; Saha, Sriparna; Singh, Brijraj; Pedanekar, Niranjan</t>
  </si>
  <si>
    <t>Transformative Movie Discovery: Large Language Models for Recommendation and Genre Prediction</t>
  </si>
  <si>
    <t>Motion pictures; Recommender systems; Chatbots; Large language models; History; Accuracy; Collaborative filtering; Transformers; Training data; Reviews; Recommendation system; genre prediction; personalized recommendation; large language model</t>
  </si>
  <si>
    <t>In the era of digital streaming platforms, personalized movie recommendations, and genre prediction have become pivotal for enhancing user engagement and satisfaction. With the growing number of OTT (Over-The-Top) platforms like Netflix, Amazon Prime Video, and Disney+, the need for effective content recommendation systems has become increasingly important. This paper presents a novel approach to movie discovery leveraging large language models. We explore the transformative potential of these models in two primary aspects: genre prediction and recommendation. We evaluated 4 different LLMs across the MovieLens-100K dataset using different prompting techniques. We employed audio subtitles from movie trailers as prompts for large language models (LLMs). We generated movie summaries from these prompts and subsequently used these generated summaries as additional prompts for predicting movie genres. Also, for the recommendation problem, each user's interaction history with movies is provided, along with the associated generated summary information. Our experiments reveal that large language models excel in capturing complex user preferences and movie characteristics, leading to highly accurate and personalized movie recommendations. Ranking metrics demonstrate that our approach consistently outperforms existing supervised baseline models in movie recommendation tasks.</t>
  </si>
  <si>
    <t>10.1109/ACCESS.2024.3482461</t>
  </si>
  <si>
    <t>WOS:001380709600040</t>
  </si>
  <si>
    <t>Xi, YP</t>
  </si>
  <si>
    <t>Xi, Yipeng</t>
  </si>
  <si>
    <t>Navigating Technological Shifts: An Examination of User Inertia and Technology Prestige in Large-Language-Model AI Chatbot Transition</t>
  </si>
  <si>
    <t>INTERNATIONAL JOURNAL OF HUMAN-COMPUTER INTERACTION</t>
  </si>
  <si>
    <t>Chatbot; platform switching; status quo bias; symbolic consumption; knowledge sharing; search engine</t>
  </si>
  <si>
    <t>SWITCHING COSTS; STATUS-QUO; INTENTION; PERSPECTIVE; FRAMEWORK; BEHAVIOR; ADOPTION; BRANDS; HABIT</t>
  </si>
  <si>
    <t>As large-language-model (LLM) AI chatbots create new pathways for problem-solving, they pose a challenge to the dominance of traditional search engines and knowledge sharing platforms. Utilizing theories of Status Quo Bias and Symbolic Consumption, this study investigates how user inertia and the perceived prestige of LLM AI chatbots influence the transition between platforms. A national survey comprising participants who have used LLM AI chatbots, knowledge sharing forums, and search engines (N = 800) within China was conducted. The findings obtained from structural equation modeling reveal that user inertia, rooted in habits and sunk costs, inhibits platform transition; however, the prestige of LLM AI chatbots can promote adoption and mitigate inertia; and entrenched media habits could, surprisingly, facilitate openness to new technologies. Implications on platform migration behavior amid technological advancements are discussed.</t>
  </si>
  <si>
    <t>1044-7318</t>
  </si>
  <si>
    <t>1532-7590</t>
  </si>
  <si>
    <t>JUL 3</t>
  </si>
  <si>
    <t>10.1080/10447318.2024.2405786</t>
  </si>
  <si>
    <t>WOS:001322316500001</t>
  </si>
  <si>
    <t>Rahman, A; Mahir, SH; Tashrif, TA; Karim, A; Aishi, AA; Kundu, D; Debnath, T; Moududi, A; Eidmum, ZA; Miah, AM; Al Farid, F; Karim, HA</t>
  </si>
  <si>
    <t>Rahman, Anichur; Mahir, Shahariar Hossain; Tashrif, Tanjum An; Karim, Ahsan; Aishi, Airin Afroj; Kundu, Dipanjali; Debnath, Tanoy; Moududi, Abul Ala; Eidmum, Zunead Abedin; Miah, Abu Saleh Musa; Al Farid, Fahmid; Karim, Hezerul Abdul</t>
  </si>
  <si>
    <t>Comparative analysis based on DeepSeek, ChatGPT, and Google Gemini: Features, techniques, performance, future prospects</t>
  </si>
  <si>
    <t>SYSTEMS AND SOFT COMPUTING</t>
  </si>
  <si>
    <t>Artificial intelligence; DeepSeek; ChatGPT; Copilot; Google Gemini; LLM; Technology; Performance; Data analysis; Data collection</t>
  </si>
  <si>
    <t>Large Language Models (LLMs) such as DeepSeek, ChatGPT, and Google Gemini are transforming the landscape of artificial intelligence and natural language processing through advanced reasoning, multimodal learning, and domain-specific performance. Despite their rapid rise in popularity and broad potential across education, healthcare, finance, and other sectors, few studies offer a comparative evaluation of these models. This work presents a comprehensive technical and functional comparison of DeepSeek, ChatGPT, and Gemini across multiple dimensions, including architecture, training methodology, benchmark performance, and domain generalization. Specifically, DeepSeek employs a Mixture-of-Experts (MoE) architecture for task-specific efficiency; ChatGPT uses a dense transformer model enhanced with reinforcement learning from human feedback (RLHF); and Gemini integrates robust multimodal capabilities across text, code, and images. To enrich our analysis, we conducted a detailed survey of 155 undergraduate students from various academic years (1st-4th), revealing that ChatGPT is the most widely used tool for academic purposes, while Gemini and DeepSeek exhibit unique strengths in specific tasks. Our findings elucidate the technical distinctions and performance trade-offs among the models and offer valuable insights into their real-world adoption and future prospects in AI research and application.</t>
  </si>
  <si>
    <t>2772-9419</t>
  </si>
  <si>
    <t>10.1016/j.sasc.2025.200396</t>
  </si>
  <si>
    <t>DEC 2025</t>
  </si>
  <si>
    <t>WOS:001597046700003</t>
  </si>
  <si>
    <t>Burkhardt, S; Rieder, B</t>
  </si>
  <si>
    <t>Burkhardt, Sarah; Rieder, Bernhard</t>
  </si>
  <si>
    <t>Foundation models are platform models: Prompting and the political economy of AI</t>
  </si>
  <si>
    <t>BIG DATA &amp; SOCIETY</t>
  </si>
  <si>
    <t>Artificial intelligence; foundation models; political economy; platformization; prompting; materiality</t>
  </si>
  <si>
    <t>A recent innovation in the field of machine learning has been the creation of very large pre-trained models, also referred to as 'foundation models', that draw on much larger and broader sets of data than typical deep learning systems and can be applied to a wide variety of tasks. Underpinning text-based systems such as OpenAI's ChatGPT and image generators such as Midjourney, these models have received extraordinary amounts of public attention, in part due to their reliance on prompting as the main technique to direct and apply them. This paper thus uses prompting as an entry point into the critical study of foundation models and their implications. The paper proceeds as follows: In the first section, we introduce foundation models in more detail, outline some of the main critiques, and present our general approach. We then discuss prompting as an algorithmic technique, show how it makes foundation models programmable, and explain how it enables different audiences to use these models as (computational) platforms. In the third section, we link the material properties of the technologies under scrutiny to questions of political economy, discussing, in turn, deep user interactions, reordered cost structures, and centralization and lock-in. We conclude by arguing that foundation models and prompting further strengthen Big Tech's dominance over the field of computing and, through their broad applicability, many other economic sectors, challenging our capacities for critical appraisal and regulatory response.</t>
  </si>
  <si>
    <t>2053-9517</t>
  </si>
  <si>
    <t>10.1177/20539517241247839</t>
  </si>
  <si>
    <t>Social Sciences - Other Topics</t>
  </si>
  <si>
    <t>WOS:001206166000001</t>
  </si>
  <si>
    <t>Praveen, SV; Gajjar, P; Ray, RK; Dutt, A</t>
  </si>
  <si>
    <t>Praveen, S. V.; Gajjar, Pranshav; Ray, Rajeev Kumar; Dutt, Ashutosh</t>
  </si>
  <si>
    <t>Crafting clarity: Leveraging large language models to decode consumer reviews</t>
  </si>
  <si>
    <t>JOURNAL OF RETAILING AND CONSUMER SERVICES</t>
  </si>
  <si>
    <t>Natural language processing; Large language models; Fine-tuning; Transfer learning; Deep learning</t>
  </si>
  <si>
    <t>SENTIMENT ANALYSIS; ONLINE REVIEWS; HOTELS</t>
  </si>
  <si>
    <t>Large Language Models (LLMs) have emerged as powerful tools for understanding consumer perceptions and extracting insights from unstructured textual data. This study investigates the effectiveness of LLMs in comprehending consumer opinions, particularly in service industries. We fine-tuned four prominent LLMs-Falcon7B, MPT-7B, GPT-2, and BERT-using 1,031,478 consumer reviews and assessed their ability to identify topics, emotions, and sentiments. Our results indicate that Falcon-7B excels in accuracy and reliability for complex tasks. This study is the first, to our knowledge, to fine-tune Large Language Models (LLMs) specifically for consumer data, showcasing the efficacy of attention mechanisms in extracting valuable insights. Our findings offer strategic decision-making insights for the service industry and underscore the transformative potential of LLMs in business intelligence from consumer feedback.</t>
  </si>
  <si>
    <t>0969-6989</t>
  </si>
  <si>
    <t>1873-1384</t>
  </si>
  <si>
    <t>10.1016/j.jretconser.2024.103975</t>
  </si>
  <si>
    <t>WOS:001268385100001</t>
  </si>
  <si>
    <t>Wang, M; Ma, RY; Shen, GQ; Xue, J</t>
  </si>
  <si>
    <t>Wang, Ming; Ma, Ruiyang; Shen, Geoffrey Qiping; Xue, Jin</t>
  </si>
  <si>
    <t>How Large Language Models Empower the Analysis of Online Public Engagement for Mega Infrastructure Projects: Cases in Hong Kong</t>
  </si>
  <si>
    <t>IEEE TRANSACTIONS ON ENGINEERING MANAGEMENT</t>
  </si>
  <si>
    <t>Social networking (online); Stakeholders; Training; Large language models; Electronic mail; Delays; Costs; Uncertainty; Decision making; Buildings; Large language models (LLMs); mega projects; public engagement; social network analysis (SNA)</t>
  </si>
  <si>
    <t>SOCIAL MEDIA; STAKEHOLDER MANAGEMENT; MEGAPROJECTS; KNOWLEDGE; FRAMEWORK; CONSUMERS; IMPACT</t>
  </si>
  <si>
    <t>Mega infrastructure projects (MIPs) have profound societal impacts, and public engagement plays a crucial role in their success. The rise of social media enables the dynamic analysis of public opinions, aiding decision-makers in addressing public concerns. This study introduces a networking, parsing, retrieval, and mapping approach that innovatively leverages large language models (LLMs) for massive text parsing and social network analysis. Using data from Hong Kong's nine MIP topics, this study identifies influencers and examines public and influencer engagement across project lifecycles. The findings and constructed managerial maps reveal the hidden dynamics of involvement and interaction across different project event types, enabling a prioritized management method. The novel LLM-driven framework offers decision-makers actionable insights to comprehensively optimize online public communication and engagement strategies for MIPs.</t>
  </si>
  <si>
    <t>0018-9391</t>
  </si>
  <si>
    <t>1558-0040</t>
  </si>
  <si>
    <t>10.1109/TEM.2025.3553595</t>
  </si>
  <si>
    <t>Business &amp; Economics; Engineering</t>
  </si>
  <si>
    <t>WOS:001468771900008</t>
  </si>
  <si>
    <t>Li, Q</t>
  </si>
  <si>
    <t>Li, Qin</t>
  </si>
  <si>
    <t>Machine Translation of English Language Using the Complexity-Reduced Transformer Model</t>
  </si>
  <si>
    <t>MOBILE INFORMATION SYSTEMS</t>
  </si>
  <si>
    <t>Previous translation models like statistical machine translation (SMT), rule-based machine translation (RBMT), hybrid machine translation (HMT), and neural machine translation (NMT) have reached their performance bottleneck. The new Transformer-based machine translation model has become the favorite choice for English language translation. For instance, Google's BERT translation model organizes the Transformer module into bidirectional encoder representations. It is aware of the users' search intentions as well as the material that the search engine has indexed. It does not need to evaluate previous searches to comprehend what people mean, unlike RankBrain. BERT comprehends words, sentences, and complete information in the same way that we do. It achieves remarkable translation quality improvement over the other state-of-the-art benchmarks. It demonstrates the great potential of the Transformer model. The Transformer-based translation model mainly improves the performance at the cost of growing model sizes and complexity, usually requiring million-scale parameters. It is hard for the traditional computing systems to cope with the growing memory and computation requirements. However, the latest computers can easily run this model without any lag. The biggest challenge of applying the Transformer model is to deploy these models efficiently onto real-time or embedded devices. In this work, we propose a quantization scheme to reduce the parameter and computation complexity. It is of great importance to promote the usage of the Transformer model. Our experiment results show that the original Transformer model in 32 bit floating-point can be quantized to only 8 bits to 12 bits with only negligible translation quality loss. However, due to the perfect transformation of the block part, this quality loss part can easily be managed by the users. Meanwhile, our algorithm achieves 2.6x to 4.0x compression ratio, which is helpful to save the required complexity and energy during the inference phase.</t>
  </si>
  <si>
    <t>1574-017X</t>
  </si>
  <si>
    <t>1875-905X</t>
  </si>
  <si>
    <t>JUN 7</t>
  </si>
  <si>
    <t>10.1155/2022/6603576</t>
  </si>
  <si>
    <t>WOS:000813927700001</t>
  </si>
  <si>
    <t>Liu, G; Bono, CA; Pierri, F</t>
  </si>
  <si>
    <t>Liu, Geng; Bono, Carlo Alberto; Pierri, Francesco</t>
  </si>
  <si>
    <t>Comparing diversity, negativity, and stereotypes in Chinese-language AI technologies: an investigation of Baidu, Ernie and Qwen</t>
  </si>
  <si>
    <t>PEERJ COMPUTER SCIENCE</t>
  </si>
  <si>
    <t>Large language models; bias; fairness; online search engines; Chinese language; Chinese society; stereotypes</t>
  </si>
  <si>
    <t>Large language models (LLMs) and search engines have the potential to perpetuate biases and stereotypes by amplifying existing prejudices in their training data and algorithmic processes, thereby influencing public perception and decision-making. While most work has focused on Western-centric AI technologies, we examine social biases embedded in prominent Chinese-based commercial tools, the main search engine Baidu and two leading LLMs, Ernie and Qwen. Leveraging a dataset of 240 social groups across 13 categories describing Chinese society, we collect over 30 k views encoded in the aforementioned tools by prompting them to generate candidate words describing these groups. We find that language models exhibit a broader range of embedded views compared to the search engine, although Baidu and Qwen generate negative content more often than Ernie. We also observe a moderate prevalence of stereotypes embedded in the language models, many of which potentially promote offensive or derogatory views. Our work highlights the importance of prioritizing fairness and inclusivity in AI technologies from a global perspective.</t>
  </si>
  <si>
    <t>2376-5992</t>
  </si>
  <si>
    <t>MAR 7</t>
  </si>
  <si>
    <t>e2694</t>
  </si>
  <si>
    <t>10.7717/peerj-cs.2694</t>
  </si>
  <si>
    <t>WOS:001480037600001</t>
  </si>
  <si>
    <t>Rutagemwa, H; Ghasemi, A; Guinand, P</t>
  </si>
  <si>
    <t>Rutagemwa, Humphrey; Ghasemi, Amir; Guinand, Paul</t>
  </si>
  <si>
    <t>Empowering Future Spectrum Management and Regulation With Large Language Models</t>
  </si>
  <si>
    <t>IEEE INTELLIGENT SYSTEMS</t>
  </si>
  <si>
    <t>Radio spectrum management; Data mining; Artificial intelligence; Regulation; Licenses; Question answering (information retrieval); Interference; Stakeholders; Large language models</t>
  </si>
  <si>
    <t>Spectrum management and regulation are becoming more complex due to rapid technological advancements, increasing demand for spectrum, and the presence of diverse stakeholders with conflicting interests. In response, governments worldwide are increasingly interested in leveraging advanced technologies, such as artificial intelligence (AI), to enhance efficiency and optimize policy outcomes. This article explores the application of large language models (LLMs), a subset of generative AI, to streamline tasks and improve decision making in spectrum management and regulation. It examines the various roles of LLMs in this field and addresses associated challenges. Through empirical case studies and experimental findings, the article demonstrates how LLMs can profoundly transform spectrum management and regulation practices. The study also offers insights into effectively integrating AI into regulatory frameworks, providing practical lessons and best practices for governmental AI initiatives.</t>
  </si>
  <si>
    <t>1541-1672</t>
  </si>
  <si>
    <t>1941-1294</t>
  </si>
  <si>
    <t>JUL-AUG</t>
  </si>
  <si>
    <t>10.1109/MIS.2025.3567372</t>
  </si>
  <si>
    <t>WOS:001554164100002</t>
  </si>
  <si>
    <t>Zolnour, A; Azadmaleki, H; Haghbin, Y; Taherinezhad, F; Nezhad, MJM; Rashidi, S; Khani, M; Taleban, A; Sani, SM; Dadkhah, M; Noble, JM; Bakken, S; Yaghoobzadeh, Y; Vahabie, AH; Rouhizadeh, M; Zolnoori, M</t>
  </si>
  <si>
    <t>Zolnour, Ali; Azadmaleki, Hossein; Haghbin, Yasaman; Taherinezhad, Fatemeh; Nezhad, Mohamad Javad Momeni; Rashidi, Sina; Khani, Masoud; Taleban, Amirsajjad; Sani, Samin Mahdizadeh; Dadkhah, Maryam; Noble, James M.; Bakken, Suzanne; Yaghoobzadeh, Yadollah; Vahabie, Abdol-Hossein; Rouhizadeh, Masoud; Zolnoori, Maryam</t>
  </si>
  <si>
    <t>LLMCARE: early detection of cognitive impairment via transformer models enhanced by LLM-generated synthetic data</t>
  </si>
  <si>
    <t>FRONTIERS IN ARTIFICIAL INTELLIGENCE</t>
  </si>
  <si>
    <t>Alzheimer's disease; mild cognitive impairment (MCI); large language models; data augmentation; transformers; natural language processing</t>
  </si>
  <si>
    <t>DEMENTIA; SPEECH; DISEASE; CARE</t>
  </si>
  <si>
    <t>Background Alzheimer's disease and related dementias (ADRD) affect nearly five million older adults in the United States, yet more than half remain undiagnosed. Speech-based natural language processing (NLP) provides a scalable approach to identify early cognitive decline by detecting subtle linguistic markers that may precede clinical diagnosis.Objective This study aims to develop and evaluate a speech-based screening pipeline that integrates transformer-based embeddings with handcrafted linguistic features, incorporates synthetic augmentation using large language models (LLMs), and benchmarks unimodal and multimodal LLM classifiers. External validation was performed to assess generalizability to an MCI-only cohort.Methods Transcripts were obtained from the ADReSSo 2021 benchmark dataset (n = 237; derived from the Pitt Corpus, DementiaBank) and the DementiaBank Delaware corpus (n = 205; clinically diagnosed mild cognitive impairment [MCI] vs. controls). Audio was automatically transcribed using Amazon Web Services Transcribe (general model). Ten transformer models were evaluated under three fine-tuning strategies. A late-fusion model combined embeddings from the best-performing transformer with 110 linguistically derived features. Five LLMs (LLaMA-8B/70B, MedAlpaca-7B, Ministral-8B, GPT-4o) were fine-tuned to generate label-conditioned synthetic speech for data augmentation. Three multimodal LLMs (GPT-4o, Qwen-Omni, Phi-4) were tested in zero-shot and fine-tuned settings.Results On the ADReSSo dataset, the fusion model achieved an F1-score of 83.32 (AUC = 89.48), outperforming both transformer-only and linguistic-only baselines. Augmentation with MedAlpaca-7B synthetic speech improved performance to F1 = 85.65 at 2 x scale, whereas higher augmentation volumes reduced gains. Fine-tuning improved unimodal LLM classifiers (e.g., MedAlpaca-7B, F1 = 47.73 -&gt; 78.69), while multimodal models demonstrated lower performance (Phi-4 = 71.59; GPT-4o omni = 67.57). On the Delaware corpus, the pipeline generalized to an MCI-only cohort, with the fusion model plus 1 x MedAlpaca-7B augmentation achieving F1 = 72.82 (AUC = 69.57).Conclusion Integrating transformer embeddings with handcrafted linguistic features enhances ADRD detection from speech. Distributionally aligned LLM-generated narratives provide effective but bounded augmentation, while current multimodal models remain limited. Crucially, validation on the Delaware corpus demonstrates that the proposed pipeline generalizes to early-stage impairment, supporting its potential as a scalable approach for clinically relevant early screening. All codes for LLMCARE are publicly available at: GitHub.</t>
  </si>
  <si>
    <t>2624-8212</t>
  </si>
  <si>
    <t>NOV 6</t>
  </si>
  <si>
    <t>10.3389/frai.2025.1669896</t>
  </si>
  <si>
    <t>WOS:001618827000001</t>
  </si>
  <si>
    <t>Schindler, C; Rausch, A</t>
  </si>
  <si>
    <t>Schindler, Christian; Rausch, Andreas</t>
  </si>
  <si>
    <t>Formal Software Architecture Rule Learning: A Comparative Investigation between Large Language Models and Inductive Techniques</t>
  </si>
  <si>
    <t>software architecture; Inductive Rule Learning; constraint learning; first-order logic; Large Language Models</t>
  </si>
  <si>
    <t>This paper explores the application of inferring software architecture rules from examples using Machine Learning (ML). We investigate different methods from Inductive Rule Learning and utilize Large Language Models (LLMs). Traditional manual rule specification approaches are time-consuming and error-prone, motivating the need for automated rule discovery. Leveraging a dataset of software architecture instances and a meta-model capturing implementation facts, we used inductive learning algorithms and LLMs to extract meaningful rules. The induced rules are evaluated against a predefined hypothesis and their generalizability across different system subsets is investigated. The research highlights the capabilities and limitations of ML-based rule learning in the area of software architecture, aiming to inspire further innovation in data-driven rule discovery for more intelligent software architecture practices.</t>
  </si>
  <si>
    <t>MAR</t>
  </si>
  <si>
    <t>10.3390/electronics13050816</t>
  </si>
  <si>
    <t>WOS:001182738700001</t>
  </si>
  <si>
    <t>Kim, J; Kim, H; Kim, H; Lee, DJ; Yoon, S</t>
  </si>
  <si>
    <t>Kim, Jongseon; Kim, Hyungjoon; Kim, Hyungi; Lee, Dongjun; Yoon, Sungroh</t>
  </si>
  <si>
    <t>A comprehensive survey of deep learning for time series forecasting: architectural diversity and open challenges</t>
  </si>
  <si>
    <t>Time series forecasting; Deep learning; Foundation model; Distribution shift; Causality</t>
  </si>
  <si>
    <t>NEURAL-NETWORKS; FUNCTION APPROXIMATION; ACCURACY; MODEL; DECOMPOSITION; ATTENTION</t>
  </si>
  <si>
    <t>Time series forecasting is a critical task that provides key information for decision-making across various fields, such as economic planning, supply chain management, and medical diagnosis. After the use of traditional statistical methodologies and machine learning in the past, various fundamental deep learning architectures such as MLPs, CNNs, RNNs, and GNNs have been developed and applied to solve time series forecasting problems. However, the structural limitations caused by the inductive biases of each deep learning architecture constrained their performance. Transformer models, which excel at handling long-term dependencies, have become significant architectural components for time series forecasting. However, recent research has shown that alternatives such as simple linear layers can outperform Transformers. These findings have opened up new possibilities for using diverse architectures, ranging from fundamental deep learning models to emerging architectures and hybrid approaches. In this context of exploration into various models, the architectural modeling of time series forecasting has now entered a renaissance. This survey not only provides a historical context for time series forecasting but also offers comprehensive and timely analysis of the movement toward architectural diversification. By comparing and re-examining various deep learning models, we uncover new perspectives and present the latest trends in time series forecasting, including the emergence of hybrid models, diffusion models, Mamba models, and foundation models. By focusing on the inherent characteristics of time series data, we also address open challenges that have gained attention in time series forecasting, such as channel dependency, distribution shift, causality, and feature extraction. This survey explores vital elements that can enhance forecasting performance through diverse approaches. These contributions help lower entry barriers for newcomers by providing a systematic understanding of the diverse research areas in time series forecasting (TSF), while offering seasoned researchers broader perspectives and new opportunities through in-depth exploration of TSF challenges.</t>
  </si>
  <si>
    <t>APR 23</t>
  </si>
  <si>
    <t>10.1007/s10462-025-11223-9</t>
  </si>
  <si>
    <t>WOS:001473445600001</t>
  </si>
  <si>
    <t>Grumeza, TR; Bozga, B; Staniloiu, GL</t>
  </si>
  <si>
    <t>Grumeza, Theodor-radu; Bozga, Bogdan; Staniloiu, Grigore-liviu</t>
  </si>
  <si>
    <t>INTEGRATION OF LLM IN EXPIRATION DATE SCANNING FOR VISUALLY IMPAIRED PEOPLE</t>
  </si>
  <si>
    <t>SCALABLE COMPUTING-PRACTICE AND EXPERIENCE</t>
  </si>
  <si>
    <t>Expiration date scanning; Image processing; Visually impaired people; Large Language Models</t>
  </si>
  <si>
    <t>In this study, the authors explore an approach to detect expiration dates of food products using a live feed stream and the integration with Large Language Models in order to improve accessibility for visually impaired people. The main objective is to enhance their capacity to engage in common tasks like grocery shopping autonomously. The novelty of this research lies in employing Meta LLAMA 2, a large language model, and experimenting with both traditional and a new OCR solution to find the expiration date using image processing. This approach offers audio information about whether the product has expired or when it will expire, helping in shopping and product recognition for visually challenged customers. The proposed solution consists of optical character recognition, mainly the EasyOCR library, fine-tuned on cropped images containing only the expiration dates and a validation phase that filters and checks the extracted data.</t>
  </si>
  <si>
    <t>1895-1767</t>
  </si>
  <si>
    <t>SI</t>
  </si>
  <si>
    <t>10.12694/scpe.v25i6.4967</t>
  </si>
  <si>
    <t>WOS:001337737600115</t>
  </si>
  <si>
    <t>Li, JJ; Xu, ML; Xiang, LR; Chen, D; Zhuang, WC; Yin, XY; Li, ZJ</t>
  </si>
  <si>
    <t>Li, Jiajia; Xu, Mingle; Xiang, Lirong; Chen, Dong; Zhuang, Weichao; Yin, Xunyuan; Li, Zhaojian</t>
  </si>
  <si>
    <t>Foundation models in smart agriculture: Basics, opportunities, and challenges</t>
  </si>
  <si>
    <t>Foundation models; Smart agriculture; Language foundation models; Vision foundation models; Multimodal foundation models; Reinforcement learning foundation models</t>
  </si>
  <si>
    <t>The past decade has witnessed the rapid development and adoption of machine and deep learning (ML &amp; DL) methodologies in agricultural systems, showcased by great successes in applications such as smart crop management, smart plant breeding, smart livestock farming, precision aquaculture farming, and agricultural robotics. However, these conventional ML/DL models have certain limitations: they heavily rely on large, costly-to-acquire labeled datasets for training, require specialized expertise for development and maintenance, and are mostly tailored for specific tasks, thus lacking generalizability. Recently, large pre-trained models, also known as foundation models (FMs), have demonstrated remarkable successes in language, vision, and decision-making tasks across various domains. These models are trained on a vast amount of data from multiple domains and modalities. Once trained, they can accomplish versatile tasks with just minor fine-tuning and minimal task-specific labeled data. Despite their proven effectiveness and huge potential, there has been little exploration of applying FMs to agriculture artificial intelligence (AI). Therefore, this study aims to explore the potential of FMs in the field of smart agriculture. In particular, conceptual tools and technical background are presented to facilitate the understanding of the problem space and uncover new research directions in this field. To this end, recent FMs in the general computer science (CS) domain are reviewed, and the models are categorized into four categories: language FMs, vision FMs, multimodal FMs, and reinforcement learning FMs. Subsequently, the process of developing agriculture FMs (AFMs) is outlined and their potential applications in smart agriculture are discussed. In addition, the unique challenges and risks associated with developing AFMs are discussed, including model training, validation, and deployment. Through this study, the advancement of AI in agriculture is explored by introducing AFMs as a promising paradigm that can significantly mitigate the reliance on extensive labeled datasets and enhance the efficiency, effectiveness, and generalization of agricultural AI systems. To facilitate further research, a well-classified and actively updated list of papers on AFMs is organized and accessible at https://github.com/JiajiaLi04/Agriculture-Foundation-Models.</t>
  </si>
  <si>
    <t>10.1016/j.compag.2024.109032</t>
  </si>
  <si>
    <t>WOS:001248038200001</t>
  </si>
  <si>
    <t>Zou, HC; Wang, YL</t>
  </si>
  <si>
    <t>Zou, Haochen; Wang, Yongli</t>
  </si>
  <si>
    <t>A novel large language model enhanced joint learning framework for fine-grained sentiment analysis on drug reviews</t>
  </si>
  <si>
    <t>NEUROCOMPUTING</t>
  </si>
  <si>
    <t>Fine-grained sentiment analysis; Aspect-based sentiment analysis; Large language model; Health informatics</t>
  </si>
  <si>
    <t>Patient feedback on drug reviews extracted from social media platforms and online forums provides genuine sentiment information regarding post-medication usage. The insights are invaluable for prospective patients seeking appropriate medical guidance and stakeholders within the biomedical industry aiming to improve products. This paper presents a novel joint learning framework for fine-grained aspect-based sentiment analysis on drug reviews. By leveraging prior biomedical knowledge from the domain-specific pre-trained large language model, we address the challenge of fine-grained aspect-based sentiment analysis by collaboratively integrating both coarse and fine-grained contextual features within the text content, capturing precise biomedical aspect terms and the corresponding sentiment polarities. To the best of our knowledge, this work pioneers the initial introduction of a joint learning framework based on the fine-tuned biomedical large language model for finegrained aspect-based sentiment analysis within drug reviews. By conducting extensive experiments on publicly available drug review datasets and comparing the constructed architecture with state-of-the-art techniques, the joint learning framework outperforms baseline competitors across evaluation metrics.</t>
  </si>
  <si>
    <t>0925-2312</t>
  </si>
  <si>
    <t>1872-8286</t>
  </si>
  <si>
    <t>10.1016/j.neucom.2025.129589</t>
  </si>
  <si>
    <t>WOS:001423855200001</t>
  </si>
  <si>
    <t>Ryan, P; Elwyn, G</t>
  </si>
  <si>
    <t>Ryan, Padhraig; Elwyn, Glyn</t>
  </si>
  <si>
    <t>Automated production of comparison tables for shared decision making: Comparing a human-generated table (Option Grid), a search engine process, and outputs from four large language models</t>
  </si>
  <si>
    <t>PATIENT EDUCATION AND COUNSELING</t>
  </si>
  <si>
    <t>Machine learning; Artificial intelligence; Deep learning; Patient participation; Shared decision-making</t>
  </si>
  <si>
    <t>FORMULA</t>
  </si>
  <si>
    <t>Objectives: To explore the ability of artificial intelligence to produce comparison tables to facilitate shared decision-making. Methods: An expert human-generated comparison table (Option Grid TM) was compared to four comparison tables produced by large language models and one produced using a Google search process that a patient might undertake. Each table was prepared for a patient with osteoarthritis of the knee, considering a knee replacement. The results were compared to the Option Grid.TM The information items in each comparison table were divided into eight categories: the intervention process; benefits; side effects &amp; adverse effects; pre-operative care; post-operative care &amp; physical recovery; repeat surgery; decision-making process; and alternative interventions. We assessed the accuracy of each information item in a binary manner (accurate, inaccurate). Results: OpenBioLLM-70b and two proprietary ChatGPT models generated similar frequencies of information items across most categories, but omitted information on alternative interventions. The Google search process yielded the highest number of information items (n = 41), and OpenBioLLM-8b yielded the lowest (n = 20). Accuracy, compared to the human Option Grid, was 97 % for the ChatGPT models and the open-source Open-BioLLM-70b, and 95 % for OpenBioLLM-8b and the Google search process. The human-generated Option Grid had superior readability. Conclusions: Large language models produced comparison tables that are 3-5 % less accurate than a human generated Option Grid. Comparison tables produced by large language models may be less readable and require additional checking and editing. Practice implications: Subject to fact-checking and feedback, large language models may have a role to play in scaling up the production of evidence-based comparison tables that could assist patients and others.</t>
  </si>
  <si>
    <t>0738-3991</t>
  </si>
  <si>
    <t>1873-5134</t>
  </si>
  <si>
    <t>JAN</t>
  </si>
  <si>
    <t>10.1016/j.pec.2025.109356</t>
  </si>
  <si>
    <t>SEP 2025</t>
  </si>
  <si>
    <t>Public, Environmental &amp; Occupational Health; Social Sciences - Other Topics</t>
  </si>
  <si>
    <t>WOS:001580246000001</t>
  </si>
  <si>
    <t>Zhuang, XD; Wu, Y</t>
  </si>
  <si>
    <t>Zhuang, Xudong; Wu, Yu</t>
  </si>
  <si>
    <t>Large Language Models in Corporate Investment: An Analysis of ChatGPT's Transformative Applications, Strategic Impacts, and Future Opportunities</t>
  </si>
  <si>
    <t>IT PROFESSIONAL</t>
  </si>
  <si>
    <t>Ethics; Data privacy; Large language models; Collaboration; Chatbots; Risk management; Decision analysis; Investment</t>
  </si>
  <si>
    <t>This study presents a framework that analyzes the applications, impacts, challenges, and opportunities of large language models in corporate investment decision making, with a focus on ChatGPT. The framework explores ChatGPT's roles in decision analysis, task assistance, risk assessment, and its positive impacts on pre-decision preparation and postdecision adjustments. It also examines challenges such as ensuring robust data privacy, addressing bias and interpretation issues, promoting ethical artificial intelligence (AI) practices, and integrating human-AI collaboration. These steps aim to maximize ChatGPT's benefits in investment decisions while mitigating risks. The study also anticipates future directions and opportunities for ChatGPT to further transform corporate investment decision making.</t>
  </si>
  <si>
    <t>1520-9202</t>
  </si>
  <si>
    <t>1941-045X</t>
  </si>
  <si>
    <t>MAR-APR</t>
  </si>
  <si>
    <t>10.1109/MITP.2025.3543555</t>
  </si>
  <si>
    <t>WOS:001470343300008</t>
  </si>
  <si>
    <t>Zhou, W; Luo, DX; Ma, YM</t>
  </si>
  <si>
    <t>Zhou, Wei; Luo, Danxue; Ma, Yiming</t>
  </si>
  <si>
    <t>The Hesitant Fuzzy LSTM-Transformer Model and Its Application in Power and Energy Balance of Smart Grids</t>
  </si>
  <si>
    <t>IEEE TRANSACTIONS ON FUZZY SYSTEMS</t>
  </si>
  <si>
    <t>Deep learning; Adaptation models; Accuracy; Computational modeling; Data models; Robustness; Smart grids; Classification algorithms; Optimization; Long short term memory; Hesitant fuzzy set (HFS); hesitation-fuzzy-based long short-term memory Transformer (HF-LSTM-Transformer) model; LSTM-Transformer; optimization algorithm; smart grid</t>
  </si>
  <si>
    <t>Power and energy balancing technology is at the core of smart grids. Expert subjective judgments play a critical role in the balancing control process. However, due to the subjectivity, ambiguity, and large-scale nature of the assessment data, traditional models struggle to effectively model and analyze such information. To address the large-scale nature of the data, we introduced long short-term memory (LSTM) to develop the LSTM-Transformer model. Considering the uncertainty and ambiguity of the data, we further constructed the hesitation-fuzzy-based LSTM-Transformer (HF-LSTM-Transformer) model. This is a novel deep learning method capable of handling complex subjective and fuzzy information in power balance control decision making. By incorporating the hesitant fuzzy set, the HF-LSTM-Transformer enhances the LSTM-Transformer's ability to process uncertainty. In addition, we designed the forward and backward propagation processes, parameter update procedures, and an optimization algorithm to enhance the classification prediction accuracy of the new model. Finally, we provided two smart grid examples from both comparative and application perspectives to fully demonstrate the robustness and accuracy of the classification results obtained by the proposed method.</t>
  </si>
  <si>
    <t>1063-6706</t>
  </si>
  <si>
    <t>1941-0034</t>
  </si>
  <si>
    <t>10.1109/TFUZZ.2025.3594756</t>
  </si>
  <si>
    <t>WOS:001607907400015</t>
  </si>
  <si>
    <t>Azhar, T; Mahmud, T; Hasan, MA; Uddin, MN; Park, SB</t>
  </si>
  <si>
    <t>Azhar, Tanvir; Mahmud, Tahsin; Hasan, Muhammad Asif; Uddin, Mohammed Nazim; Park, Seung-Bo</t>
  </si>
  <si>
    <t>HateBertBN: a hybrid transformer based model for Bangla hate speech detection across various social contexts</t>
  </si>
  <si>
    <t>DISCOVER COMPUTING</t>
  </si>
  <si>
    <t>Hate speech; Social media; Large language models; BERT; XLM-R; CNN; LSTM; MLP</t>
  </si>
  <si>
    <t>The widespread use of online social media platforms has amplified the importance of efficient hate speech detection, especially in low-resource languages like Bengali. While traditional machine learning approaches show promise, deep learning is more effective in capturing the nuanced context of hate speech. Current challenges include a lack of diverse datasets and models capable of context-sensitive detection. To address these, we introduce HateCorpBN-XL, the largest labeled Bengali hate speech dataset to date, containing 65,251 comments across five categories: political (PoHS), religious (ReHS), misogynistic (MisoHS), slander (SlaHS), and xenophobic (XenHS). We also propose HateBertBN, a hybrid transformer-based model combining BanglaBERT embeddings with three neural network fusion strategies using CNN, LSTM, and MLP. We evaluate our approach on two tasks, Task-1: detecting hate speech in Bengali text classifying it as hateful or non-hateful and Task-2: categorizing hateful content into five distinct classes. For Task-1, all HateBertBN variants outperformed current transformer models, achieving an accuracy of 0.92 and a weighted F1-score of 0.92. In Task-2, the HateBertBN-MLP and HateBertBN-CNN variants achieved a notable 0.90 accuracy and weighted F1-score of 0.90, surpassing M-BERT, Distil-M-BERT, BanglaBERT, and XLM-R-Base. Although HateBertBN-LSTM performed slightly lower overall, it achieved strong F1-scores in the ReHS (0.93) and XenHS (1.00) categories. Overall, our hybrid model outperforms state-of-the-art approaches in both tasks, demonstrating its effectiveness and robustness.</t>
  </si>
  <si>
    <t>2948-2984</t>
  </si>
  <si>
    <t>2948-2992</t>
  </si>
  <si>
    <t>JAN 8</t>
  </si>
  <si>
    <t>10.1007/s10791-025-09804-x</t>
  </si>
  <si>
    <t>WOS:001656728300002</t>
  </si>
  <si>
    <t>Zhu, KJ; Zhao, QL; Chen, H; Wang, JD; Xie, X</t>
  </si>
  <si>
    <t>Zhu, Kaijie; Zhao, Qinlin; Chen, Hao; Wang, Jindong; Xie, Xing</t>
  </si>
  <si>
    <t>PromptBench: A Unified Library for Evaluation of Large Language Models</t>
  </si>
  <si>
    <t>JOURNAL OF MACHINE LEARNING RESEARCH</t>
  </si>
  <si>
    <t>Evaluation; large language models; framework</t>
  </si>
  <si>
    <t>The evaluation of large language models (LLMs) is crucial to assess their performance and mitigate potential security risks. In this paper, we introduce PromptBench, a unified library to evaluate LLMs. It consists of several key components that can be easily used and extended by researchers: prompt construction, prompt engineering, dataset and model loading, adversarial prompt attack, dynamic evaluation protocols, and analysis tools. PromptBench is designed as an open, general, and flexible co debase for research purpose. It aims to facilitate original study in creating new benchmarks, deploying downstream applications, and designing new evaluation protocols. The code is available at: https://github.com/microsoft/promptbench and will be continuously supported.</t>
  </si>
  <si>
    <t>1532-4435</t>
  </si>
  <si>
    <t>Automation &amp; Control Systems; Computer Science</t>
  </si>
  <si>
    <t>WOS:001346299700001</t>
  </si>
  <si>
    <t>Li, Y</t>
  </si>
  <si>
    <t>Li, Ye</t>
  </si>
  <si>
    <t>Graph-of-Thought: Utilizing Large Language Models to Solve Complex and Dynamic Business Problems</t>
  </si>
  <si>
    <t>ADVANCES IN ARTIFICIAL INTELLIGENCE AND MACHINE LEARNING</t>
  </si>
  <si>
    <t>Graph-of-Thought (GoT); Workflow automation; Large Language Models (LLMs); Task execution; Data-Driven decision making; Complexity management</t>
  </si>
  <si>
    <t>This paper presents Graph-of-Thought (GoT), a new model for workflow automation thatenhances the flexibility and efficiency of Large Language Models (LLMs) in complex taskexecution. GoT advances beyond traditional linear and tree-like cognitive models with agraph structure that enables dynamic path selection. The open-source engine GoTFlowdemonstrates the practical application of GoT, facilitating automated, data-driven decision-making across various domains. Despite challenges in complexity and transparency, GoT-Flow's potential for improving business processes is significant, promising advancements inboth efficiency and decision quality with continuous development.</t>
  </si>
  <si>
    <t>2582-9793</t>
  </si>
  <si>
    <t>WOS:001306047300011</t>
  </si>
  <si>
    <t>González-Quesada, JC; Trillo, JR; Porcel, C; Perez, IJ; Cabrerizo, FJ</t>
  </si>
  <si>
    <t>Gonzalez-Quesada, Juan Carlos; Trillo, Jose Ramon; Porcel, Carlos; Perez, Ignacio Javier; Cabrerizo, Francisco Javier</t>
  </si>
  <si>
    <t>Modelling Large-Scale Group Decision-Making Through Grouping with Large Language Models</t>
  </si>
  <si>
    <t>FUTURE INTERNET</t>
  </si>
  <si>
    <t>large language model; large-scale method; group decision-making method; consensus; sentiment analysis</t>
  </si>
  <si>
    <t>CONSENSUS MODEL; PREFERENCE RELATIONS; SENTIMENT ANALYSIS; SELF-CONFIDENCE; INFORMATION; CONSISTENCY</t>
  </si>
  <si>
    <t>The growing ubiquity of digital platforms has enabled unprecedented participation in large-scale group decision-making processes. Nevertheless, integrating subjective linguistically expressed opinions into structured decision protocols remains a significant challenge. This paper presents a novel framework that leverages the semantic and affective capabilities of large language models to support large-scale group decision-making tasks by extracting and quantifying experts' communicative traits-specifically clarity and trust-from natural language input. Based on these traits, participants are clustered into behavioural groups, each of which is assigned a representative preference structure and a weight reflecting its internal cohesion and communicative quality. A sentiment-informed consensus mechanism then aggregates these group-level matrices to form a collective decision outcome. The method enhances scalability and interpretability while preserving the richness of human expression. The results suggest that incorporating behavioural dimensions into large-scale group decision-making via large language models fosters fairer, more balanced, and semantically grounded decisions, offering a promising avenue for next-generation decision-support systems.</t>
  </si>
  <si>
    <t>1999-5903</t>
  </si>
  <si>
    <t>AUG 25</t>
  </si>
  <si>
    <t>10.3390/fi17090381</t>
  </si>
  <si>
    <t>WOS:001580980300001</t>
  </si>
  <si>
    <t>El Azzouzy, O; Chanyour, T; Andaloussi, SJ</t>
  </si>
  <si>
    <t>El Azzouzy, Oussama; Chanyour, Tarik; Andaloussi, Said Jai</t>
  </si>
  <si>
    <t>Dynamic orchestration of transformer models for sentiment analysis on social networks: Optimized performance and sustainable computing</t>
  </si>
  <si>
    <t>FUTURE GENERATION COMPUTER SYSTEMS-THE INTERNATIONAL JOURNAL OF ESCIENCE</t>
  </si>
  <si>
    <t>Sentiment analysis; Transformer models; Dynamic orchestration; Reinforcement learning; Multi-objective optimization; Heuristic methods</t>
  </si>
  <si>
    <t>BIG DATA</t>
  </si>
  <si>
    <t>This work proposes an innovative dynamic orchestration framework for sentiment analysis of texts from social media platforms, addressing the limitations of static models in resource allocation and performance optimization. Static or heuristic orchestration systems struggle to manage the variability and heterogeneity of loads, causing inefficiencies and overconsumption of resources. This work proposes a dynamic orchestration framework specifically designed for large-scale sentiment analysis, formulated as a multi-objective problem simultaneously integrating probabilistic latency, temporal variance, task completion rate, energy consumption and assignment constraints. The architecture is based on an empirically calibrated reinforcement learning agent enriched with a load prediction mechanism, able to jointly select the appropriate Transformer model and the optimal execution resource. Experiments conducted on realistic scenarios show that this approach goes beyond static and heuristic methods, ensuring better stability, faster convergence and increased adaptability to distributed environments. Results confirm the interest of dynamic orchestration to reconcile predictive performance, operational efficiency and resilience to load variations, while paving the way for the future integration of advanced predictors and criteria related to computational sustainability.</t>
  </si>
  <si>
    <t>0167-739X</t>
  </si>
  <si>
    <t>1872-7115</t>
  </si>
  <si>
    <t>10.1016/j.future.2025.108196</t>
  </si>
  <si>
    <t>OCT 2025</t>
  </si>
  <si>
    <t>WOS:001606214400002</t>
  </si>
  <si>
    <t>Zhang, A; Zhao, E; Wang, RR; Zhang, XQ; Wang, J; Chen, E</t>
  </si>
  <si>
    <t>Zhang, Andrew; Zhao, Eric; Wang, Ruirui; Zhang, Xiuqi; Wang, Justin; Chen, Ethan</t>
  </si>
  <si>
    <t>Multimodal large language models for medical image diagnosis: Challenges and opportunities</t>
  </si>
  <si>
    <t>JOURNAL OF BIOMEDICAL INFORMATICS</t>
  </si>
  <si>
    <t>Large Language Model; Medical image diagnosis; Multimodal fusion strategy; AI Generalizability; Radiology AI; Natural Language Processing (NLP); Computer vision</t>
  </si>
  <si>
    <t>PRIVACY</t>
  </si>
  <si>
    <t>The integration of artificial intelligence (AI) into radiology has significantly improved diagnostic accuracy and workflow efficiency. Multimodal large language models (MLLMs), which combine natural language processing (NLP) and computer vision techniques, hold the potential to further revolutionize medical image analysis. Despite these advances, their widespread clinical adoption of MLLMs remains limited by challenges such as data quality, interpretability, ethical and regulatory compliance-including adherence to frameworks like the General Data Protection Regulation (GDPR)-computational demands, and generalizability across diverse patient populations. Addressing these interconnected challenges presents opportunities to enhance MLLM performance and reliability. Priorities for future research include improving model transparency, safeguarding data privacy through federated learning, optimizing multimodal fusion strategies, and establishing standardized evaluation frameworks. By overcoming these barriers, MLLMs can become essential tools in radiology, supporting clinical decision-making, and improving patient outcomes.</t>
  </si>
  <si>
    <t>1532-0464</t>
  </si>
  <si>
    <t>1532-0480</t>
  </si>
  <si>
    <t>10.1016/j.jbi.2025.104895</t>
  </si>
  <si>
    <t>Computer Science; Medical Informatics</t>
  </si>
  <si>
    <t>WOS:001560119100001</t>
  </si>
  <si>
    <t>Xiong, L; Chen, YY; Peng, Y; Ghadi, YY</t>
  </si>
  <si>
    <t>Xiong, Li; Chen, Yuanyuan; Peng, Yi; Ghadi, Yazeed Yasin</t>
  </si>
  <si>
    <t>Improving Robot-Assisted Virtual Teaching Using Transformers, GANs, and Computer Vision</t>
  </si>
  <si>
    <t>JOURNAL OF ORGANIZATIONAL AND END USER COMPUTING</t>
  </si>
  <si>
    <t>computer vision assistance; multimodal perception; personalized learning path planning; robot decision making; transformer model; virtual robot teaching assistant</t>
  </si>
  <si>
    <t>This study aims to enhance the efficacy of personalized learning paths by amalgamating transformer models, generative adversarial networks (GANs), and reinforcement learning techniques. To refine personalized learning trajectories, the authors integrated the transformer model for enhanced information assimilation and learning path planning. Through generative adversarial networks, the authors simulated the fusion and interaction of multi-modal information, refining the training of virtual teaching assistants. Lastly, reinforcement learning was employed to optimize the interaction strategies of these assistants, aligning them better with student needs. In the experimental phase, the authors benchmarked their approach against six state-of-the-art models to assess its effectiveness. The experimental outcomes highlight significant enhancements achieved by the authors' virtual teaching assistant compared to traditional methods. Precision improved to 95% and recall to 96%, and an F1 score exceeding 95% was attained.</t>
  </si>
  <si>
    <t>1546-2234</t>
  </si>
  <si>
    <t>1546-5012</t>
  </si>
  <si>
    <t>10.4018/JOEUC.336481</t>
  </si>
  <si>
    <t>Computer Science; Information Science &amp; Library Science; Business &amp; Economics</t>
  </si>
  <si>
    <t>WOS:001165615200005</t>
  </si>
  <si>
    <t>Haghighat, M; Saleh, A; Azghadi, MR</t>
  </si>
  <si>
    <t>Haghighat, Mohammadreza; Saleh, Alzayat; Azghadi, Mostafa Rahimi</t>
  </si>
  <si>
    <t>Multimodal language models in agriculture: A tutorial and survey</t>
  </si>
  <si>
    <t>Multimodal language models; Agriculture AI; Deep learning; Tutorial; Smart farming</t>
  </si>
  <si>
    <t>SYSTEMS</t>
  </si>
  <si>
    <t>The integration of artificial intelligence (AI) in agriculture is rapidly evolving, marked by increasing adoption of machine learning (ML), deep learning (DL), and the recent emergence of large language models (LLMs) and multimodal language models (MLMs). These technologies are transforming traditional agricultural practices through advanced data analysis and offering innovative solutions for smart agriculture. Although earlier methods often relied on unimodal data, primarily images, current research is shifting toward information fusion with multimodal AI systems that fuse text, imagery, and other types of data, such as agricultural knowledge graphs and videos of animal activities, for enhanced decision making. General-purpose MLMs struggle with agriculture-specific nuances due to domain gaps and limited multimodal datasets. The high computational demands of foundation models (FM) and domain-specific needs also restrict broader adoption. This study presents a tutorial on applying MLMs in agriculture, covering their main concepts. Building on this foundational knowledge, the tutorial surveys key developments in the literature and provides a comprehensive step-by-step guide for implementing and tailoring MLMs to agricultural applications. This will address the domain gaps by knowledge integration, synthetic multimodal data generation and efficient learning methods, thereby expanding their practical applications.</t>
  </si>
  <si>
    <t>10.1016/j.inffus.2025.104042</t>
  </si>
  <si>
    <t>WOS:001639813600001</t>
  </si>
  <si>
    <t>Betancourt, J; Coral, A; Fraga, A; Figueroa, C; Ramirez-Gonzalez, G</t>
  </si>
  <si>
    <t>Betancourt, Juan; Coral, Andres; Fraga, Anabel; Figueroa, Cristhian; Ramirez-Gonzalez, Gustavo</t>
  </si>
  <si>
    <t>Intelligent Virtual Assistant for Calculating Technology Readiness Levels Using Large Language Models (LLM)</t>
  </si>
  <si>
    <t>Chat-bot; fine-tuning; large language models; large language models; natural language processing; natural language processing; technology readiness level; technology readiness level; technology readiness level</t>
  </si>
  <si>
    <t>The Technology Readiness Level (TRL) is a metric developed by NASA in the 1970s to assess the maturity of a technology and guide decision-making regarding its development. Although it is standardized, in practice, evaluations are often manual and subjective, leading to inconsistencies. In this study, an intelligent virtual assistant was developed based on a large language model (LLM), using GPT-3.5-Turbo as the foundation, selected over LlaMa-2 after rigorous performance testing. The model was trained using optimization techniques on a custom dataset built from reliable sources such as NASA, government entities, and universities, enabling a more accurate evaluation of the TRL.</t>
  </si>
  <si>
    <t>10.1109/ACCESS.2025.3595699</t>
  </si>
  <si>
    <t>WOS:001547311400014</t>
  </si>
  <si>
    <t>Chen, SF; Chen, JC; Jhuo, IH; Lin, YY</t>
  </si>
  <si>
    <t>Chen, Shih-Fang; Chen, Jun-Cheng; Jhuo, I-Hong; Lin, Yen-Yu</t>
  </si>
  <si>
    <t>Improving Visual Object Tracking Through Visual Prompting</t>
  </si>
  <si>
    <t>IEEE TRANSACTIONS ON MULTIMEDIA</t>
  </si>
  <si>
    <t>Visualization; Target tracking; Training; Foundation models; Feature extraction; Transformers; Object tracking; Predictive models; Computational modeling; Adaptation models; Generic visual object tracking; zero-shot classification; foundation model; meta-learning; transformer</t>
  </si>
  <si>
    <t>Learning a discriminative model to distinguish a target from its surrounding distractors is essential to generic visual object tracking. Dynamic target representation adaptation against distractors is challenging due to the limited discriminative capabilities of prevailing trackers. We present a new visual Prompting mechanism for generic Visual Object Tracking (PiVOT) to address this issue. PiVOT proposes a prompt generation network with the pre-trained foundation model CLIP to automatically generate and refine visual prompts, enabling the transfer of foundation model knowledge for tracking. While CLIP offers broad category-level knowledge, the tracker, trained on instance-specific data, excels at recognizing unique object instances. Thus, PiVOT first compiles a visual prompt highlighting potential target locations. To transfer the knowledge of CLIP to the tracker, PiVOT leverages CLIP to refine the visual prompt based on the similarities between candidate objects and the reference templates across potential targets. Once the visual prompt is refined, it can better highlight potential target locations, thereby reducing irrelevant prompt information. With the proposed prompting mechanism, the tracker can generate improved instance-aware feature maps through the guidance of the visual prompt, thus effectively reducing distractors. The proposed method does not involve CLIP during training, thereby keeping the same training complexity and preserving the generalization capability of the pretrained foundation model. Extensive experiments across multiple benchmarks indicate that PiVOT, using the proposed prompting method can suppress distracting objects and enhance the tracker.</t>
  </si>
  <si>
    <t>1520-9210</t>
  </si>
  <si>
    <t>1941-0077</t>
  </si>
  <si>
    <t>10.1109/TMM.2025.3535323</t>
  </si>
  <si>
    <t>WOS:001488499800004</t>
  </si>
  <si>
    <t>Moglia, A; Georgiou, K; Cerveri, P; Mainardi, L; Satava, RM; Cuschieri, A</t>
  </si>
  <si>
    <t>Moglia, Andrea; Georgiou, Konstantinos; Cerveri, Pietro; Mainardi, Luca; Satava, Richard M.; Cuschieri, Alfred</t>
  </si>
  <si>
    <t>Large language models in healthcare: from a systematic review on medical examinations to a comparative analysis on fundamentals of robotic surgery online test</t>
  </si>
  <si>
    <t>Large language models medical examination; Large language models medical education; ChatGPT medical examination; ChatGPT medical education; Large language models healthcare; Large language models surgery</t>
  </si>
  <si>
    <t>CHATGPT; PERFORMANCE; GPT-4; EDUCATION; CHATBOT</t>
  </si>
  <si>
    <t>Large language models (LLMs) have the intrinsic potential to acquire medical knowledge. Several studies assessing LLMs on medical examinations have been published. However, there is no reported evidence on tests related to robot-assisted surgery. The aims of this study were to perform the first systematic review of LLMs on medical examinations and to establish whether ChatGPT, GPT-4, and Bard can pass the Fundamentals of Robotic Surgery (FRS) didactic test. A literature search was performed on PubMed, Web of Science, Scopus, and arXiv following the Preferred Reporting Items for Systematic Reviews and Meta-Analyses (PRISMA) approach. A total of 45 studies were analyzed. GPT-4 passed several national qualifying examinations with questions in English, Chinese, and Japanese using zero-shot and few-shot learning. Med-PaLM 2 obtained similar scores on the United States Medical Licensing Examination with more refined prompt engineering techniques. Five different 2023 releases of ChatGPT, one of GPT-4, and one of Bard were tested on FRS. Seven attempts were performed with each release. The pass score was 79.5%. ChatGPT achieved a mean score of 64.6%, 65.6%, 75.0%, 78.9%, and 72.7% respectively from the first to the fifth tested release on FRS vs 91.5% of GPT-4 and 79.5% of Bard. GPT-4 outperformed ChatGPT and Bard in all corresponding attempts with a statistically significant difference for ChatGPT (p &lt; 0.001), but not Bard (p = 0.002). Our findings agree with other studies included in this systematic review. We highlighted the potential and challenges of LLMs to transform the education of healthcare professionals in the different stages of learning, by assisting teachers in the preparation of teaching contents, and trainees in the acquisition of knowledge, up to becoming an assessment framework of leaners.</t>
  </si>
  <si>
    <t>AUG 6</t>
  </si>
  <si>
    <t>10.1007/s10462-024-10849-5</t>
  </si>
  <si>
    <t>Green Submitted, Green Published, hybrid</t>
  </si>
  <si>
    <t>WOS:001286307000003</t>
  </si>
  <si>
    <t>Fuentes, N; Ugang, J; Galamiton, N; Bacus, S; Evangelista, SS; Maturan, F; Ocampo, L</t>
  </si>
  <si>
    <t>Fuentes, Noreen; Ugang, Janeth; Galamiton, Narcisan; Bacus, Suzette; Evangelista, Samantha Shane; Maturan, Fatima; Ocampo, Lanndon</t>
  </si>
  <si>
    <t>When Large Language Models and Machine Learning Meet Multi-Criteria Decision Making: Fully Integrated Approach for Social Media Moderation</t>
  </si>
  <si>
    <t>Self-moderation; user-generated content; k-means clustering; TODIM; large language models</t>
  </si>
  <si>
    <t>This study demonstrates a novel integration of large language models, machine learning, and multi-criteria decision-making to investigate self-moderation in small online communities, a topic under-explored compared to user behavior and platform-driven moderation on social media. The proposed methodological framework (1) utilizes large language models for social media post analysis and categorization, (2) employs k-means clustering for content characterization, and (3) incorporates the TODIM (Tomada de Decis &amp; atilde;o Interativa Multicrit &amp; eacute;rio) method to determine moderation strategies based on expert judgments. In general, the fully integrated framework leverages the strengths of these intelligent systems in a more systematic evaluation of large-scale decision problems. When applied in social media moderation, this approach promotes nuanced and context-sensitive self-moderation by taking into account factors such as cultural background and geographic location. The application of this framework is demonstrated within Facebook groups. Eight distinct content clusters encompassing safety, harassment, diversity, and misinformation are identified. Analysis revealed a preference for content removal across all clusters, suggesting a cautious approach towards potentially harmful content. However, the framework also highlights the use of other moderation actions, like account suspension, depending on the content category. These findings contribute to the growing body of research on self-moderation and offer valuable insights for creating safer and more inclusive online spaces within smaller communities.</t>
  </si>
  <si>
    <t>10.32604/cmc.2025.068104</t>
  </si>
  <si>
    <t>WOS:001622088500001</t>
  </si>
  <si>
    <t>Al-Shawakfa, EM; Alsobeh, AMR; Omari, S; Shatnawi, A</t>
  </si>
  <si>
    <t>Al-Shawakfa, Emad M.; Alsobeh, Anas M. R.; Omari, Sahar; Shatnawi, Amani</t>
  </si>
  <si>
    <t>RADAR#: An Ensemble Approach for Radicalization Detection in Arabic Social Media Using Hybrid Deep Learning and Transformer Models</t>
  </si>
  <si>
    <t>INFORMATION</t>
  </si>
  <si>
    <t>cybersecurity; radicalization detection; Arabic NLP; deep learning; transformer models; ensemble learning; social media analysis; attention mechanisms</t>
  </si>
  <si>
    <t>The recent increase in extremist material on social media platforms makes serious countermeasures to international cybersecurity and national security efforts more difficult. RADAR#, a deep ensemble approach for the detection of radicalization in Arabic tweets, is introduced in this paper. Our model combines a hybrid CNN-Bi-LSTM framework with a top Arabic transformer model (AraBERT) through a weighted ensemble strategy. We employ domain-specific Arabic tweet pre-processing techniques and a custom attention layer to better focus on radicalization indicators. Experiments over a 89,816 Arabic tweet dataset indicate that RADAR# reaches 98% accuracy and a 97% F1-score, surpassing advanced approaches. The ensemble strategy is particularly beneficial in handling dialectical variations and context-sensitive words common in Arabic social media updates. We provide a full performance analysis of the model, including ablation studies and attention visualization for better interpretability. Our contribution is useful to the cybersecurity community through an effective early detection mechanism of online radicalization in Arabic language content, which can be potentially applied in counter-terrorism and online content moderation.</t>
  </si>
  <si>
    <t>2078-2489</t>
  </si>
  <si>
    <t>JUN 22</t>
  </si>
  <si>
    <t>10.3390/info16070522</t>
  </si>
  <si>
    <t>WOS:001535339700001</t>
  </si>
  <si>
    <t>Xiong, GZ; Liu, SY; Yan, YH; Li, QL; Li, HZ</t>
  </si>
  <si>
    <t>Xiong, Guanzhi; Liu, Siyang; Yan, Yihong; Li, Qile; Li, Hangze</t>
  </si>
  <si>
    <t>Efficacy of Autonomous Vehicle's Adaptive Decision-Making Based on Large Language Models Across Multiple Driving Scenarios</t>
  </si>
  <si>
    <t>Autonomous vehicles; Decision making; Cognition; Reinforcement learning; Planning; Few shot learning; Large language models; Adaptation models; Prompt engineering; Adaptive systems; Large language models (LLMs); autonomous driving; knowledge-driven framework; multiple driving scenarios</t>
  </si>
  <si>
    <t>Understanding how large language models (LLMs) generalize across diverse traffic scenarios is critical for advancing autonomous driving systems. While previous studies have validated LLMs' potential in specific driving tasks, evaluations of their scenario adaptability remain limited. This research adopts the Dilu framework as a case study, with the objective of investigating the generalisation performance of LLMs in five typical scenarios: basic highway sections, highway merge area, intersection, racetrack, and roundabout, with varying traffic parameters. Through extensive experiments with 17 configurations in scenarios metioned above, we employ success rate (SR) and success steps (SS) as metrics to quantify LLMs' generalization capabilities in different driving scenarios. The results reveal significant scenario-dependent performance variations: the LLM achieves a peak SR of 99% at 30 m/s in low-speed merges but declines to 69% at 60 m/s. In intersection scenarios, the LLM outperforms traditional reinforcement learning methods (DQN, PPO) by about three times (61% SR vs. 24% SR). Furthermore, expanding memory entries from 2-shot to 5-shot enhances median SS by 114% in roundabouts and 69% in intersections, highlighting the role of experience accumulation in dynamic environments. These findings provide empirical evidence for LLMs' scenario-aware generalization capabilities and offer actionable insights for optimizing their deployment in real-world autonomous driving systems.</t>
  </si>
  <si>
    <t>10.1109/ACCESS.2025.3580641</t>
  </si>
  <si>
    <t>WOS:001518769800026</t>
  </si>
  <si>
    <t>Chondamrongkul, N; Hristov, G; Temdee, P</t>
  </si>
  <si>
    <t>Chondamrongkul, Nacha; Hristov, Georgi; Temdee, Punnarumol</t>
  </si>
  <si>
    <t>Addressing Technical Challenges in Large Language Model-Driven Educational Software System</t>
  </si>
  <si>
    <t>Vectors; Education; Cognition; Reliability; Decision making; Scalability; Accuracy; Testing; Software systems; Retrieval augmented generation; Artificial intelligence; educational application; generative AI; large language model; LLM</t>
  </si>
  <si>
    <t>The integration of large language models (LLMs) into educational systems poses significant challenges across several key attributes, including integration, explainability, testability, and scalability. These challenges arise from the complexity of coordinating system components, difficulty interpreting LLM decision-making processes, and the need for reliable, consistent model outputs in varied educational scenarios. Additionally, ensuring scalability requires robust autoscaling mechanisms and suitable architecture design to handle fluctuating workloads. This paper tackles these challenges by proposing tactics to improve system integration, enhance explainability through metadata and an algorithm process, ensure response consistency via regression testing, and facilitate efficient autoscaling through an event-driven microservice architecture. The evaluation results highlight the effectiveness of these tactics, confirming both functional consistency and robust system performance under varying loads.</t>
  </si>
  <si>
    <t>10.1109/ACCESS.2025.3531380</t>
  </si>
  <si>
    <t>WOS:001405883900001</t>
  </si>
  <si>
    <t>Glanois, C; Weng, PL; Zimmer, M; Li, D; Yang, TP; Hao, JY; Liu, WL</t>
  </si>
  <si>
    <t>Glanois, Claire; Weng, Paul; Zimmer, Matthieu; Li, Dong; Yang, Tianpei; Hao, Jianye; Liu, Wulong</t>
  </si>
  <si>
    <t>A survey on interpretable reinforcement learning</t>
  </si>
  <si>
    <t>MACHINE LEARNING</t>
  </si>
  <si>
    <t>Reinforcement learning; Deep reinforcement learning; Interpretability; Explainability</t>
  </si>
  <si>
    <t>MODELS; LEVEL; POLICIES; SKILLS; MDPS</t>
  </si>
  <si>
    <t>Although deep reinforcement learning has become a promising machine learning approach for sequential decision-making problems, it is still not mature enough for high-stake domains such as autonomous driving or medical applications. In such contexts, a learned policy needs for instance to be interpretable, so that it can be inspected before any deployment (e.g., for safety and verifiability reasons). This survey provides an overview of various approaches to achieve higher interpretability in reinforcement learning (RL). To that aim, we distinguish interpretability (as an intrinsic property of a model) and explainability (as a post-hoc operation) and discuss them in the context of RL with an emphasis on the former notion. In particular, we argue that interpretable RL may embrace different facets: interpretable inputs, interpretable (transition/reward) models, and interpretable decision-making. Based on this scheme, we summarize and analyze recent work related to interpretable RL with an emphasis on papers published in the past 10 years. We also discuss briefly some related research areas and point to some potential promising research directions, notably related to the recent development of foundation models (e.g., large language models, RL from human feedback).</t>
  </si>
  <si>
    <t>0885-6125</t>
  </si>
  <si>
    <t>1573-0565</t>
  </si>
  <si>
    <t>10.1007/s10994-024-06543-w</t>
  </si>
  <si>
    <t>WOS:001205148600001</t>
  </si>
  <si>
    <t>Li, QX; Pang, B; Song, Y; Fu, HZ; Xu, QY; Yuan, XF; Xu, XL; Zhang, CJ</t>
  </si>
  <si>
    <t>Li, Qianxi; Pang, Bao; Song, Yong; Fu, Hongze; Xu, Qingyang; Yuan, Xianfeng; Xu, Xiaolong; Zhang, Chengjin</t>
  </si>
  <si>
    <t>Large language model assisted hierarchical reinforcement learning training</t>
  </si>
  <si>
    <t>INFORMATION SCIENCES</t>
  </si>
  <si>
    <t>Reinforcement learning; Large language models; Sequential decision making</t>
  </si>
  <si>
    <t>Traditional reinforcement learning (RL) cannot solve complex long-sequence decision tasks, especially when the environment rewards are sparse. Large language models (LLMs) can perform well in long-sequence decision tasks by leveraging their powerful inference capabilities. Although LLMs possess a large amount of general knowledge, LLM-based agents lack expertise in solving specific target problems. Considering that reinforcement learning models are smaller than LLMs and can be trained specifically to perform well on specific tasks, this paper proposes a hierarchical reinforcement learning framework assisted by a large language model, called LLMHRL. In this framework, the LLM acts as a teacher agent to guide the exploration of high-level policy in hierarchical reinforcement learning. The low-level policy consists of a library of selection-based policies. The agent executes specific actions based on the low-level policy chosen by the high-level policy. Furthermore, to reduce the action space of high-level policy, this paper decomposes it into skill options and target options. The two types of options are combined to obtain a high-level policy. This paper evaluates LLMHRL against baseline methods using both public and custom-built harder tasks across three environments: MiniGrid for key-door pairing, ManiSkill for tabletop sorting, and real-world scenarios. The results show that LLMHRL outperforms existing methods in success rate, convergence speed, and average return.</t>
  </si>
  <si>
    <t>0020-0255</t>
  </si>
  <si>
    <t>1872-6291</t>
  </si>
  <si>
    <t>10.1016/j.ins.2025.122688</t>
  </si>
  <si>
    <t>WOS:001578809700001</t>
  </si>
  <si>
    <t>Chen, LC; Weng, HT; Pardeshi, MS; Chen, CM; Sheu, RK; Pai, KC</t>
  </si>
  <si>
    <t>Chen, Lun-Chi; Weng, Hsin-Tzu; Pardeshi, Mayuresh Sunil; Chen, Chien-Ming; Sheu, Ruey-Kai; Pai, Kai-Chih</t>
  </si>
  <si>
    <t>Evaluation of Prompt Engineering on the Performance of a Large Language Model in Document Information Extraction</t>
  </si>
  <si>
    <t>prompt engineering; large language models; key information extraction</t>
  </si>
  <si>
    <t>The accelerated digitization of documentation, including paper invoices and receipts, has mitigated the necessity for precise and expeditious information management. Nevertheless, it has become unfeasible for humans to manually capture data due to the laborious and time-consuming nature of the process. The paper proposed a low training cost, prompt-based applied key information extraction (applied KIE) pipeline of the information extraction approach with Amazon Textract and Automatic Prompt Engineer (APE) using large language models (LLMs). A series of experiments were conducted to evaluate the performance of the proposed approach, with the results indicating an average precision of 95.5% and document information extraction accuracy of 91.5% on the SROIE (a widely used English dataset), and an average precision of 97.15% and a document information extraction accuracy of 85.29% on the invoice dataset from a Taiwanese shipping company.</t>
  </si>
  <si>
    <t>MAY 24</t>
  </si>
  <si>
    <t>10.3390/electronics14112145</t>
  </si>
  <si>
    <t>WOS:001505880200001</t>
  </si>
  <si>
    <t>Fan, HL; Liu, X; Fuh, JYH; Lu, WF; Li, BB</t>
  </si>
  <si>
    <t>Fan, Haolin; Liu, Xuan; Fuh, Jerry Ying Hsi; Lu, Wen Feng; Li, Bingbing</t>
  </si>
  <si>
    <t>Embodied intelligence in manufacturing: leveraging large language models for autonomous industrial robotics</t>
  </si>
  <si>
    <t>Large language models (LLMs) agents; Industrial robotics; Autonomous design; Decision-making; Embodied intelligence</t>
  </si>
  <si>
    <t>This paper delves into the potential of Large Language Model (LLM) agents for industrial robotics, with an emphasis on autonomous design, decision-making, and task execution within manufacturing contexts. We propose a comprehensive framework that includes three core components: (1) matches manufacturing tasks with process parameters, emphasizing the challenges in LLM agents' understanding of human-imposed constraints; (2) autonomously designs tool paths, highlighting the LLM agents' proficiency in planar tasks and challenges in 3D spatial tasks; and (3) integrates embodied intelligence within industrial robotics simulations, showcasing the adaptability of LLM agents like GPT-4. Our experimental results underscore the distinctive performance of the GPT-4 agent, especially in Component 3, where it is outstanding in task planning and achieved a success rate of 81.88% across 10 samples in task completion. In conclusion, our study accentuates the transformative potential of LLM agents in industrial robotics and suggests specific avenues, such as visual semantic control and real-time feedback loops, for their enhancement.</t>
  </si>
  <si>
    <t>10.1007/s10845-023-02294-y</t>
  </si>
  <si>
    <t>JAN 2024</t>
  </si>
  <si>
    <t>WOS:001138238100001</t>
  </si>
  <si>
    <t>Yao, XF; Li, HY; Chan, TH; Xiao, WY; Yuan, MX; Huang, Y; Chen, L; Yu, B</t>
  </si>
  <si>
    <t>Yao, Xufeng; Li, Haoyang; Chan, Tsz Ho; Xiao, Wenyi; Yuan, Mingxuan; Huang, Yu; Chen, Lei; Yu, Bei</t>
  </si>
  <si>
    <t>HDLdebugger: Streamlining HDL debugging with Large Language Models</t>
  </si>
  <si>
    <t>ACM TRANSACTIONS ON DESIGN AUTOMATION OF ELECTRONIC SYSTEMS</t>
  </si>
  <si>
    <t>Code Debugging; Large Language Model; Retrieval Augmented Generation</t>
  </si>
  <si>
    <t>In the domain of chip design, hardware description languages (HDLs) play a pivotal role. However, due to the inherent complexity of HDLs and the scarcity of high-quality debugging resources, HDL bug fixing remains a challenging and time-consuming task, even for seasoned engineers. Consequently, there is a pressing need to develop automated HDL code debugging models, which can alleviate the burden on hardware engineers. Despite the strong capabilities of large language models (LLMs) in generating, completing, and debugging software code, their utilization in the specialized field of HDL debugging has been limited and, to date, has not yielded satisfactory results. In this paper, we propose an LLM-assisted HDL debugging framework, namely HDLdebugger, which consists of HDL debugging data generation via a reverse engineering approach, a search engine for retrieval-augmented generation, and a retrieval-augmented LLM fine-tuning approach. Through the integration of these components, HDLdebugger can automate and streamline HDL debugging for chip design. Our comprehensive experiments, conducted on an HDL code dataset sourced from Industry, reveal that HDLdebugger outperforms 13 cutting-edge LLM baselines, displaying exceptional effectiveness in HDL code debugging.</t>
  </si>
  <si>
    <t>1084-4309</t>
  </si>
  <si>
    <t>1557-7309</t>
  </si>
  <si>
    <t>10.1145/3735638</t>
  </si>
  <si>
    <t>WOS:001639107100014</t>
  </si>
  <si>
    <t>Nie, XY; Liu, HJ; Han, M; Guan, CH</t>
  </si>
  <si>
    <t>Nie, Xuanyi; Liu, Haijing; Han, Mo; Guan, ChengHe</t>
  </si>
  <si>
    <t>Evaluating Citizen Participation in Local Public Meetings: Exploring a Large Language Model Approach Using Transcripts from the United States</t>
  </si>
  <si>
    <t>JOURNAL OF PLANNING EDUCATION AND RESEARCH</t>
  </si>
  <si>
    <t>Article; Early Access</t>
  </si>
  <si>
    <t>citizen participation; evaluation; public meeting; large language model; ChatGPT</t>
  </si>
  <si>
    <t>INVOLVEMENT; FAIRNESS; POWER; PARK</t>
  </si>
  <si>
    <t>Citizen participation in local public meetings is crucial for planning decision-making processes. This study employed large language models (LLMs), specifically ChatGPT models, to analyze more than 4,000 transcripts of local planning public meetings in the United States between 2006 and 2023. We quantify citizen participation levels and explore their relationship with public meeting topics. Findings align with previous scholarship that local public meetings do not consistently result in citizen empowerment. We also identify actionable strategies-such as fostering solution-oriented discussions and increasing civic organization involvement-that can enhance participatory planning. These insights suggest data-driven approaches for inclusive and equitable planning processes.</t>
  </si>
  <si>
    <t>0739-456X</t>
  </si>
  <si>
    <t>1552-6577</t>
  </si>
  <si>
    <t>2025 NOV 7</t>
  </si>
  <si>
    <t>10.1177/0739456X251377693</t>
  </si>
  <si>
    <t>Public Administration; Urban Studies</t>
  </si>
  <si>
    <t>WOS:001610896300001</t>
  </si>
  <si>
    <t>Sun, SJ; Liu, RZ; Lyu, J; Yang, JW; Zhang, LP; Li, X</t>
  </si>
  <si>
    <t>Sun, Shengjie; Liu, Runze; Lyu, Jiafei; Yang, Jing-Wen; Zhang, Liangpeng; Li, Xiu</t>
  </si>
  <si>
    <t>A large language model-driven reward design framework via dynamic feedback for reinforcement learning</t>
  </si>
  <si>
    <t>KNOWLEDGE-BASED SYSTEMS</t>
  </si>
  <si>
    <t>Reinforcement learning; Large language model; Reward design</t>
  </si>
  <si>
    <t>Large Language Models (LLMs) have shown significant potential in designing reward functions for Reinforcement Learning (RL) tasks. However, obtaining high-quality reward codes often involves human intervention, numerous LLM queries, or per-iteration RL training. To address these issues, we propose CARD, an LLM-driven Reward Design framework that generates and improves reward function code iteratively. Specifically, CARD includes a Coder that generates and verifies the code, while an Evaluator provides dynamic feedback to improve the code. We introduce Trajectory Preference Evaluation (TPE), which evaluates the current reward function based on trajectory preferences. The Evaluator constructs the feedback based on whether the code passes TPE dynamically, thus avoiding repetitive RL training. Empirical results on Meta-World and ManiSkill2 demonstrate that our method outperforms or matches the baselines across all tasks. On 10 out of 12 tasks, CARD shows better or comparable performance to policies trained with expert-designed rewards and even surpasses the oracle on 3 tasks.</t>
  </si>
  <si>
    <t>0950-7051</t>
  </si>
  <si>
    <t>1872-7409</t>
  </si>
  <si>
    <t>SEP 27</t>
  </si>
  <si>
    <t>10.1016/j.knosys.2025.114065</t>
  </si>
  <si>
    <t>JUL 2025</t>
  </si>
  <si>
    <t>WOS:001533372600004</t>
  </si>
  <si>
    <t>Han, B</t>
  </si>
  <si>
    <t>Han, Bo</t>
  </si>
  <si>
    <t>Trustworthy Machine Learning in the Era of Foundation Models</t>
  </si>
  <si>
    <t>Systematics; Uncertainty; Foundation models; Decision making; Training data; Cognition; Robustness; Safety; Planning; Intelligent systems</t>
  </si>
  <si>
    <t>This position article examines trustworthy machine learning with foundation models by investigating the four essential aspects. In learning, we describe how pretraining, fine-tuning, and reinforcement learning enable models to acquire generalizable knowledge and emphasize the importance of high-quality, unbiased training data, as well as robust training methods. In reasoning, we summarize the fundamental methodology of training-free, post-training, and test-time scaling methods that enhance logical deduction, reasoning transparency, and systematic safety. In planning, we incorporate neurosymbolic methods that combine adaptable neural capabilities with formally verifiable symbolic reasoning, ensuring safe and accountable decision making. In multimodality, we investigate the need for multimodal integration, where aligning information from different sensory input sources is important to mitigate biases and errors. The article presents an interdisciplinary vision for incorporating capability, robustness, safety, and explainability to establish trustworthy foundation models, paving the way for their reliable deployment in real-world applications, such as financial and clinical decision making.</t>
  </si>
  <si>
    <t>10.1109/MIS.2025.3621938</t>
  </si>
  <si>
    <t>WOS:001632419000010</t>
  </si>
  <si>
    <t>Alsweed, R; Alsuhaibani, M</t>
  </si>
  <si>
    <t>Alsweed, Renad; Alsuhaibani, Mohammed</t>
  </si>
  <si>
    <t>Integrating Large Language Models with Deep Reinforcement Learning for Portfolio Optimization</t>
  </si>
  <si>
    <t>INTERNATIONAL JOURNAL OF ADVANCED COMPUTER SCIENCE AND APPLICATIONS</t>
  </si>
  <si>
    <t>Portfolio optimization; Reinforcement Learning (RL); algorithmic trading; Markov Decision Process (MDP); Large Language Models (LLM); deep learning</t>
  </si>
  <si>
    <t>This paper explores the application of Deep Reinforcement Learning (DRL) and Large Language Models (LLMs) to portfolio optimization, a critical financial task requiring strategies to balance risk and return in volatile markets. Traditional models often struggle with the complexity of financial markets, whereas Reinforcement Learning (RL) provides end-to-end frameworks for learning optimal, dynamic trading policies through sequential decision-making and trial-and-error interactions. The study examines key DRL algorithms, including Qlearning, Deep Q-Networks (DQN), Proximal Policy Optimization (PPO), and Twin-Delayed Deep Deterministic Policy Gradient (TD3), emphasizing their strengths in dynamic asset allocation. Crucial components of financial RL systems are discussed, such as state representations, reward function designs, its algorithms, and main approaches. Furthermore, the survey investigates how LLMs enhance decision-making by analyzing unstructured data (like news and social media) for sentiment and risk assessment, often integrating these insights to augment state representations or guide reward shaping within DRL frameworks.</t>
  </si>
  <si>
    <t>2158-107X</t>
  </si>
  <si>
    <t>2156-5570</t>
  </si>
  <si>
    <t>WOS:001638693500001</t>
  </si>
  <si>
    <t>Maarouf, A; Feuerriegel, S; Proellöchs, N</t>
  </si>
  <si>
    <t>Maarouf, Abdurahman; Feuerriegel, Stefan; Proelloechs, Nicolas</t>
  </si>
  <si>
    <t>A fused large language model for predicting startup success</t>
  </si>
  <si>
    <t>EUROPEAN JOURNAL OF OPERATIONAL RESEARCH</t>
  </si>
  <si>
    <t>Machine learning; Text mining; Large language models; Deep learning; Venture capital</t>
  </si>
  <si>
    <t>FAILURE PREDICTION; DECISION-SUPPORT; SELECTION; MANAGEMENT; UNCERTAIN; NETWORKS; ENSEMBLE; FIRMS</t>
  </si>
  <si>
    <t>Investors are continuously seeking profitable investment opportunities in startups and, hence, for effective decision-making, need to predict a startup's probability of success. Nowadays, investors can use not only various fundamental information about a startup (e.g., the age of the startup, the number of founders, and the business sector) but also textual description of a startup's innovation and business model, which is widely available through online venture capital (VC) platforms such as Crunchbase. To support the decision-making of investors, we develop a machine learning approach with the aim of locating successful startups on VC platforms. Specifically, we develop, train, and evaluate a tailored, fused large language model to predict startup success. Thereby, we assess to what extent self-descriptions on VC platforms are predictive of startup success. Using 20,172 online profiles from Crunchbase, we find that our fused large language model can predict startup success, with textual self-descriptions being responsible for a significant part of the predictive power. Our work provides a decision support tool for investors to find profitable investment opportunities.</t>
  </si>
  <si>
    <t>0377-2217</t>
  </si>
  <si>
    <t>1872-6860</t>
  </si>
  <si>
    <t>APR 1</t>
  </si>
  <si>
    <t>10.1016/j.ejor.2024.09.011</t>
  </si>
  <si>
    <t>Business &amp; Economics; Operations Research &amp; Management Science</t>
  </si>
  <si>
    <t>WOS:001417320300001</t>
  </si>
  <si>
    <t>Li, XY; Feng, HM; Yang, HL; Huang, JY</t>
  </si>
  <si>
    <t>Li, Xiaoyang; Feng, Haoming; Yang, Hailong; Huang, Jiyuan</t>
  </si>
  <si>
    <t>Can ChatGPT reduce human financial analysts' optimistic biases?</t>
  </si>
  <si>
    <t>ECONOMIC AND POLITICAL STUDIES-EPS</t>
  </si>
  <si>
    <t>ChatGPT; large language models; analyst forecast; optimistic biases; human-machine interaction</t>
  </si>
  <si>
    <t>EARNINGS FORECASTS; INFORMATION; OWNERSHIP</t>
  </si>
  <si>
    <t>This paper examines the potential of ChatGPT, a large language model, as a financial advisor for listed firm performance forecasts. We focus on the constituent stocks of the China Securities Index 300 and compare ChatGPT's forecasts for major financial performance measures with human analysts' forecasts and the realised values. Our findings suggest that ChatGPT can correct the optimistic biases of human analysts. This study contributes to the literature by exploring the potential of ChatGPT as a financial advisor and demonstrating its role in reducing human biases in financial decision-making.</t>
  </si>
  <si>
    <t>2095-4816</t>
  </si>
  <si>
    <t>2470-4024</t>
  </si>
  <si>
    <t>JAN 2</t>
  </si>
  <si>
    <t>10.1080/20954816.2023.2276965</t>
  </si>
  <si>
    <t>NOV 2023</t>
  </si>
  <si>
    <t>Green Submitted, Green Accepted, hybrid</t>
  </si>
  <si>
    <t>WOS:001119129900001</t>
  </si>
  <si>
    <t>Jovanovic, M; Voss, P</t>
  </si>
  <si>
    <t>Jovanovic, Mladjan; Voss, Peter</t>
  </si>
  <si>
    <t>Towards Incremental Learning in Large Language Models: A Critical Review</t>
  </si>
  <si>
    <t>EXPERT SYSTEMS</t>
  </si>
  <si>
    <t>continual learning; incremental learning; large language models; meta-learning; mixture-of-experts learning; parameter-efficient learning</t>
  </si>
  <si>
    <t>NEURAL-NETWORKS</t>
  </si>
  <si>
    <t>Incremental learning is the ability of systems to acquire knowledge over time, enabling their adaptation and generalisation to novel tasks. It is a critical ability for intelligent, real-world systems, especially when data changes frequently or is limited. This review provides a comprehensive analysis of incremental learning in large language models. It synthesises the state-of-the-art incremental learning paradigms, including continual learning, meta-learning, parameter-efficient learning and mixture-of-experts learning. We demonstrate their utility for incremental learning by describing specific achievements from these related topics and their critical factors. An important finding is that many of these approaches do not update the core model, and none of them update incrementally in real time. The paper highlights current problems and challenges for future research in the field. By consolidating the latest relevant research developments, this review offers a comprehensive understanding of incremental learning and its implications for designing and developing LLM-based learning systems.</t>
  </si>
  <si>
    <t>0266-4720</t>
  </si>
  <si>
    <t>1468-0394</t>
  </si>
  <si>
    <t>e70127</t>
  </si>
  <si>
    <t>10.1111/exsy.70127</t>
  </si>
  <si>
    <t>WOS:001575185700001</t>
  </si>
  <si>
    <t>Leek, L; Bischl, S</t>
  </si>
  <si>
    <t>Leek, Lauren; Bischl, Simeon</t>
  </si>
  <si>
    <t>How central bank independence shapes monetary policy communication: A Large Language Model application</t>
  </si>
  <si>
    <t>EUROPEAN JOURNAL OF POLITICAL ECONOMY</t>
  </si>
  <si>
    <t>Political economy of central banking; Difference-in-differences; Large Language Models; Central bank communication; Central bank independence</t>
  </si>
  <si>
    <t>TRANSPARENCY; CREDIBILITY; DISCIPLINE; INFLATION; STABILITY; REFORM; TRUST</t>
  </si>
  <si>
    <t>Although central bank communication is a core monetary policy and accountability tool for central banks, little is known about what shapes it. This paper develops and tests a theory regarding a previously unconsidered variable: central bank independence (CBI). We argue that increases in CBI alter the pressures central banks face, compelling them to address these pressures to maintain their reputation. We fine-tune and validate a Large Language Model (Google's Gemini) to develop novel textual indices of policy pressures regarding monetary policy communication of central banks in speeches of 100 central banks from 1997 to 2023. Employing a staggered difference-in-differences and an instrumental variable approach, we find robust evidence that an increase in independence decreases the narrow focus on price stability and increases financial pressures discussed in monetary policy communication. These results are not, as generally is assumed, confounded by general changes in communication over time or singular events, in particular, the Global Financial Crisis.</t>
  </si>
  <si>
    <t>0176-2680</t>
  </si>
  <si>
    <t>1873-5703</t>
  </si>
  <si>
    <t>10.1016/j.ejpoleco.2025.102668</t>
  </si>
  <si>
    <t>Business &amp; Economics; Government &amp; Law</t>
  </si>
  <si>
    <t>WOS:001493854300001</t>
  </si>
  <si>
    <t>Siino, M; Giuliano, F; Tinnirello, I</t>
  </si>
  <si>
    <t>Siino, Marco; Giuliano, Fabrizio; Tinnirello, Ilenia</t>
  </si>
  <si>
    <t>Integrating Large Language Models into network testbeds: A novel approach for automated experimentation and optimization</t>
  </si>
  <si>
    <t>JOURNAL OF NETWORK AND COMPUTER APPLICATIONS</t>
  </si>
  <si>
    <t>Large Language Models (LLMs); Wireless networking; Networking testbed; Few-shot learning; Prompt engineering; System configuration; LoRaWAN; Anomaly detection; Network optimization; Experimentation efficiency</t>
  </si>
  <si>
    <t>This manuscript introduces a novel approach to integrate Large Language Models (LLMs) into wireless network testbeds for automated experimentation and optimization. We propose a framework that leverages LLMs to define system configurations using a structured format called Blueprint and analyse network behaviour through user-prompted queries. Our methodology combines few-shot prompting and prompt engineering to enable automated analysis of network configurations, enhancing decision-making and experimentation efficiency. We validated our approach in both simulated and real-world wireless environments and demonstrated its efficacy in streamlining experiment processes and extracting actionable insights.</t>
  </si>
  <si>
    <t>1084-8045</t>
  </si>
  <si>
    <t>1095-8592</t>
  </si>
  <si>
    <t>10.1016/j.jnca.2025.104281</t>
  </si>
  <si>
    <t>WOS:001558697400001</t>
  </si>
  <si>
    <t>Kurylek, W</t>
  </si>
  <si>
    <t>Kurylek, Wojciech</t>
  </si>
  <si>
    <t>Can Large Language Models Forecast Time Series of Earnings per Share? Case from Poland</t>
  </si>
  <si>
    <t>EASTERN EUROPEAN ECONOMICS</t>
  </si>
  <si>
    <t>Earnings per share; LAG-LLaMA; Large Language Model; Large Language Model Meta AI; LLaMA; LLM; seasonal random walk; Warsaw Stock Exchange; C01; C02; C12; C14; C58; G17</t>
  </si>
  <si>
    <t>QUARTERLY EARNINGS; IMPLIED COST; ANALYSTS; SUPERIORITY; COMPONENTS; VALUATION</t>
  </si>
  <si>
    <t>This research evaluates the predictive accuracy of the cutting-edge LAG-LLaMA Large Language Model for earnings forecasts of Warsaw Stock Exchange-listed firms, comparing it with a seasonal random walk benchmark. The study uses two methods: zero-shot generalization, where the model leverages extensive pre-trained data, and fine-tuning, where historical EPS data specifically train the model. While the seasonal random walk yielded the lowest error rates, fine-tuning the LAG-LLaMA model produced comparable results in terms of MAAPE metric. The fine-tuned LAG-LLaMA model achieves the lowest RMSE and MAE errors but performs statistically equivalent to the simpler seasonal random walk model. This conclusion is specific to the Polish market and the studied period. The findings suggest LAG-LLaMA's adaptability for longer datasets, while the simpler random walk remains effective for shorter timeframes, especially in emerging markets like Poland.</t>
  </si>
  <si>
    <t>0012-8775</t>
  </si>
  <si>
    <t>1557-9298</t>
  </si>
  <si>
    <t>2025 AUG 4</t>
  </si>
  <si>
    <t>10.1080/00128775.2025.2534144</t>
  </si>
  <si>
    <t>WOS:001542637200001</t>
  </si>
  <si>
    <t>Malisetty, B; Perez, AJ</t>
  </si>
  <si>
    <t>Malisetty, Bhavani; Perez, Alfredo J.</t>
  </si>
  <si>
    <t>Evaluating Quantized Llama 2 Models for IoT Privacy Policy Language Generation</t>
  </si>
  <si>
    <t>large language models; Internet of Things; privacy policies; language modeling; quantized models; usable privacy</t>
  </si>
  <si>
    <t>SECURITY; INTERNET</t>
  </si>
  <si>
    <t>Quantized large language models are large language models (LLMs) optimized for model size while preserving their efficacy. They can be executed on consumer-grade computers without the powerful features of dedicated servers needed to execute regular (non-quantized) LLMs. Because of their ability to summarize, answer questions, and provide insights, LLMs are being used to analyze large texts/documents. One of these types of large texts/documents are Internet of Things (IoT) privacy policies, which are documents specifying how smart home gadgets, health-monitoring wearables, and personal voice assistants (among others) collect and manage consumer/user data on behalf of Internet companies providing services. Even though privacy policies are important, they are difficult to comprehend due to their length and how they are written, which makes them attractive for analysis using LLMs. This study evaluates how quantized LLMs are modeling the language of privacy policies to be potentially used to transform IoT privacy policies into simpler, more usable formats, thus aiding comprehension. While the long-term goal is to achieve this usable transformation, our work focuses on evaluating quantized LLM models used for IoT privacy policy language. Particularly, we study 4-bit, 5-bit, and 8-bit quantized versions of the large language model Meta AI version 2 (Llama 2) and the base Llama 2 model (zero-shot, without fine-tuning) under different metrics and prompts to determine how well these quantized versions model the language of IoT privacy policy documents by completing and generating privacy policy text.</t>
  </si>
  <si>
    <t>10.3390/fi16070224</t>
  </si>
  <si>
    <t>WOS:001277467000001</t>
  </si>
  <si>
    <t>Frering, L; Steinbauer-Wagner, G; Holzinger, A</t>
  </si>
  <si>
    <t>Frering, Laurent; Steinbauer-Wagner, Gerald; Holzinger, Andreas</t>
  </si>
  <si>
    <t>Integrating Belief-Desire-Intention agents with large language models for reliable human-robot interaction and explainable Artificial Intelligence</t>
  </si>
  <si>
    <t>Explainable Artificial Intelligence; Human-robot communication; Human-in-the-loop; Robotics</t>
  </si>
  <si>
    <t>BDI</t>
  </si>
  <si>
    <t>This paper presents the development of an innovative communication interface between humans and robots, designed for human-in-the-loop interaction with a user interface through natural language. The novelty of the presented approach lies in integration of a Belief-Desire-Intention agent, communicating directly to a robot and ensuring safety properties and verifiable decision making, with large language models that excel in language understanding and generation. We establish a framework that leverages the strengths of both paradigms by allowing users to formulate commands in natural language, using the ability of large language models to interpret and ground them into actionable goals, with the proven ability of Belief-Desire Intention agents to perform verifiable reasoning and goal management. In addition, we utilize the ability of this agent to represent and store its mind state, including its belief base, plan library, and history of selected events and actions, to allow large language models based explanations of the system behavior. Our findings demonstrate that this architecture provides several benefits in terms of performance and safety, without impacting efficiency or requiring extensive integration effort. This research contributes a novel perspective on the combination of large language models with symbolic approaches for explainable Artificial Intelligence and aims at inspiring new developments in human-centered Artificial Intelligence systems.</t>
  </si>
  <si>
    <t>FEB 1</t>
  </si>
  <si>
    <t>10.1016/j.engappai.2024.109771</t>
  </si>
  <si>
    <t>DEC 2024</t>
  </si>
  <si>
    <t>WOS:001388034800001</t>
  </si>
  <si>
    <t>Song, JJ; Liu, WL; Wang, YZ; Hu, X; Chen, LN; Wu, X; Zheng, CR; Gu, Q</t>
  </si>
  <si>
    <t>Song, Jiaojiao; Liu, Wenlong; Wang, Yazhe; Hu, Xin; Chen, Lina; Wu, Xin; Zheng, Congru; Gu, Qing</t>
  </si>
  <si>
    <t>Application and Challenges of Large Language Models in Clinical Nursing</t>
  </si>
  <si>
    <t>CIN-COMPUTERS INFORMATICS NURSING</t>
  </si>
  <si>
    <t>Artificial intelligence; Clinical Decision Support; Clinical Nursing; Large language models; Nursing Applications</t>
  </si>
  <si>
    <t>This review aims to summarize the current status, future prospects, and challenges of large language models in the field of clinical nursing. This systematic review follows the PRISMA (Preferred Reporting Items for Systematic reviews and Meta-Analyses) guidelines for literature selection and analysis. By searching databases such as EMBASE, CINAHL, MEDLINE, and Web of Science, with a time frame from January 1, 2021, to October 23, 2024, 15 eligible studies were included. The analysis results indicate that large language models can significantly improve the efficiency and quality of nursing services, including clinical decision support, patient education, nursing documentation generation, and workflow optimization. However, several challenges were also identified in practical applications, such as data privacy protection, misleading model outputs, and ethical issues. Despite these challenges, large language models hold great potential in the nursing field. The paper discusses several solutions to address these challenges and looks ahead to the future development directions of large language model technology, with the expectation that it will be more widely and deeply applied in the clinical nursing field.</t>
  </si>
  <si>
    <t>1538-2931</t>
  </si>
  <si>
    <t>1538-9774</t>
  </si>
  <si>
    <t>e01328</t>
  </si>
  <si>
    <t>10.1097/CIN.0000000000001328</t>
  </si>
  <si>
    <t>Computer Science; Medical Informatics; Nursing</t>
  </si>
  <si>
    <t>WOS:001569257100008</t>
  </si>
  <si>
    <t>Perikos, I; Souli, S</t>
  </si>
  <si>
    <t>Perikos, Isidoros; Souli, Spyro</t>
  </si>
  <si>
    <t>Natural Language Inference with Transformer Ensembles and Explainability Techniques</t>
  </si>
  <si>
    <t>inference; explainability; natural language processing; transformers; large language models; natural language inference</t>
  </si>
  <si>
    <t>Natural language inference (NLI) is a fundamental and quite challenging task in natural language processing, requiring efficient methods that are able to determine whether given hypotheses derive from given premises. In this paper, we apply explainability techniques to natural-language-inference methods as a means to illustrate the decision-making procedure of its methods. First, we investigate the performance and generalization capabilities of several transformer-based models, including BERT, ALBERT, RoBERTa, and DeBERTa, across widely used datasets like SNLI, GLUE Benchmark, and ANLI. Then, we employ stacking-ensemble techniques to leverage the strengths of multiple models and improve inference performance. Experimental results demonstrate significant improvements of the ensemble models in inference tasks, highlighting the effectiveness of stacking. Specifically, our best-performing ensemble models surpassed the best-performing individual transformer by 5.31% in accuracy on MNLI-m and MNLI-mm tasks. After that, we implement LIME and SHAP explainability techniques to shed light on the decision-making of the transformer models, indicating how specific words and contextual information are utilized in the transformer inferences procedures. The results indicate that the model properly leverages contextual information and individual words to make decisions but, in some cases, find difficulties in inference scenarios with metaphorical connections which require deeper inferential reasoning.</t>
  </si>
  <si>
    <t>10.3390/electronics13193876</t>
  </si>
  <si>
    <t>WOS:001331858800001</t>
  </si>
  <si>
    <t>Dutta, A; Lakshmi, MG; Ramamoorthy, A; Kumar, PK</t>
  </si>
  <si>
    <t>Dutta, Anurag; Lakshmi, M. Gayathri; Ramamoorthy, A.; Kumar, Pijush Kanti</t>
  </si>
  <si>
    <t>Large Language Models for Nowcasting Cryptocurrency Market Conditions</t>
  </si>
  <si>
    <t>FINTECH</t>
  </si>
  <si>
    <t>large language models; nowcasting; cryptocurrencies; market volatility; G17; C53; C45</t>
  </si>
  <si>
    <t>BITCOIN</t>
  </si>
  <si>
    <t>Large language models have expanded their application from traditional tasks in natural language processing to several domains of science, technology, engineering, and mathematics. This research studies the potential of these models for financial nowcasting-real-time forecasting (of the recent past) for cryptocurrency market conditions. Further, the research benchmarks capabilities of five state-of-the-art decoder-only models, gpt-4.1 (OpenAI), gemini-2.5-pro (Google), claude-3-opus-20240229 (Anthropic), deepseek-reasoner (DeepSeek), and grok-4 (xAI) across 12 major crypto-assets around the world. Using minute-resolution history of a day in USD for the stocks, gemini-2.5-pro emerges as a consistent leader in forecasting (except for a few assets). The stablecoins exhibit minimal deviation across all models, justifying the nowcast strength in low-volatility environments, although they are not able to perform well for the highly erratic assets. Additionally, since large language models have been known to better their performance when executed for a higher number of passes, the experimentations were conducted for two passes (Pass@1 and Pass@2), and the respective nowcast errors are found to be reduced by 1.2156% (on average).</t>
  </si>
  <si>
    <t>2674-1032</t>
  </si>
  <si>
    <t>SEP 29</t>
  </si>
  <si>
    <t>10.3390/fintech4040053</t>
  </si>
  <si>
    <t>Business &amp; Economics; Computer Science</t>
  </si>
  <si>
    <t>WOS:001647164700001</t>
  </si>
  <si>
    <t>Hu, SK; Fang, ZR; Fang, ZH; Deng, YQ; Chen, XH; Fang, YG; Kwong, STW</t>
  </si>
  <si>
    <t>Hu, Senkang; Fang, Zhengru; Fang, Zihan; Deng, Yiqin; Chen, Xianhao; Fang, Yuguang; Kwong, Sam Tak Wu</t>
  </si>
  <si>
    <t>AgentsCoMerge: Large Language Model Empowered Collaborative Decision Making for Ramp Merging</t>
  </si>
  <si>
    <t>IEEE TRANSACTIONS ON MOBILE COMPUTING</t>
  </si>
  <si>
    <t>Merging; Decision making; Collaboration; Autonomous vehicles; Safety; Large language models; Training; Roads; Visualization; Reflection; Collaborative decision making; large language model (LLM); connected and autonomous vehicle (CAV); multi-lane merging</t>
  </si>
  <si>
    <t>Ramp merging is one of the bottlenecks in traffic systems, which commonly cause traffic congestion, accidents, and severe carbon emissions. In order to address this essential issue and enhance the safety and efficiency of connected and autonomous vehicles (CAVs) at multi-lane merging zones, we propose a novel collaborative decision-making framework, named AgentsCoMerge, to leverage large language models (LLMs). Specifically, we first design a scene observation and understanding module to allow an agent to capture the traffic environment. Then we propose a hierarchical planning module to enable the agent to make decisions and plan trajectories based on the observation and the agent's own state. In addition, in order to facilitate collaboration among multiple agents, we introduce a communication module to enable the surrounding agents to exchange necessary information and coordinate their actions. Finally, we develop a reinforcement reflection guided training paradigm to further enhance the decision-making capability of the framework. Extensive experiments are conducted to evaluate the performance of our proposed method, demonstrating its superior efficiency and effectiveness for multi-agent collaborative decision-making under various ramp merging scenarios.</t>
  </si>
  <si>
    <t>1536-1233</t>
  </si>
  <si>
    <t>1558-0660</t>
  </si>
  <si>
    <t>10.1109/TMC.2025.3564163</t>
  </si>
  <si>
    <t>WOS:001570483600004</t>
  </si>
  <si>
    <t>Zhang, ZS; Wang, JZ; Li, B; Lin, X; Liu, MY</t>
  </si>
  <si>
    <t>Zhang, Zhongshan; Wang, Junzhi; Li, Bo; Lin, Xiang; Liu, Mingyu</t>
  </si>
  <si>
    <t>Construction of a Person-Job Temporal Knowledge Graph Using Large Language Models</t>
  </si>
  <si>
    <t>temporal knowledge graph; large language model; information extraction; person-job data</t>
  </si>
  <si>
    <t>CREATION</t>
  </si>
  <si>
    <t>Person-job data are multi-source, heterogeneous, and strongly temporal, making knowledge modeling and analysis challenging. We present an automated approach for constructing a Human-Resources Temporal Knowledge Graph. We first formalize a schema in which temporal relations are represented as sets of time intervals. On top of this schema, a large language model (LLM) pipeline extracts entities, relations, and temporal expressions, augmented by self-verification and external knowledge injection to enforce schema compliance, resolve ambiguities, and automatically repair outputs. Context-aware prompting and confidence-based escalation further improve robustness. Evaluated on a corpus of 2000 Chinese resumes, our method outperforms strong baselines, and ablations confirm the necessity and synergy of each component; notably, temporal extraction attains an F1 of 0.9876. The proposed framework provides a reusable path and engineering foundation for downstream HR tasks-such as profiling, relational reasoning, and position matching-supporting more reliable, time-aware decision-making in complex organizations.</t>
  </si>
  <si>
    <t>NOV 12</t>
  </si>
  <si>
    <t>10.3390/bdcc9110287</t>
  </si>
  <si>
    <t>WOS:001623977300001</t>
  </si>
  <si>
    <t>Li, D; Yang, Z; Nai, W; Xing, YD; Chen, ZY</t>
  </si>
  <si>
    <t>Li, Dan; Yang, Zan; Nai, Wei; Xing, Yidan; Chen, Ziyu</t>
  </si>
  <si>
    <t>A road lane detection approach based on reformer model</t>
  </si>
  <si>
    <t>EGYPTIAN INFORMATICS JOURNAL</t>
  </si>
  <si>
    <t>Road transportation system; Intelligent driving; Road lane detection; Transformer model; Reformer model; Real vehicle scenario experiment</t>
  </si>
  <si>
    <t>ALGORITHM</t>
  </si>
  <si>
    <t>Intelligent driving has now become the hot research topics in the field of intelligent transportation system (ITS), and its maturity has a significant impact on road traffic safety in information environment. As one of the key technologies of intelligent driving, lane detection is an important prerequisite for identifying driving environment and driving scenarios, and providing auxiliary decision-making for driving. At present, road lane detection methods based on Transformer model are currently considered to be most effective and accurate; however, Transformer model-based road lane detection methods still have their own drawbacks, like high computational complexity of attention mechanisms and defects in activation function and loss functions. Thus, in this paper, a road lane detection method based on Reformer model, which is in essence an improved version of Transformer model has been proposed. By utilizing local sensitive hashing (LSH) attention mechanism, reversible Transformer structure and partitioning mechanism introduced in Reformer model, the high complexity of Transformer model can be overcome; and by configuring the Mish activation function and Huber loss function, the difficulties in network training and parameter optimization in Transformer model can also be solved. Via numerical analysis and real vehicle scenario experiment on Shanghai-Jiaxing expressway in China, the effectiveness of the proposed Reformer model and its superiority over Transformer models has been demonstrated.</t>
  </si>
  <si>
    <t>1110-8665</t>
  </si>
  <si>
    <t>2090-4754</t>
  </si>
  <si>
    <t>10.1016/j.eij.2025.100625</t>
  </si>
  <si>
    <t>WOS:001428772200001</t>
  </si>
  <si>
    <t>Türkmen, MD; Kutlu, M</t>
  </si>
  <si>
    <t>Tuerkmen, Mehmet Deniz; Kutlu, Mucahid</t>
  </si>
  <si>
    <t>Message order matters: A robust author profiling approach for social media platforms</t>
  </si>
  <si>
    <t>Author profiling; Natural language processing; Social media</t>
  </si>
  <si>
    <t>TWITTER; LANGUAGE; TEXT</t>
  </si>
  <si>
    <t>As the order of sentences can impact the meaning of texts, transformer models and recurrent neural networks (RNN) also consider the order of the tokens. However, this feature can negatively affect the classification of social media accounts, as users might share messages on entirely different topics in consecutive order. In this study, we explore how to enhance the performance of models that take into account word order for various author profiling tasks on social media. We first draw attention to the transformer models' input limit and propose a message selection method that also reduces noise caused by irrelevant messages. In addition, we show that arbitrarily concatenating messages can be problematic. Therefore, we propose creating multiple variants of data by shuffling messages, classifying each variant separately, and then aggregating the predictions. In our comprehensive experiments, we focus on age, gender, occupation, and bot detection tasks. We show that the proposed content selection and shuffling-based methods lead to slight improvements in the transformer model's performance for age and gender detection tasks. However, our approach yields noticeable performance increases for BiLSTM model. Additionally, we observe that the shuffling method serves as an effective means to augment training data, further enhancing models' performance. Moreover, our shuffling-based approach enhances the models' resistance to adversarial attacks in gender and occupation detection tasks without compromising their performance in age detection.</t>
  </si>
  <si>
    <t>10.1016/j.osnem.2025.100316</t>
  </si>
  <si>
    <t>MAY 2025</t>
  </si>
  <si>
    <t>WOS:001502058000001</t>
  </si>
  <si>
    <t>Zhang, GS; Wu, JJ; Wang, PH; Tan, MZ</t>
  </si>
  <si>
    <t>Zhang, Guoshuai; Wu, Jiaji; Wang, Penghui; Tan, Mingzhou</t>
  </si>
  <si>
    <t>Using Human Cumulative Prospect Theory to Understand Large Language Models Decision-Making</t>
  </si>
  <si>
    <t>IEEE TRANSACTIONS ON COMPUTATIONAL SOCIAL SYSTEMS</t>
  </si>
  <si>
    <t>Decision making; Psychology; Biological system modeling; Large language models; Uncertainty; Probabilistic logic; Predictive models; Computational modeling; Benchmark testing; Training data; Cognitive psychology; cumulative prospect theory (CPT); decision-making; large language models (LLMs)</t>
  </si>
  <si>
    <t>Language models are trained to predict the next words for given content. The question arises: do large language models (LLMs), which have achieved technological breakthroughs in natural language generation, possess decision-making abilities as humans? The present article lets a series of LLMs do cognitive psychology experiments to explore this hypothesis. More specifically, we first identified a choice problem set and then conducted experiments following the certainty equivalent (CE) paradigm. We find that much of LLMs' behaviors are consistent with humans: the fourfold pattern of risk attitudes can also be observed across the most LLMs subjects. Particularly, LLMs are risk-seeking and risk-averse for gains with low and high probabilities, LLMs are risk-averse and risk-seeking for losses with low and high probabilities. Furthermore, LLMs subjects exhibit greater rationality in losses than in gains, and less rationality during gains compared to losses. The exponential values of the value function and weighting function, fitted based on the data from LLMs subjects, satisfy the requirements of cumulative prospect theory (CPT). Taken together, these results will further enhance the theoretical foundations to understand the LLMs decision-making capabilities and provide novel tools from cognitive psychology for improving the interpretability of LLMs.</t>
  </si>
  <si>
    <t>2329-924X</t>
  </si>
  <si>
    <t>2025 DEC 15</t>
  </si>
  <si>
    <t>10.1109/TCSS.2025.3636502</t>
  </si>
  <si>
    <t>WOS:001643515700001</t>
  </si>
  <si>
    <t>Erez, E; Dankwa, S; Tuttle, M; Nasir, A; Vallabhajosyula, P; Schneider, EB; Assi, R; Ong, CS</t>
  </si>
  <si>
    <t>Erez, Ely; Dankwa, Sedem; Tuttle, McKenzie; Nasir, Afsheen; Vallabhajosyula, Prashanth; Schneider, Eric B.; Assi, Roland; Ong, Chin Siang</t>
  </si>
  <si>
    <t>Instruction-Tuned Large Language Models for Clinical Data Extraction: Creating an Aortic Measurement Database from CT Radiology Reports</t>
  </si>
  <si>
    <t>JOURNAL OF HEALTHCARE INFORMATICS RESEARCH</t>
  </si>
  <si>
    <t>Machine learning; Large language models; Natural language processing; Clinical named entity recognition; Aortic diseases</t>
  </si>
  <si>
    <t>Chest computed tomography (CT) is commonly used to evaluate thoracic aortic dilations and aneurysms, but aortic measurements are often embedded in unstructured radiology report narratives, limiting their accessibility for clinical decision-making and research. Structured extraction of these measurements could flag incidental findings in the electronic health record, improve adherence to surveillance and surgical referral guidelines, and support population-level studies on aortic disease. We compared the performance of fine-tuned BERT-based models with instruction-tuned, few-shot, and zero-shot Llama large language models for extracting aortic diameters from 356,690 institutional chest CT reports spanning 2013 to 2023. A subset of 2010 reports was manually annotated, with 1002 used for training, 504 for validation, and 504 for testing. Aortic diameters were annotated at eight standardized anatomical sites. The instruction-tuned Llama 3.1 model achieved the highest performance, with a macro F1 score of 0.992 on the validation set and 0.970 on the test set, outperforming the few-shot (F1 = 0.838) and zero-shot (F1 = 0.663) Llama 3.1 models, as well as the fine-tuned Clinical BERT model (F1 = 0.954). Applied to the full dataset, the instruction-tuned model identified aortic measurements in 49,387 of 356,690 reports (13.85%). These results demonstrate that instruction-tuned large language models enable high-fidelity extraction of clinically relevant information with minimal annotation, and the framework developed here is adaptable to a broad range of medical information extraction tasks from unstructured text.</t>
  </si>
  <si>
    <t>2509-4971</t>
  </si>
  <si>
    <t>2509-498X</t>
  </si>
  <si>
    <t>10.1007/s41666-025-00210-y</t>
  </si>
  <si>
    <t>Computer Science; Health Care Sciences &amp; Services; Medical Informatics</t>
  </si>
  <si>
    <t>WOS:001542655400001</t>
  </si>
  <si>
    <t>Almalki, SS</t>
  </si>
  <si>
    <t>Almalki, Sultan Saaed</t>
  </si>
  <si>
    <t>Sentiment Analysis and Emotion Detection Using Transformer Models in Multilingual Social Media Data</t>
  </si>
  <si>
    <t>-Multilingual sentiment analysis; emotion detection; transformer models; XLM-R; mBERT, T5; code-switching; cross-lingual NLP; social media text processing; deep learning</t>
  </si>
  <si>
    <t>The rapid expansion of multilingual social media platforms has resulted in a surge of user-generated content, introducing challenges in sentiment analysis and emotion detection due to code-switching, informal text, and linguistic diversity. Traditional rule-based and machine learning models struggle to process multilingual complexities effectively, necessitating advanced deep-learning approaches. This study develops a transformer-based sentiment analysis and emotion detection system capable of handling multilingual and code-mixed social media text. The proposed fine-tuned Cross-lingual Language Model-Robust (XLM-R) model is compared against state-of-the-art transformer models (mBERT, T5) and traditional classifiers (support vector machine (SVM), ARandom Forest) to assess its cross-lingual sentiment classification performance. A multilingual dataset was compiled from Twitter, YouTube, Facebook, and Amazon Reviews, covering English, Spanish, French, Hindi, Arabic, Tamil, and Portuguese. Data preprocessing included tokenization, stopword removal, emoji normalization, and code-switching handling. Transformer models were finetuned using cross-lingual embeddings and transfer learning, with accuracy, F1-score, and confusion matrices for performance evaluation. Results show that XLM-R outperformed all baselines, achieving an F1-score of 90.3%, Awhile multilingual Bidirectional Encoder Representations from TransformersA(mBERT) and T5 scored 84.5% and 87.2%, Arespectively. Preprocessing improved performance by 7%, particularly in code-mixed datasets. Handling code-switching increased accuracy by 8.9%, Aconfirming the model's robustness in multilingual sentiment analysis. The findings demonstrate that XLM-R effectively classifies sentiments and emotions in multilingual social media data, surpassing existing approaches. This study supports integrating transformer-based models for cross-lingual natural language processing (NLP) tasks, paving the way for real-time multilingual sentiment analysis applications.</t>
  </si>
  <si>
    <t>WOS:001462759800001</t>
  </si>
  <si>
    <t>Popov, D; Terentev, E; Serenko, D; Sochenkov, I; Buyanov, I</t>
  </si>
  <si>
    <t>Popov, Dmitrii; Terentev, Egor; Serenko, Danil; Sochenkov, Ilya; Buyanov, Igor</t>
  </si>
  <si>
    <t>Transferring Natural Language Datasets Between Languages Using Large Language Models for Modern Decision Support and Sci-Tech Analytical Systems</t>
  </si>
  <si>
    <t>large language model; machine translation; data transferring; ChatGPT; Llama; DeepSeek; Qwen; DEFT</t>
  </si>
  <si>
    <t>The decision-making process to rule R&amp;D relies on information related to current trends in particular research areas. In this work, we investigated how one can use large language models (LLMs) to transfer the dataset and its annotation from one language to another. This is crucial since sharing knowledge between different languages could boost certain underresourced directions in the target language, saving lots of effort in data annotation or quick prototyping. We experiment with English and Russian pairs, translating the DEFT (Definition Extraction from Texts) corpus. This corpus contains three layers of annotation dedicated to term-definition pair mining, which is a rare annotation type for Russian. The presence of such a dataset is beneficial for the natural language processing methods of trend analysis in science since the terms and definitions are the basic blocks of any scientific field. We provide a pipeline for the annotation transfer using LLMs. In the end, we train the BERT-based models on the translated dataset to establish a baseline.</t>
  </si>
  <si>
    <t>APR 28</t>
  </si>
  <si>
    <t>10.3390/bdcc9050116</t>
  </si>
  <si>
    <t>WOS:001496575300001</t>
  </si>
  <si>
    <t>Zheng, Y; Zhang, LD; Li, KW; Wang, R; Li, WH; Zhang, T; Zhang, QF; Jin, YC</t>
  </si>
  <si>
    <t>Zheng, Yan; Zhang, Lida; Li, Kaiwen; Wang, Rui; Li, Wenhua; Zhang, Tao; Zhang, Qingfu; Jin, Yaochu</t>
  </si>
  <si>
    <t>A survey on large language models driven meta-optimizers for automated intelligent optimization</t>
  </si>
  <si>
    <t>Large language models; Meta optimization; Automated algorithm design; Evolutionary computation; Intelligent optimization</t>
  </si>
  <si>
    <t>EVOLUTIONARY ALGORITHMS; NETWORKS</t>
  </si>
  <si>
    <t>This review systematically summarizes the research progress of Large Language Models (LLMs) as meta-optimizers in the field of automated intelligent optimization algorithm design, aiming to establish a unified framework for this emerging research direction. The study first defines the core paradigm and research scope of LLM-driven meta-optimization, explaining how it overcomes the limitations of traditional optimization algorithms in terms of parameter sensitivity and cross-domain generalization. It then systematically summarizes representative methodological frameworks and typical methods for key stages such as algorithm auto-generation, dynamic selection, parameter configuration, and mutation control using LLMs, revealing the potential for synergies between generative AI and gradient-free optimization heuristics. Additionally, this paper integrates relevant performance evaluation metrics and benchmarking problems, providing practical references for researchers. Finally, the paper discusses the main challenges in this field and outlines future research directions, emphasizing the core role of LLMs as meta-optimizers in driving paradigm shifts toward algorithm design automation and intelligence.</t>
  </si>
  <si>
    <t>JAN 6</t>
  </si>
  <si>
    <t>10.1007/s10462-025-11470-w</t>
  </si>
  <si>
    <t>WOS:001666726700001</t>
  </si>
  <si>
    <t>Karimanzira, D; Rauschenbach, T; Hellmund, T; Ritzau, L</t>
  </si>
  <si>
    <t>Karimanzira, Divas; Rauschenbach, Thomas; Hellmund, Tobias; Ritzau, Linda</t>
  </si>
  <si>
    <t>Improved Flood Management and Risk Communication Through Large Language Models</t>
  </si>
  <si>
    <t>ALGORITHMS</t>
  </si>
  <si>
    <t>large language models; flood forecasting and mapping; risk analysis; retrieval augmented generation; flood knowledge graph</t>
  </si>
  <si>
    <t>In light of urbanization, climate change, and the escalation of extreme weather events, flood management is becoming more and more important. Improving community resilience and reducing flood risks require prompt decision-making and effective communication. This study investigates how flood management systems can incorporate Large Language Models (LLMs), especially those that use Retrieval-Augmented Generation (RAG) architectures. We suggest a multimodal framework that uses a Flood Knowledge Graph to aggregate data from various sources, such as social media, hydrological, and meteorological inputs. Although LLMs have the potential to be transformative, we also address important drawbacks like governance issues, hallucination risks, and a lack of physical modeling capabilities. When compared to text-only LLMs, the RAG system significantly improves the reliability of flood-related decision support by reducing factual inconsistency rates by more than 75%. Our suggested architecture includes expert validation and security layers to guarantee dependable, useful results, like flood-constrained evacuation route planning. In areas that are vulnerable to flooding, this strategy seeks to strengthen warning systems, enhance information sharing, and build resilient communities.</t>
  </si>
  <si>
    <t>1999-4893</t>
  </si>
  <si>
    <t>10.3390/a18110713</t>
  </si>
  <si>
    <t>WOS:001623348700001</t>
  </si>
  <si>
    <t>Pulari, SR; Umadevi, M; Vasudevan, SK</t>
  </si>
  <si>
    <t>Pulari, Sini Raj; Umadevi, Maramreddy; Vasudevan, Shriram K.</t>
  </si>
  <si>
    <t>Optimizing multimodal personalized disease prediction accuracy using generated prompts and large language models</t>
  </si>
  <si>
    <t>IMAGE AND VISION COMPUTING</t>
  </si>
  <si>
    <t>LLMs; LLMs for disease prediction; AI for medicine; Clinical reports; Prompt engineering; Healthcare</t>
  </si>
  <si>
    <t>The rapid advancement of Large Language Models (LLMs) and Generative AI (GenAI) has unlocked new possibilities in personalized healthcare. This study proposes a novel multimodal framework that enhances disease prediction accuracy by integrating medical images and clinical reports through LLM-guided prompting. Traditional methods often treat these data sources in isolation, resulting in limited diagnostic precision. Our approach uses task-specific prompts to guide LLMs toward critical disease-relevant and patient-specific features, enabling a more contextual and comprehensive analysis. Experimental results demonstrate significant improvements in diagnostic performance, thereby advancing the scope of personalized medicine and clinical decision-making.</t>
  </si>
  <si>
    <t>0262-8856</t>
  </si>
  <si>
    <t>1872-8138</t>
  </si>
  <si>
    <t>10.1016/j.imavis.2025.105649</t>
  </si>
  <si>
    <t>Computer Science; Engineering; Optics</t>
  </si>
  <si>
    <t>WOS:001532854200001</t>
  </si>
  <si>
    <t>Messner, W; Greene, T; Matalone, J</t>
  </si>
  <si>
    <t>Messner, Wolfgang; Greene, Tatum; Matalone, Josephine</t>
  </si>
  <si>
    <t>From Bytes to Biases: Investigating the Cultural Self-Perception of Large Language Models</t>
  </si>
  <si>
    <t>JOURNAL OF PUBLIC POLICY &amp; MARKETING</t>
  </si>
  <si>
    <t>large language model (LLM); algorithmic bias; ChatGPT; Bard (Gemini); culture; conversational artificial intelligence; language; generative artificial intelligence (genAI)</t>
  </si>
  <si>
    <t>NATIONAL CULTURE; NETWORKS; HOFSTEDE; BUSINESS; VALUES</t>
  </si>
  <si>
    <t>Large language models (LLMs) are able to engage in natural-sounding conversations with humans, showcasing unprecedented capabilities for information retrieval and automated decision support. They have disrupted human-technology interaction and the way businesses operate. However, technologies based on generative artificial intelligence are known to hallucinate, misinform, and display biases introduced by the massive datasets on which they are trained. Existing research indicates that humans may unconsciously internalize these biases, which can persist even after they stop using the programs. In this study, the authors explore the cultural self-perception of LLMs by prompting ChatGPT (OpenAI) and Bard (Google) with value questions derived from the GLOBE (Global Leadership and Organizational Behavior Effectiveness) project. The findings reveal that LLMs' cultural self-perception is most closely aligned with the values of English-speaking countries and countries characterized by economic competitiveness. It is crucial for all members of society to understand how LLMs function and to recognize their potential biases. If left unchecked, the black-box nature of AI could reinforce human biases, leading to the inadvertent creation and training of even more biased models.</t>
  </si>
  <si>
    <t>0743-9156</t>
  </si>
  <si>
    <t>1547-7207</t>
  </si>
  <si>
    <t>10.1177/07439156251319788</t>
  </si>
  <si>
    <t>WOS:001470820600001</t>
  </si>
  <si>
    <t>Xu, C; Lan, T; Lv, ZY; Dong, QX; Zhang, JS; Huang, HY; Yang, MQ; Hu, B</t>
  </si>
  <si>
    <t>Xu, Chen; Lan, Tian; Lv, Zhenyu; Dong, Qunxi; Zhang, Jieshuo; Huang, Heyan; Yang, Minqiang; Hu, Bin</t>
  </si>
  <si>
    <t>Bridging the gap between data distribution and model: Dynamic data distribution optimization for improving critique capabilities of large language models</t>
  </si>
  <si>
    <t>EXPERT SYSTEMS WITH APPLICATIONS</t>
  </si>
  <si>
    <t>Critique ability; Automatic evaluation; Large language models</t>
  </si>
  <si>
    <t>Critique ability, defined as the capacity to identify and rectify flaws in text generation, is crucial for the applications of Large Language Models (LLMs). As a meta-cognitive capability, enhancing the critique ability of LLMs poses significant challenges. Recent studies have proposed improving this ability through fine-tuning on critique datasets. However, the static data distribution of existing datasets often leads to a mismatch between the training data and the diverse optimization needs of target models, thereby hindering their effectiveness. To address this issue, we introduce a novel Dynamic Iterative Data Distribution Optimization Method (DIDD) that dynamically adjusts training data distributions to align with the specific optimization requirements of target models. Specifically, DIDD detects the vulnerable data distribution of target optimization models by conducting the meta-critique on synthesized test set. The detected vulnerable data distribution are then leveraged to construct the training dataset that aligns with target model more closely, improving the effectiveness of the training dataset. Extensive experimental results across four benchmarks demonstrate that our proposed DIDD effectively alleviates the mismatch between the training dataset and target optimization models.</t>
  </si>
  <si>
    <t>0957-4174</t>
  </si>
  <si>
    <t>1873-6793</t>
  </si>
  <si>
    <t>MAR 5</t>
  </si>
  <si>
    <t>10.1016/j.eswa.2025.129878</t>
  </si>
  <si>
    <t>Computer Science; Engineering; Operations Research &amp; Management Science</t>
  </si>
  <si>
    <t>WOS:001620349300002</t>
  </si>
  <si>
    <t>Chakraborty, N; Ornik, M; Driggs-Campbell, K</t>
  </si>
  <si>
    <t>Chakraborty, Neeloy; Ornik, Melkior; Driggs-Campbell, Katherine</t>
  </si>
  <si>
    <t>Hallucination Detection in Foundation Models for Decision-Making: A Flexible Definition and Review of the State of the Art</t>
  </si>
  <si>
    <t>ACM COMPUTING SURVEYS</t>
  </si>
  <si>
    <t>Foundation models; decision-making; hallucination detection and mitiga- tion; survey</t>
  </si>
  <si>
    <t>LANGUAGE; VISION</t>
  </si>
  <si>
    <t>Autonomous systems are soon to be ubiquitous, spanning manufacturing, agriculture, healthcare, entertainment, and other industries. Most of these systems are developed with modular sub-components for decision-making, planning, and control that may be hand-engineered or learning-based. While these approaches perform well under the situations they were specifically designed for, they can perform especially poorly in out-of-distribution scenarios that will undoubtedly arise at test-time. The rise of foundation models trained on multiple tasks with impressively large datasets has led researchers to believe that these models may provide common sense reasoning that existing planners are missing, bridging the gap between algorithm development and deployment. While researchers have shown promising results in deploying foundation models to decision-making tasks, these models are known to hallucinate and generate decisions that may sound reasonable but are in fact poor. We argue there is a need to step back and simultaneously design systems that can quantify the certainty of a model's decision and detect when it may be hallucinating. In this work, we discuss the current use cases of foundation models for decision-making tasks, provide a general definition for hallucinations with examples, discuss existing approaches to hallucination detection and mitigation with a focus on decision problems, present guidelines, and explore areas for further research in this exciting field.</t>
  </si>
  <si>
    <t>0360-0300</t>
  </si>
  <si>
    <t>1557-7341</t>
  </si>
  <si>
    <t>10.1145/3716846</t>
  </si>
  <si>
    <t>WOS:001456240100008</t>
  </si>
  <si>
    <t>Golfe, A; Meseguer, P; Naranjo, V; Colomer, A</t>
  </si>
  <si>
    <t>Golfe, Alejandro; Meseguer, Pablo; Naranjo, Valery; Colomer, Adrian</t>
  </si>
  <si>
    <t>CLAV: clustering latent vector aggregation for whole slide image retrieval leveraging foundation models</t>
  </si>
  <si>
    <t>Cancer diagnosis; Histopathology imaging; Content-based image retrieval; Foundation models; Clustering aggregation</t>
  </si>
  <si>
    <t>Content-Based Image Retrieval (CBIR) is crucial in cancer diagnosis, assisting pathologists by providing similar image data from previous records for analysis, especially when there is uncertainty in diagnosing a case. This process supports decision-making by providing valuable reference points to guide the diagnostic process. Foundation models have become increasingly important in the medical field due to their ability to generalize across various tasks and datasets, offering valuable support to pathologists by enhancing the accuracy and efficiency of diagnostic processes. In this article, a foundation model pre-trained on histopathology data is leveraged as a feature extractor without the need for task-specific training, in contrast to existing models that require extensive training to learn significant data representations. The proposed method, Clustering Latent Vector Aggregation (CLAV), condenses the significant feature vectors into a unique representative vector for the Whole Slide Image (WSI). Using a unique feature vector offers the advantage of reducing the size of the memory bank, thereby making the process of querying and retrieving similar WSIs more efficient. The experimental results presented in this study demonstrate that the proposed method enhances performance in CBIR tasks. This article highlights the potential of foundation models to achieve superior retrieval metrics compared to state-of-the-art methods specifically trained for CBIR.</t>
  </si>
  <si>
    <t>NOV 4</t>
  </si>
  <si>
    <t>10.1016/j.knosys.2025.114423</t>
  </si>
  <si>
    <t>WOS:001576827600001</t>
  </si>
  <si>
    <t>Höhne, JK; Claassen, J; Wolf, B</t>
  </si>
  <si>
    <t>Hohne, Jan Karem; Claassen, Joshua; Wolf, Ben Lasse</t>
  </si>
  <si>
    <t>LLM-driven bot infiltration: protecting web surveys through prompt injections</t>
  </si>
  <si>
    <t>INTERNATIONAL JOURNAL OF SOCIAL RESEARCH METHODOLOGY</t>
  </si>
  <si>
    <t>Data quality and integrity; jailbreaking injection; Large Language Models (LLMs); open-ended questions; prompt leaking injection</t>
  </si>
  <si>
    <t>Cost- and time-efficient web surveys potentially help covering the increasing survey data demand. However, since web surveys face low response rates, researchers consider social media platforms for recruitment. Although these platforms provide targeting tools, data quality and integrity might be threatened by bots. Established bot detections are not reliable when it comes to LLM-driven bots linked to Large Language Models (LLMs). We therefore investigate whether and to what extent prompt injections help detecting LLM-driven bots in web surveys. We instructed two LLM-driven bots with cumulative skillsets (LLM and LLM+) to respond to an open-ended question. This question included no injection, a jailbreaking injection, or a prompt leaking injection. Our results indicate that both bots react differently to prompt injections. While the less sophisticated LLM bot falls for the jailbreaking injection, the more sophisticated LLM+ bot falls for the prompt leaking injection. This indicates that prompt injections must be tailored to bot sophistication.</t>
  </si>
  <si>
    <t>1364-5579</t>
  </si>
  <si>
    <t>1464-5300</t>
  </si>
  <si>
    <t>2025 DEC 10</t>
  </si>
  <si>
    <t>10.1080/13645579.2025.2598606</t>
  </si>
  <si>
    <t>WOS:001632887700001</t>
  </si>
  <si>
    <t>Chen, SL; Wang, WC; Chen, XL; Zhang, ML; Lu, P; Li, XY; Du, YJ</t>
  </si>
  <si>
    <t>Chen, Songlin; Wang, Weicheng; Chen, Xiaoliang; Zhang, Maolin; Lu, Peng; Li, Xianyong; Du, Yajun</t>
  </si>
  <si>
    <t>Enhancing Chinese comprehension and reasoning for large language models: an efficient LoRA fine-tuning and tree of thoughts framework</t>
  </si>
  <si>
    <t>JOURNAL OF SUPERCOMPUTING</t>
  </si>
  <si>
    <t>Large language models; Chinese comprehension and reasoning; Low-rank adaptation; Tree of thought; Affective computing</t>
  </si>
  <si>
    <t>RANK MATRIX FACTORIZATION</t>
  </si>
  <si>
    <t>Large language models have been extensively utilized for addressing general problems across various tasks. However, their current implementation in large language models still exhibits constraints in Chinese comprehension and reasoning. This study aims to overcome these limitations through enhancing the understanding and reasoning capabilities of Chinese language models while minimizing resource demands. We introduce LLaMA-LoRA, an engineered framework driven by thoughtful guidance, which is constructed upon the LLaMA-13B model and incorporates low-rank adaptation (LoRA) for meticulous fine-tuning. To overcome the inherent constraint of token-based left-to-right decision making during the inference process, we introduce the tree of thought to further augment our model. By considering diverse reasoning paths and engaging in self-evaluation during the decision-making process, Tree of thought facilitates deliberate decision making and facilitates the determination of subsequent action plans. Our experimental results demonstrate that the integration of this strategic mechanism significantly enhances Chinese comprehension and reasoning abilities, surpassing the performance of GPT-3.5, Chatglm, and other relevant language models in specific tasks. Meanwhile, it demonstrates excellent performance in sentiment calculation tasks such as multiclass sentiment analysis. Moreover, the availability of our open-source code facilitates further advancements in the field of Chinese text logical inference.</t>
  </si>
  <si>
    <t>0920-8542</t>
  </si>
  <si>
    <t>1573-0484</t>
  </si>
  <si>
    <t>10.1007/s11227-024-06499-7</t>
  </si>
  <si>
    <t>WOS:001340383400002</t>
  </si>
  <si>
    <t>Kazarian, A; Teslyuk, V; Berezsky, O; Pitsun, O</t>
  </si>
  <si>
    <t>Kazarian, Artem; Teslyuk, Vasyl; Berezsky, Oleh; Pitsun, Oleh</t>
  </si>
  <si>
    <t>Development of Traffic Rules Training Platform Using LLMs and Cloud Video Streaming</t>
  </si>
  <si>
    <t>VR; virtual simulator; cloud computing; Petri net learning model; spherical video; large language model; web application</t>
  </si>
  <si>
    <t>VIRTUAL-REALITY; TRENDS; USAGE</t>
  </si>
  <si>
    <t>Driving safety education remains a critical societal priority, and understanding traffic rules is essential for reducing road accidents and improving driver awareness. This study presents the development and evaluation of a virtual simulator for learning traffic rules, incorporating spherical video technology and interactive training scenarios. The primary objective was to enhance the accessibility and effectiveness of traffic rule education by utilizing modern virtual reality approaches without the need for specialized equipment. A key research component is using Petri net-based models to study the simulator's dynamic states, enabling the analysis and optimization of system behavior. The developed simulator employs large language models for the automated generation of educational content and test questions, supporting personalized learning experiences. Additionally, a model for determining the camera rotation angle was proposed, ensuring a realistic and immersive presentation of training scenarios within the simulator. The system's cloud-based, modular software architecture and cross-platform algorithms ensure flexibility, scalability, and compatibility across devices. The simulator allows users to practice traffic rules in realistic road environments with the aid of spherical videos and receive immediate feedback through contextual prompts. The developed system stands out from existing traffic rule learning platforms by combining spherical video technology, large language model-based content generation, and cloud architecture to create a more interactive, adaptive, and realistic learning experience. The experimental results confirm the simulator's high efficiency in improving users' knowledge of traffic rules and practical decision-making skills.</t>
  </si>
  <si>
    <t>NOV 30</t>
  </si>
  <si>
    <t>10.3390/bdcc9120304</t>
  </si>
  <si>
    <t>WOS:001646850900001</t>
  </si>
  <si>
    <t>Zhang, ZC; Wang, JY; Guo, YJ; Wen, FR; Chen, ZJ; Wang, HQ; Li, WZ; Sun, L; Zhou, YJ; Zhang, JB; Yan, BW; Jia, ZH; Xiao, JH; Tian, Y; Zhu, XY; Zhang, KW; Li, CY; Liu, XH; Min, XK; Jia, Q; Zhai, GT</t>
  </si>
  <si>
    <t>Zhang, Zicheng; Wang, Junying; Guo, Yijin; Wen, Farong; Chen, Zijian; Wang, Hanqing; Li, Wenzhe; Sun, Lu; Zhou, Yingjie; Zhang, Jianbo; Yan, Bowen; Jia, Ziheng; Xiao, Jiahao; Tian, Yuan; Zhu, Xiangyang; Zhang, Kaiwei; Li, Chunyi; Liu, Xiaohong; Min, Xiongkuo; Jia, Qi; Zhai, Guangtao</t>
  </si>
  <si>
    <t>AIBench: Towards trustworthy evaluation under the 45° law</t>
  </si>
  <si>
    <t>DISPLAYS</t>
  </si>
  <si>
    <t>Benchmark; Foundation models; Safety-intelligence</t>
  </si>
  <si>
    <t>This paper presents AIBench, a flexible and rapidly updating benchmark that aggregates evaluation results from commercial platforms, popular open-source leaderboards, and internal evaluation benchmarks. While existing leaderboards primarily emphasize model capabilities, they often overlook safety evaluations and lack integrated cost-performance information, factors critical for informed decision-making by enterprises and end users. To address this gap, AIBench provides a comprehensive evaluation of foundation models across four key dimensions: Safety, Intelligence, Speed, and Price. Inspired by the 45 degrees Law of Intelligence-Safety Balance, we visualize the trade-off patterns among leading models, offering a bird's-eye view of how top-tier companies position their models along these two axes. In addition, to support the development of Specialized Generalist Intelligence (SGI), AIBench incorporates a general-special evaluation framework, designed to assess whether models excelling in specialized domains can also maintain strong general-purpose performance. AIBench also tracks performance evolution over time, revealing longitudinal trends in model development. Furthermore, we periodically curate and incorporate insights from the evaluation community to ensure that the benchmark remains timely and relevant. AIBench is intended to serve as a transparent, dynamic, and actionable benchmark for trustworthy evaluation, aiding both researchers and practitioners in navigating the rapidly evolving landscape of foundation models. AIBench is publicly available and maintained at: https://aiben.ch.</t>
  </si>
  <si>
    <t>0141-9382</t>
  </si>
  <si>
    <t>1872-7387</t>
  </si>
  <si>
    <t>10.1016/j.displa.2025.103255</t>
  </si>
  <si>
    <t>Computer Science; Engineering; Instruments &amp; Instrumentation; Optics</t>
  </si>
  <si>
    <t>WOS:001605922100001</t>
  </si>
  <si>
    <t>Liu, WD; Zhong, XY; Hou, JW; Li, SH; Huang, HZ; Zhou, W; Fang, YM</t>
  </si>
  <si>
    <t>Liu, Weide; Zhong, Xiaoyang; Hou, Jingwen; Li, Shaohua; Huang, Haozhe; Zhou, Wei; Fang, Yuming</t>
  </si>
  <si>
    <t>Integrating large foundation models into multimodal named entity recognition with evidential fusion</t>
  </si>
  <si>
    <t>Large foundation models; Multimodal named entity recognition; Evidential</t>
  </si>
  <si>
    <t>Multimodal Named Entity Recognition (MNER) is a crucial task for information extraction from social media platforms such as Twitter. Most current methods rely on attention weights to extract information from both text and images but are often unreliable and lack interpretability. To address this problem, we propose incorporating uncertainty estimation into the MNER task, producing trustworthy predictions. Our proposed algorithm models the distribution of each modality as a Normal-inverse Gamma distribution, and fuses them into a unified distribution with an evidential fusion mechanism, enabling hierarchical characterization of uncertainties and promotion of prediction accuracy and trustworthiness. Additionally, we explore the potential of pre-trained large foundation models in MNER and propose an efficient fusion approach that leverages their robust feature representations. Experiments on two datasets demonstrate that our proposed method outperforms the baselines and achieves new state-of-the-art performance. Our code is available at https://github.com/ZhongAobo/evi-mner.</t>
  </si>
  <si>
    <t>NOV 1</t>
  </si>
  <si>
    <t>10.1016/j.neucom.2025.131015</t>
  </si>
  <si>
    <t>WOS:001541109600001</t>
  </si>
  <si>
    <t>Mcavinue, S; Dev, K</t>
  </si>
  <si>
    <t>Mcavinue, Sarah; Dev, Kapal</t>
  </si>
  <si>
    <t>Comparative evaluation of Large Language Models using key metrics and emerging tools</t>
  </si>
  <si>
    <t>Claude 2; generative AI; GPT-4; Langsmith; Large Language Models (LLMs); LLM evaluation</t>
  </si>
  <si>
    <t>This research involved designing and building an interactive generative AI application to conduct a comparative analysis of two advanced Large Language Models (LLMs), GPT-4, and Claude 2, using Langsmith evaluation tools. The project was developed to explore the potential of LLMs in facilitating postgraduate course recommendations within a simulated environment at Munster Technological University (MTU). Designed for comparative analysis, the application enables testing of GPT-4 and Claude 2 and can be hosted flexibly on either Amazon Web Services (AWS) or Azure. It utilizes advanced natural language processing and retrieval-augmented generation (RAG) techniques to process proprietary data tailored to postgraduate needs. A key component of this research was the rigorous assessment of the LLMs using the Langsmith evaluation tool against both customized and standard benchmarks. The evaluation focused on metrics such as bias, safety, accuracy, cost, robustness, and latency. Additionally, adaptability covering critical features like language translation and internet access, was independently researched since the Langsmith tool does not evaluate this metric. This ensures a holistic assessment of the LLM's capabilities.</t>
  </si>
  <si>
    <t>10.1111/exsy.13719</t>
  </si>
  <si>
    <t>WOS:001303692100001</t>
  </si>
  <si>
    <t>Zhou, YL; Fu, HY; Zhou, MZ; Zhao, YY; Chen, JH</t>
  </si>
  <si>
    <t>Zhou, Yangli; Fu, Haiying; Zhou, Mingzhe; Zhao, Yanyan; Chen, Jihuan</t>
  </si>
  <si>
    <t>High-accuracy slope stability analysis using data-driven and attention-based deep learning model</t>
  </si>
  <si>
    <t>EARTH SCIENCE INFORMATICS</t>
  </si>
  <si>
    <t>Transformer; Attention module; Deep learning; Slope stability analysis; Slope disaster; Slope safety factor</t>
  </si>
  <si>
    <t>LIMIT EQUILIBRIUM; PREDICTION; REGRESSION; NETWORKS; SAFETY</t>
  </si>
  <si>
    <t>Because of the abrupt occurrence and severe consequences of slope disasters, the analysis of slope stability has been a focal point in the field of slope disaster prevention. Traditional methods require considerable investments and fail to effectively predict the development trends of slope stability. However, the emergence of data-driven approaches based on deep learning has forged a novel avenue. Recently, a transformer model is proposed, which has an attention module to learn the high dimensionality correlation between the properties and the stability of slopes. In this study, the transformer model is used to predict the slope safety factor and evaluate the slope stability, and a dataset consisting of 72,000 slope samples is created based on the computer-generated method. The superior predictive capabilities of the transformer model are demonstrated in comparison to LSTM and Attention-LSTM models. Subsequently, the transformer-based multi-classification and regression models are discussed. The regression model outperformed in predicting slope safety factor, reaching an impressive accuracy of 99.983%. The results indicate that the deep learning approach based on the transformer model has shown great potential and advantages for slope stability analysis. Its high accuracy and short computation time will contribute to rapid on-site decision-making in geotechnical engineering applications.</t>
  </si>
  <si>
    <t>1865-0473</t>
  </si>
  <si>
    <t>1865-0481</t>
  </si>
  <si>
    <t>DEC 11</t>
  </si>
  <si>
    <t>10.1007/s12145-024-01600-3</t>
  </si>
  <si>
    <t>Computer Science; Geology</t>
  </si>
  <si>
    <t>WOS:001374831100001</t>
  </si>
  <si>
    <t>Bahre, GH; Hamidi, H; Sellergren, AB; Quarta, A; Celi, LA; Calimeri, F; Seyyed-Kalantari, L</t>
  </si>
  <si>
    <t>Bahre, Gebreyowhans H.; Hamidi, Hassan; Sellergren, Andrew B.; Quarta, Alessandro; Celi, Leo Anthony; Calimeri, Francesco; Seyyed-Kalantari, Laleh</t>
  </si>
  <si>
    <t>Underdiagnosis Bias Mitigation With Expert Foundation Models Representation</t>
  </si>
  <si>
    <t>Biomedical imaging; Artificial intelligence; X-ray imaging; Foundation models; Biological system modeling; Internet; Diseases; Medical diagnostic imaging; Vectors; MIMICs; AI fairness; vector embedding representation; AI in medical imaging; chest X-rays; foundation models</t>
  </si>
  <si>
    <t>Vector embeddings (VEmb) are compact data representations learned by large foundation models that have recently gained popularity; their use in place of original data requires less storage and computational power, making them ideal for low-resource computational settings. Nevertheless, the compression of large amounts of data, such as a large medical image, into a low-dimensional VEmb might weaken critical disease information, potentially increasing the risk of underdiagnosis risk -i.e. unhealthy patients flagged as healthy. In this work, we evaluate the underdiagnosis bias of Chest X-ray disease classifiers based on both VEmb and image-based models. Underdiagnosis occurs when an AI model incorrectly classifies unhealthy patients as healthy, leading to missed diagnoses and potential delays in treatment. We make use of VEmb from Google's X-ray foundation model (trained exclusively on X-rays) and BiomedCLIP (trained on various types of medical imaging data). Our findings show that the expert Google VEmb-based model, highly finetuned solely on chest X-rays, reduces underdiagnosis rates, and narrows the underdiagnosis rate gap across subpopulations as well. Conversely, the VEmb from BiomedCLIP, a non-expert model trained on a diverse range of medical images, exhibits lower disease classification performance and higher underdiagnosis rates. This underscores the importance of obtaining VEmb from expert models trained on domain-specific data. Furthermore, we observed reduced demographic signal detection in VEmb of expert foundation models compared to image-based models. This aligns with a decrease in underdiagnosis bias, emphasizing the potential benefits of minimizing demographic signals to achieve fairer outcomes.</t>
  </si>
  <si>
    <t>10.1109/ACCESS.2025.3582754</t>
  </si>
  <si>
    <t>WOS:001521568200010</t>
  </si>
  <si>
    <t>Xiong, HY; Bian, J; Li, YC; Li, XH; Du, MN; Wang, SQ; Yin, DW; Helal, S</t>
  </si>
  <si>
    <t>Xiong, Haoyi; Bian, Jiang; Li, Yuchen; Li, Xuhong; Du, Mengnan; Wang, Shuaiqiang; Yin, Dawei; Helal, Sumi</t>
  </si>
  <si>
    <t>When Search Engine Services Meet Large Language Models: Visions and Challenges</t>
  </si>
  <si>
    <t>IEEE TRANSACTIONS ON SERVICES COMPUTING</t>
  </si>
  <si>
    <t>Search engines; Accuracy; Training; Service computing; Indexing; Chatbots; Transformers; Large language models (LLMs); search engines; learning-to-rank (LTR); and retrieve-augmented generation (RAG)</t>
  </si>
  <si>
    <t>Combining Large Language Models (LLMs) with search engine services marks a significant shift in the field of services computing, opening up new possibilities to enhance how we search for and retrieve information, understand content, and interact with internet services. This paper conducts an in-depth examination of how integrating LLMs with search engines can mutually benefit both technologies. We focus on two main areas: using search engines to improve LLMs (Search4LLM) and enhancing search engine functions using LLMs (LLM4Search). For Search4LLM, we investigate how search engines can provide diverse high-quality datasets for pre-training of LLMs, how they can use the most relevant documents to help LLMs learn to answer queries more accurately, how training LLMs with Learning-To-Rank (LTR) tasks can enhance their ability to respond with greater precision, and how incorporating recent search results can make LLM-generated content more accurate and current. In terms of LLM4Search, we examine how LLMs can be used to summarize content for better indexing by search engines, improve query outcomes through optimization, enhance the ranking of search results by analyzing document relevance, and help in annotating data for learning-to-rank tasks in various learning contexts. However, this promising integration comes with its challenges, which include addressing potential biases and ethical issues in training models, managing the computational and other costs of incorporating LLMs into search services, and continuously updating LLM training with the ever-changing web content. We discuss these challenges and chart out required research directions to address them. We also discuss broader implications for service computing, such as scalability, privacy concerns, and the need to adapt search engine architectures for these advanced models.</t>
  </si>
  <si>
    <t>1939-1374</t>
  </si>
  <si>
    <t>10.1109/TSC.2024.3451185</t>
  </si>
  <si>
    <t>WOS:001386510000027</t>
  </si>
  <si>
    <t>Riad, ABMKI; Barek, MA; Shahriar, H; Francia, G III; Ahamed, SI</t>
  </si>
  <si>
    <t>Islam Riad, A. B. M. Kamrul; Barek, Md. Abdul; Shahriar, Hossain; Francia III, Guillermo; Ahamed, Sheikh Iqbal</t>
  </si>
  <si>
    <t>Reinforcement Learning in Medical Imaging: Taxonomy, LLMs, and Clinical Challenges</t>
  </si>
  <si>
    <t>reinforcement learning; medical imaging; clinical AI; taxonomy; decision-making; interpretability; Large Language Models; privacy-preserving AI; data efficiency; Trustworthy AI; healthcare systems</t>
  </si>
  <si>
    <t>Reinforcement learning (RL) is being used more in medical imaging for segmentation, detection, registration, and classification. This survey provides a comprehensive overview of RL techniques applied in this domain, categorizing the literature based on clinical task, imaging modality, learning paradigm, and algorithmic design. We introduce a unified taxonomy that supports reproducibility, highlights design guidance, and identifies underexplored intersections. Furthermore, we examine the integration of Large Language Models (LLMs) for automation and interpretability, and discuss privacy-preserving extensions using Differential Privacy (DP) and Federated Learning (FL). Finally, we address deployment challenges and outline future research directions toward trustworthy and scalable medical RL systems.</t>
  </si>
  <si>
    <t>AUG 30</t>
  </si>
  <si>
    <t>10.3390/fi17090396</t>
  </si>
  <si>
    <t>WOS:001580972800001</t>
  </si>
  <si>
    <t>Repede, SE; Brad, R</t>
  </si>
  <si>
    <t>Repede, Stefan Emil; Brad, Remus</t>
  </si>
  <si>
    <t>LLaMA 3 vs. State-of-the-Art Large Language Models: Performance in Detecting Nuanced Fake News</t>
  </si>
  <si>
    <t>fake news detection; large language models; natural language processing; disinformation management; transformer architecture; bilingual NLP</t>
  </si>
  <si>
    <t>This study investigates the effectiveness of a proposed version of Meta's LLaMA 3 model in detecting fake claims across bilingual (English and Romanian) datasets, focusing on a multi-class approach beyond traditional binary classifications in order to better mimic real-world scenarios. The research employs a proposed version of the LLaMA 3 model, optimized for identifying nuanced categories such as Mostly True and Mostly False, and compares its performance against leading large language models (LLMs) including Open AI's ChatGPT versions, Google's Gemini, and similar LLaMA models. The analysis reveals that the proposed LLaMA 3 model consistently outperforms its base version and older LLaMA models, particularly in the Romanian dataset, achieving the highest accuracy of 39% and demonstrating superior capabilities in identifying nuanced claims, over all the compared large language models. However, the model's performance across both languages highlights some challenges, with generally low accuracy and difficulties in handling ambiguous categories by all the LLMs. The study also underscores the impact of language and cultural context on model reliability, noting that even state-of-the-art models like ChatGPT 4.o and Gemini exhibit inconsistencies when applied to Romanian text and more than a binary true/false approach.</t>
  </si>
  <si>
    <t>10.3390/computers13110292</t>
  </si>
  <si>
    <t>WOS:001364091900001</t>
  </si>
  <si>
    <t>Butlin, P</t>
  </si>
  <si>
    <t>Butlin, Patrick</t>
  </si>
  <si>
    <t>The agency in language agents</t>
  </si>
  <si>
    <t>INQUIRY-AN INTERDISCIPLINARY JOURNAL OF PHILOSOPHY</t>
  </si>
  <si>
    <t>Agency; desire; artificial intelligence; large language models</t>
  </si>
  <si>
    <t>GO</t>
  </si>
  <si>
    <t>Language agents are AI systems that combine large language models with other elements to facilitate interaction with an environment. They include LLM-based chatbots but can have a wide range of additional features to support learning, reasoning and decision-making. Goldstein and Kirk-Giannini. m.s. [AI wellbeing] argue that some language agents have beliefs and desires, but it is not obvious that they are agents at all, since they select outputs by querying language models. This paper investigates agency and desires in language agents.</t>
  </si>
  <si>
    <t>0020-174X</t>
  </si>
  <si>
    <t>1502-3923</t>
  </si>
  <si>
    <t>2024 DEC 17</t>
  </si>
  <si>
    <t>10.1080/0020174X.2024.2439995</t>
  </si>
  <si>
    <t>Social Sciences - Other Topics; Philosophy</t>
  </si>
  <si>
    <t>WOS:001378472900001</t>
  </si>
  <si>
    <t>Xu, XR; Sankar, R</t>
  </si>
  <si>
    <t>Xu, Xiaoran; Sankar, Ravi</t>
  </si>
  <si>
    <t>Large Language Model Agents for Biomedicine: A Comprehensive Review of Methods, Evaluations, Challenges, and Future Directions</t>
  </si>
  <si>
    <t>large language models; biomedical agents; tool-augmented reasoning; multi-agent systems; trustworthiness AI</t>
  </si>
  <si>
    <t>AI</t>
  </si>
  <si>
    <t>Large language model (LLM)-based agents are rapidly emerging as transformative tools across biomedical research and clinical applications. By integrating reasoning, planning, memory, and tool use capabilities, these agents go beyond static language models to operate autonomously or collaboratively within complex healthcare settings. This review provides a comprehensive survey of biomedical LLM agents, spanning their core system architectures, enabling methodologies, and real-world use cases such as clinical decision making, biomedical research automation, and patient simulation. We further examine emerging benchmarks designed to evaluate agent performance under dynamic, interactive, and multimodal conditions. In addition, we systematically analyze key challenges, including hallucinations, interpretability, tool reliability, data bias, and regulatory gaps, and discuss corresponding mitigation strategies. Finally, we outline future directions in areas such as continual learning, federated adaptation, robust multi-agent coordination, and human AI collaboration. This review aims to establish a foundational understanding of biomedical LLM agents and provide a forward-looking roadmap for building trustworthy, reliable, and clinically deployable intelligent systems.</t>
  </si>
  <si>
    <t>OCT 14</t>
  </si>
  <si>
    <t>10.3390/info16100894</t>
  </si>
  <si>
    <t>WOS:001601677900001</t>
  </si>
  <si>
    <t>Li, YX; Hu, BT; Chen, XY; Ma, L; Xu, Y; Zhang, M</t>
  </si>
  <si>
    <t>Li, Yunxin; Hu, Baotian; Chen, Xinyu; Ma, Lin; Xu, Yong; Zhang, Min</t>
  </si>
  <si>
    <t>LMEye: An Interactive Perception Network for Large Language Models</t>
  </si>
  <si>
    <t>Visualization; Task analysis; Data models; Tuning; Large language models; Training; Cognition; Multimodal large language models (MLLMs); visual-language learning; interactive perception network</t>
  </si>
  <si>
    <t>Current efficient approaches to building Multimodal Large Language Models (MLLMs) mainly incorporate visual information into LLMs with a simple visual mapping network such as a linear projection layer, a multilayer perceptron (MLP), or Q-former from BLIP-2. Such networks project the image feature once and do not consider the interaction between the image and the human inputs. Hence, the obtained visual information without being connected to human intention may be inadequate for LLMs to generate intention-following responses, which we refer to as static visual information. To alleviate this issue, our paper introduces LMEye, a human-like eye with a play-and-plug interactive perception network, designed to enable dynamic interaction between LLMs and external visual information. It can allow the LLM to request the desired visual information aligned with various human instructions, which we term dynamic visual information acquisition. Specifically, LMEye consists of a simple visual mapping network to provide the basic perception of an image for LLMs. It also contains additional modules responsible for acquiring requests from LLMs, performing request-based visual information seeking, and transmitting the resulting interacted visual information to LLMs, respectively. In this way, LLMs act to understand the human query, deliver the corresponding request to the request-based visual information interaction module, and generate the response based on the interleaved multimodal information. We evaluate LMEye through extensive experiments on multimodal benchmarks, demonstrating that it significantly improves zero-shot performances on various multimodal tasks compared to previous methods, with fewer parameters. Moreover, we also verify its effectiveness and scalability on various language models and video understanding, respectively.</t>
  </si>
  <si>
    <t>10.1109/TMM.2024.3428317</t>
  </si>
  <si>
    <t>WOS:001362169100023</t>
  </si>
  <si>
    <t>Chen, WS; Hussain, W; Chen, JJ</t>
  </si>
  <si>
    <t>Chen, Weisi; Hussain, Walayat; Chen, Junjie</t>
  </si>
  <si>
    <t>GLMTopic: A Hybrid Chinese Topic Model Leveraging Large Language Models</t>
  </si>
  <si>
    <t>Topic modeling; large language model; deep learning; natural language processing; text mining</t>
  </si>
  <si>
    <t>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t>
  </si>
  <si>
    <t>10.32604/cmc.2025.065916</t>
  </si>
  <si>
    <t>WOS:001565385800001</t>
  </si>
  <si>
    <t>El Baz, D</t>
  </si>
  <si>
    <t>El Baz, Didier</t>
  </si>
  <si>
    <t>Can We Trust Chatbots for Now? Accuracy, Reproducibility, Traceability; A Case Study on Leonardo Da Vinci's Contribution to Astronomy</t>
  </si>
  <si>
    <t>Large language model, Chatbots, ChatGPT; GPT-4, BLOOM, Bard, Deep learning, Artificial intelligence, Education, Leonardo da Vinci, History of science; Large language model, Chatbots, ChatGPT; GPT-4, BLOOM, Bard, Deep learning, Artificial intelligence, Education, Leonardo da Vinci, History of science</t>
  </si>
  <si>
    <t>Large Language Models (LLM) are studied. Applications to chatbots and education are considered. A case study on Leonardo's contribution to astronomy is presented. Major problems with accuracy, reproducibility and traceability of answers are reported for ChatGPT, GPT-4, BLOOM and Google Bard. Possible reasons for problems are discussed and some solutions are proposed.</t>
  </si>
  <si>
    <t>WOS:001327690400007</t>
  </si>
  <si>
    <t>Wang, GK; Bai, L; Wang, JY; Yuan, K; Li, Z; Jiang, TX; He, XT; Wu, JL; Chen, Z; Lei, Z; Liu, HB; Wang, JZ; Zhang, F; Padoy, N; Navab, N; Ren, HL</t>
  </si>
  <si>
    <t>Wang, Guankun; Bai, Long; Wang, Junyi; Yuan, Kun; Li, Zhen; Jiang, Tianxu; He, Xiting; Wu, Jinlin; Chen, Zhen; Lei, Zhen; Liu, Hongbin; Wang, Jiazheng; Zhang, Fan; Padoy, Nicolas; Navab, Nassir; Ren, Hongliang</t>
  </si>
  <si>
    <t>EndoChat: Grounded multimodal large language model for endoscopic surgery</t>
  </si>
  <si>
    <t>MEDICAL IMAGE ANALYSIS</t>
  </si>
  <si>
    <t>Multimodal large language model; Endoscopic surgery; Surgical scene understanding; Dialogue paradigm</t>
  </si>
  <si>
    <t>Recently, Multimodal Large Language Models (MLLMs) have demonstrated their immense potential in computer-aided diagnosis and decision-making. In the context of robotic-assisted surgery, MLLMs can serve as effective tools for surgical training and guidance. However, there is still a deficiency of MLLMs specialized for surgical scene understanding in endoscopic procedures. To this end, we present EndoChat, an MLLM tailored to address various dialogue paradigms and subtasks in understanding endoscopic procedures. To train our EndoChat, we construct the Surg-396K dataset through a novel pipeline that systematically extracts surgical information and generates structured annotations based on large-scale endoscopic surgery datasets. Furthermore, we introduce a multi-scale visual token interaction mechanism and a visual contrast-based reasoning mechanism to enhance the model's representation learning and reasoning capabilities. Our model achieves state-of-the-art performance across five dialogue paradigms and seven surgical scene understanding tasks. Additionally, we conduct evaluations with professional surgeons, who provide positive feedback on the majority of conversation cases generated by EndoChat. Overall, these results demonstrate that EndoChat has the potential to advance training and automation in robotic-assisted surgery. Our dataset and model are publicly available at https://github.com/gkw0010/EndoChat.</t>
  </si>
  <si>
    <t>1361-8415</t>
  </si>
  <si>
    <t>1361-8423</t>
  </si>
  <si>
    <t>A</t>
  </si>
  <si>
    <t>10.1016/j.media.2025.103789</t>
  </si>
  <si>
    <t>Computer Science; Engineering; Radiology, Nuclear Medicine &amp; Medical Imaging</t>
  </si>
  <si>
    <t>WOS:001582276700001</t>
  </si>
  <si>
    <t>Dugac, G; Altwicker, T</t>
  </si>
  <si>
    <t>Dugac, Gaspar; Altwicker, Tilmann</t>
  </si>
  <si>
    <t>Classifying legal interpretations using large language models</t>
  </si>
  <si>
    <t>ARTIFICIAL INTELLIGENCE AND LAW</t>
  </si>
  <si>
    <t>Legal interpretations; Computational Law; European Court of Human Rights; Large Language Models</t>
  </si>
  <si>
    <t>In the civil law tradition, legal arguments are used to justify the outcomes of judicial decision-making. These arguments are formed relying on a canon of interpretation techniques (e.g. textual or teleological interpretation). We study the identifiability of interpretation techniques as they are employed by the European Court of Human Rights (ECtHR) from a computational law perspective using a unique dataset. We show how Large Language Models (LLMs) can be utilized to classify legal interpretations, and we compare their performance. We evaluate proprietary and opensource models using methods such as few-shot and zero-shot chain-of-thought prompting combined with self-consistency. Our results imply that feature-extraction using LLMs leads to robust outcomes while allowing for greater resource- and timeefficiency compared to human annotation. Furthermore, our results imply that LLMs can play a larger role in the extraction of more complex features that are of particular relevance from a legal perspective.</t>
  </si>
  <si>
    <t>0924-8463</t>
  </si>
  <si>
    <t>1572-8382</t>
  </si>
  <si>
    <t>2025 APR 15</t>
  </si>
  <si>
    <t>10.1007/s10506-025-09447-9</t>
  </si>
  <si>
    <t>Computer Science; Government &amp; Law</t>
  </si>
  <si>
    <t>WOS:001467065200001</t>
  </si>
  <si>
    <t>Wu, YJ; Li, ZR; Guo, BR; He, SS; Liu, BJ; Liu, XJ; He, S; Guo, DH</t>
  </si>
  <si>
    <t>Wu, Yijin; Li, Zirun; Guo, Bingrui; He, Shanshan; Liu, Bijing; Liu, Xiaojie; He, Shan; Guo, Donghui</t>
  </si>
  <si>
    <t>New paradigm of distributed artificial intelligence for LLM implementation and its key technologies</t>
  </si>
  <si>
    <t>COMPUTER SCIENCE REVIEW</t>
  </si>
  <si>
    <t>Distributed artificial intelligence; Cloud computing; Caching; Load-balancing; Reasoning; LLM</t>
  </si>
  <si>
    <t>CACHE CONTENT PLACEMENT; RESOURCE-ALLOCATION; WIRELESS NETWORKS; FUZZY INFERENCE; DATA CENTERS; EDGE; AI; DECISION; OPTIMIZATION; PREDICTION</t>
  </si>
  <si>
    <t>With the Internet's development and information technology advancement, current network applications and services, such as e-commerce, industrial automation, and vehicular automation, have experienced substantial expansion. Foundation models, represented by large language models (LLMs), have emerged in response to growing demands. Their broad range of applications has brought significant advancements to various industries. While such developments have improved people's economic lives and social activities, the challenges posed by the rapid growth of data volume and network traffic cannot be overlooked. Intelligent systems aimed at enhancing knowledge computation and learning capabilities are gradually gaining attention. Nevertheless, efficient and flexible intelligent systems are still in their early stages, leaving ample space for further optimization. This study provides an overview of Distributed Artificial Intelligence (DAI) with its related paradigm, briefly introduces the evolution of LLMs, and proposes a novel optimization framework named PCD Tri-Tuning for DAI workflows: leveraging caching-related technologies to enhance perceptual capabilities, adopting load-balancing techniques for computational optimization, and developing reasoning methodologies and cooperation techniques to improve decision-making. Subsequently, the study examines the pivotal role of the proposed optimization framework in practical domains such as e-commerce, smart manufacturing, and vehicular automation while also discussing the challenges and outlining strategies for further development.</t>
  </si>
  <si>
    <t>1574-0137</t>
  </si>
  <si>
    <t>1876-7745</t>
  </si>
  <si>
    <t>10.1016/j.cosrev.2025.100817</t>
  </si>
  <si>
    <t>WOS:001577589600001</t>
  </si>
  <si>
    <t>Choudhary, T</t>
  </si>
  <si>
    <t>Choudhary, Tavishi</t>
  </si>
  <si>
    <t>Political Bias in Large Language Models: A Comparative Analysis of ChatGPT-4, Perplexity, Google Gemini, and Claude</t>
  </si>
  <si>
    <t>Artificial intelligence; Biological system modeling; Training; Data models; Internet; Generative AI; Ethics; Adaptation models; Training data; Decision making; Large language models (LLM); generative AI (GenAI); AI governance and policy; ethical AI systems</t>
  </si>
  <si>
    <t>Artificial Intelligence large language models have rapidly gained widespread adoption, sparking discussions on their societal and political impact, especially for political bias and its far-reaching consequences on society and citizens. This study explores the political bias in large language models by conducting a comparative analysis across four popular AI models-ChatGPT-4, Perplexity, Google Gemini, and Claude. This research systematically evaluates their responses to politically charged prompts and questions from the Pew Research Center's Political Typology Quiz, Political Compass Quiz, and ISideWith Quiz. The findings revealed that ChatGPT-4 and Claude exhibit a liberal bias, Perplexity is more conservative, while Google Gemini adopts more centrist stances based on their training data sets. The presence of such biases underscores the critical need for transparency in AI development and the incorporation of diverse training datasets, regular audits, and user education to mitigate any of these biases. The most significant question surrounding political bias in AI is its consequences, particularly its influence on public discourse, policy-making, and democratic processes. The results of this study advocate for ethical implications for the development of AI models and the need for transparency to build trust and integrity in AI models. Additionally, future research directions have been outlined to explore and address the complex AI bias issue.</t>
  </si>
  <si>
    <t>10.1109/ACCESS.2024.3523764</t>
  </si>
  <si>
    <t>WOS:001403270400042</t>
  </si>
  <si>
    <t>Alshalawi, A; Abdul, W; Muhammad, G</t>
  </si>
  <si>
    <t>Alshalawi, Abdulrahman; Abdul, Wadood; Muhammad, Ghulam</t>
  </si>
  <si>
    <t>Advanced Detection of Violence From Video: Performance Evaluation of Transformer and State of the Art of Convolution of Neural Network Transformer</t>
  </si>
  <si>
    <t>Transformers; Deep learning; Accuracy; Machine learning; Cameras; Surveillance; Public security; Information filters; Real-time systems; Image recognition; VGG16; MobileNetV2; ensemble model and transformer</t>
  </si>
  <si>
    <t>Safety is paramount in every aspect of human concern. In situations where violence occurs beyond the control of observers, it is essential for trained professionals to intervene. These scenarios can be detected by advanced surveillance systems equipped with cameras or sensors. The performance of these systems is highly dependent on the models they incorporate. Although various machine learning and deep learning models have been explored to address these challenges, significant work remains in handling a diverse range of images. This study aims to bridge this gap by training four models-VGG16, MobileNetV2, Yolov6 and Ensemble Model, and a vision Transformer model ('google/vit-base-patch16-224-in21k') -with tuned parameters on publicly available video frames. Our analysis established that the Transformer model achieved the highest accuracy, making it the most suitable for applications involving the detection of violent incidents. This research introduces a novel application of AI for semi-automated violence recognition, demonstrating AI's significant potential in improving public safety. It also emphasizes the superior performance of the Transformer model in accurately detecting violent frames. Semi-automated violence recognition refers to a system where AI models assist in identifying violent incidents within video footage, but human intervention is still required for certain tasks, such as verification or decision-making. The AI system automatically detects potential violent events, flagging them for further review by human operators, who then confirm or act upon these alerts. The Transformer model achieved outstanding results: for the Violence Dataset, it attained a precision of 99%, recall of 99%, F1 score of 99%, and accuracy of 99%. To further verify the performance of the Transformer model, we tested it on the Road-Anomaly Dataset, which presents a challenging scenario with imbalanced classes. For this dataset, the Transformer model achieved a precision of 98%, recall of 97%, F1 score of 98%, and accuracy of 98%. These results affirm the model's efficacy, positioning it as the top choice for real-time surveillance and public safety applications.</t>
  </si>
  <si>
    <t>10.1109/ACCESS.2025.3564435</t>
  </si>
  <si>
    <t>WOS:001481864700039</t>
  </si>
  <si>
    <t>Jung, N; Camacho, D; Choi, C; Lee, OJ</t>
  </si>
  <si>
    <t>Jung, Namgyu; Camacho, David; Choi, Chang; Lee, O. -Joun</t>
  </si>
  <si>
    <t>Curriculum-Guided Self-Supervised Representation Learning of Dynamic Heterogeneous Networks</t>
  </si>
  <si>
    <t>COGNITIVE COMPUTATION</t>
  </si>
  <si>
    <t>Network embedding; Transformer; Dynamic heterogeneous network embedding; Curriculum learning; Self-supervised learning</t>
  </si>
  <si>
    <t>Since most real-world network data include nodes and edges that evolve gradually, an embedding model for dynamic heterogeneous networks is crucial for network analysis. Transformer models have remarkable success in natural language processing but are rarely applied to learning representations of dynamic heterogeneous networks. In this study, we propose a new transformer model (DHG-BERT) that (i) constructs a dataset based on a network curriculum and (ii) includes pre/post-learning through self-supervised learning. Our proposed model learns complex relationships by leveraging an easier understanding of relationships through data reconstruction. Additionally, we use self-supervised learning to learn network structural features and temporal changes in structure and then fine-tune the proposed model by focusing on specific meta-paths by considering domain characteristics or target tasks. We evaluated the quality of the vector representation produced by the proposed transducer model using real bibliographic networks. Our model achieved an average accuracy of 0.94 in predicting research collaboration between researchers, outperforming existing models by a minimum of 0.13 and a maximum of 0.35. As a result, we confirmed that DHG-BERT is an effective transformer model tailored to dynamic heterogeneous network embeddings. Our study highlights the model's ability to understand complex network relationships and appropriately capture the structural nuances and temporal changes inherent in networks. This study provides future research directions for applying the transformer model to real-world network data and a new approach to analyzing dynamic heterogeneous networks using transformers.</t>
  </si>
  <si>
    <t>1866-9956</t>
  </si>
  <si>
    <t>1866-9964</t>
  </si>
  <si>
    <t>MAR 24</t>
  </si>
  <si>
    <t>10.1007/s12559-025-10441-1</t>
  </si>
  <si>
    <t>Computer Science; Neurosciences &amp; Neurology</t>
  </si>
  <si>
    <t>WOS:001450764500001</t>
  </si>
  <si>
    <t>Dissanayake, T; George, Y; Mahapatra, D; Sridharan, S; Fookes, C; Ge, ZY</t>
  </si>
  <si>
    <t>Dissanayake, Theekshana; George, Yasmeen; Mahapatra, Dwarikanath; Sridharan, Shridha; Fookes, Clinton; Ge, Zongyuan</t>
  </si>
  <si>
    <t>Few-Shot Learning for Medical Image Segmentation: A Review and Comparative Study</t>
  </si>
  <si>
    <t>Segmentation; medical image; few-shot learning; deep learning</t>
  </si>
  <si>
    <t>NETWORK; NET</t>
  </si>
  <si>
    <t>Medical image segmentation plays a crucial role in assisting clinicians with diagnosing critical medical conditions. In deep learning, few-shot learning methods aim to replicate human learning by leveraging fewer examples for determining a prediction for a novel class. Researchers in the medical imaging community have also explored novel methods for few-shot medical image segmentation, leveraging meta-learning, foundation models and self-supervised learning (SSL). Acknowledging this growing interest, we review the literature on few-shot medical image segmentation from 2020 to early 2025, focusing on architectural modifications, lossinspired learning strategies, and meta-learning frameworks. We further divide each category into fine-grained deep learning-oriented solutions, including self-supervised learning, contrastive learning, regularization, and foundation models providing in-depth discussions on architectural improvements and representation learning strategies. Additionally, we present preliminary results from several few-shot segmentation models across both medical and computer vision domains, evaluating their strengths and limitations for medical image applications. Finally, based on the limitations observed, advancements from the natural image domain, and empirical findings, we outline future research directions, providing specific insights into data-efficient learning, rapid adaptation of foundation models and generalization. The code is available here.</t>
  </si>
  <si>
    <t>10.1145/3746224</t>
  </si>
  <si>
    <t>WOS:001607381000015</t>
  </si>
  <si>
    <t>Cui, YC; Wang, KG; Yu, HL; Guo, XX; Cao, H</t>
  </si>
  <si>
    <t>Cui, Yachao; Wang, Kaiguang; Yu, Hongli; Guo, Xiaoxu; Cao, Han</t>
  </si>
  <si>
    <t>KLLMs4Rec: Knowledge graph-enhanced LLMs sentiment extraction for personalized recommendations</t>
  </si>
  <si>
    <t>Large Language Models; Text sentiment analysis; Knowledge graphs; Personalized recommendation</t>
  </si>
  <si>
    <t>REVIEWS</t>
  </si>
  <si>
    <t>Recommendation algorithms typically leverage auxiliary information such as user reviews and knowledge graphs to enhance algorithm performance, thereby alleviating data sparsity and cold start issues. Recently, researchers have increasingly employed large language models, which boast powerful natural language understanding capabilities, to further improve recommendation systems. However, these models often suffer from hallucination problems. Moreover, integrating heterogeneous information, such as reviews and knowledge graphs, can introduce new noise, potentially impairing recommendation performance. Knowledge graphs, as tightly organized structured knowledge bases, can assist in addressing the hallucination problem and heterogeneous information fusion problem of LLMs. To effectively address the aforementioned issues, propose the Knowledge Graph-Enhanced Large Language Model Sentiment Extraction for the Personalized Recommendation Model (KLLMs4Rec). It aims to solve the LLMs hallucination problem and the noise problem caused by the fusion of heterogeneous information in recommender systems, and provide users with more accurate, diverse and novel personalized recommendations. To address the hallucination problem when extracting user sentiments from reviews with LLMs, we designed a knowledge graph-enhanced prompt template. It is worth noting that this scheme also solves the noise issue of heterogeneous information fusion. Additionally, to further expand user preferences extracted from reviews, this paper proposes a new hierarchical sentiment attention graph convolutional network, which utilizes three sentiment weight schemes to propagate user personalized preferences on the knowledge graph. Extensive experiments on the Movielens-20 m, Amazon book, and Yelp datasets demonstrate that our model surpasses current leading methods while effectively addressing the hallucination problem of LLMs and the noise problem of heterogeneous information fusion.</t>
  </si>
  <si>
    <t>JUL 5</t>
  </si>
  <si>
    <t>10.1016/j.eswa.2025.127430</t>
  </si>
  <si>
    <t>WOS:001489842200001</t>
  </si>
  <si>
    <t>Antonesi, G; Cioara, T; Anghel, I; Papias, I; Michalakopoulos, V; Sarmas, E</t>
  </si>
  <si>
    <t>Antonesi, Gabriel; Cioara, Tudor; Anghel, Ionut; Papias, Ioannis; Michalakopoulos, Vasilis; Sarmas, Elissaios</t>
  </si>
  <si>
    <t>Hybrid transformer model with liquid neural networks and learnable encodings for buildings' energy forecasting</t>
  </si>
  <si>
    <t>ENERGY AND AI</t>
  </si>
  <si>
    <t>Residential building; Commercial building; Households; Energy forecasting; Transformer model; Liquid neural network</t>
  </si>
  <si>
    <t>CONSUMPTION</t>
  </si>
  <si>
    <t>Accurate forecasting of buildings' energy demand is essential for building operators to manage loads and resources efficiently, and for grid operators to balance local production with demand. However, nowadays models still struggle to capture nonlinear relationships influenced by external factors like weather and consumer behavior, assume constant variance in energy data over time, and often fail to model sequential data. To address these limitations, we propose a hybrid Transformer-based model with Liquid Neural Networks and learnable encodings for building energy forecasting. The model leverages Dense Layers to learn non-linear mappings to create embeddings that capture underlying patterns in time series energy data. Additionally, a Convolutional Neural Network encoder is integrated to enhance the model's ability to understand temporal dynamics through spatial mappings. To address the limitations of classic attention mechanisms, we implement a reservoir processing module using Liquid Neural Networks which introduces a controlled non-linearity through dynamic reservoir computing, enabling the model to capture complex patterns in the data. For model evaluation, we utilized both pilot data and state-of-the-art datasets to determine the model's performance across various building contexts, including large apartment and commercial buildings and small households, with and without on-site energy production. The proposed transformer model demonstrates good predictive accuracy and training time efficiency across various types of buildings and testing configurations. Specifically, SMAPE scores indicate a reduction in prediction error, with improvements ranging from 1.5 % to 50 % over basic transformer, LSTM and ANN models while the higher R2 values further confirm the model's reliability in capturing energy time series variance. The 8 % improvement in training time over the basic transformer model, highlights the hybrid model computational efficiency without compromising accuracy.</t>
  </si>
  <si>
    <t>2666-5468</t>
  </si>
  <si>
    <t>10.1016/j.egyai.2025.100489</t>
  </si>
  <si>
    <t>Computer Science; Energy &amp; Fuels</t>
  </si>
  <si>
    <t>WOS:001432202000001</t>
  </si>
  <si>
    <t>Liu, Q; Yu, H; Wang, QQ; Xu, Q; Li, JP; Zou, ZQ; Mao, R; Cambria, E</t>
  </si>
  <si>
    <t>Liu, Qian; Yu, Hang; Wang, Qiqi; Xu, Qi; Li, Jinpeng; Zou, Zhuoqun; Mao, Rui; Cambria, Erik</t>
  </si>
  <si>
    <t>Legal knowledge infusion for large language models: A survey</t>
  </si>
  <si>
    <t>Large language models; LegalAI; Information fusion; Legal knowledge fusion</t>
  </si>
  <si>
    <t>GENERATION</t>
  </si>
  <si>
    <t>Large Language Models (LLMs) have demonstrated impressive capabilities and are increasingly being explored for applications in the legal field. Despite these advancements, LLMs still face challenges in providing reliable legal assistance to legal professionals and laypeople due to the lack of legal knowledge. Under this limitation, recent research has begun to explore the integration of legal knowledge into LLMs to enhance LLMs' comprehension, analysis, and decision-making abilities. We first explore the different types of legal knowledge that are or can be used by LLMs. Then, we comprehensively review four types of current methods for fusing this knowledge. Next, we discuss the challenges faced by legal LLMs and propose future research directions, highlighting the importance of collaboration between academia and legal practitioners to advance applications in the legal field.</t>
  </si>
  <si>
    <t>10.1016/j.inffus.2025.103426</t>
  </si>
  <si>
    <t>WOS:001533874500002</t>
  </si>
  <si>
    <t>Nan, SY; Qiao, Y; Xie, YF; Zhang, ZL; Luo, YL; Li, B; Wang, J</t>
  </si>
  <si>
    <t>Nan, Siyu; Qiao, Yu; Xie, Yifan; Zhang, Zilong; Luo, Yaling; Li, Bing; Wang, Jian</t>
  </si>
  <si>
    <t>Automatic conflict detection and resolution in digital service network requirement models using large language models</t>
  </si>
  <si>
    <t>SERVICE ORIENTED COMPUTING AND APPLICATIONS</t>
  </si>
  <si>
    <t>Digital service networks; Large language models; TRGPS meta-model; Conflict detection; Conflict resolution</t>
  </si>
  <si>
    <t>In large-scale digital service networks, interactions and coordination among diverse stakeholders are highly complex. First, we propose the TRGPS (Topological Role-Goal-Process-Service) meta-model to represent the requirement model of digital service networks. The rapid evolution of digital service networks often leads to inconsistencies between existing services and newly integrated ones. Existing goal-based modeling approaches often struggle to identify conflicts among stakeholders' objectives, making effective conflict resolution difficult. To address this issue, we propose an automatic conflict detection and resolution approach for digital service network requirements modeling, leveraging Large Language Models (LLMs) and the TRGPS meta-model. We define a set of rules for detecting goal conflicts and use Chain of Thought (CoT) prompting, a state-of-the-art (SOTA) prompting technique, as input to LLMs. Our approach enables LLMs to reason about potential conflicts between goal elements and relationships in digital service networks and generate recommendations for resolution. We also develop a tool that supports visual identification and resolution of goal conflicts, assisting requirements analysts in their modeling tasks. Qualitative experiments and case studies confirm the effectiveness of the proposed approach.</t>
  </si>
  <si>
    <t>1863-2386</t>
  </si>
  <si>
    <t>1863-2394</t>
  </si>
  <si>
    <t>2025 DEC 5</t>
  </si>
  <si>
    <t>10.1007/s11761-025-00480-9</t>
  </si>
  <si>
    <t>WOS:001631233400001</t>
  </si>
  <si>
    <t>Lamichhane, BR; Aueawatthanaphisut, A; Srijuntongsiri, G; Horanont, T</t>
  </si>
  <si>
    <t>Lamichhane, Badri Raj; Aueawatthanaphisut, Aueaphum; Srijuntongsiri, Gun; Horanont, Teerayut</t>
  </si>
  <si>
    <t>Context-aware decision making in autonomous vehicles: Integrating social behavior modeling with large language models</t>
  </si>
  <si>
    <t>ARRAY</t>
  </si>
  <si>
    <t>Autonomous vehicles; Social context; Scene understanding; Large language model; Reinforcement learning</t>
  </si>
  <si>
    <t>Integrating context-aware decision-making in autonomous vehicles (AVs) is critical for advancing operational efficiency, safety, and user experience. However, existing frameworks struggle to incorporate social context into real-time navigation, relying on deterministic algorithms or reinforcement learning models that overlook implicit social norms and face challenges in translating LLM-derived reasoning into safety-compliant control policies. This paper investigates the application of social behavior modeling fused with large language models (LLMs) to establish a comprehensive framework for context-aware understanding and decision-making processes by AVs. Through understanding of the scene and the deployment of LLMs, this framework enables AVs to interpret and respond to complex social interactions and contextual cues, enhancing adaptability in dynamic environments. We propose concepts and approaches to foster context-aware and socially responsible decision-making processes, including test cases for validation to some level. The results demonstrate substantial improvements in decision accuracy adopting virtual simulation, providing a foundation for addressing complex ethical dilemmas and real-time decision-making challenges that AVs encounter in diverse and dynamic settings.</t>
  </si>
  <si>
    <t>2590-0056</t>
  </si>
  <si>
    <t>10.1016/j.array.2025.100420</t>
  </si>
  <si>
    <t>WOS:001511710400001</t>
  </si>
  <si>
    <t>Khapre, S; Mersha, MA; Shakil, H; Baruah, J; Kalita, J</t>
  </si>
  <si>
    <t>Khapre, Smita; Mersha, Melkamu Abay; Shakil, Hassan; Baruah, Jonali; Kalita, Jugal</t>
  </si>
  <si>
    <t>Toxicity in online platforms and AI systems: A survey of needs, challenges, mitigations, and future directions</t>
  </si>
  <si>
    <t>Toxicity; Fallacy; Fake news; Misinformation; Social media; Large language models; Hate speech; LLM safety personality; Traits</t>
  </si>
  <si>
    <t>CYBERBULLYING DETECTION; SOCIAL MEDIA; FAIRNESS; VIDEOS; NEWS; BIAS</t>
  </si>
  <si>
    <t>The evolution of digital communication systems and the designs of online platforms have inadvertently facilitated the subconscious propagation of toxic behavior. Giving rise to reactive responses to toxic behavior. Toxicity in online content and Artificial Intelligence Systems has become a serious challenge to individual and collective wellbeing around the world. It is more detrimental to society than we realize. Toxicity, expressed in language, image, and video, can be interpreted in various ways depending on the context of usage. Therefore, a comprehensive taxonomy is crucial to detect and mitigate toxicity in online content, Artificial Intelligence systems, and/or Large Language Models in a proactive manner. A comprehensive understanding of toxicity is likely to facilitate the design of practical solutions for toxicity detection and mitigation. The classification in published literature has focused on only a limited number of aspects of this very complex issue, with a pattern of reactive strategies in response to toxicity. This survey attempts to generate a comprehensive taxonomy of toxicity from various perspectives. It presents a holistic approach to explain the toxicity by understanding the context and environment that society is facing in the Artificial Intelligence era. This survey summarizes the toxicity-related datasets and research on toxicity detection and mitigation for Large Language Models, social media platforms, and other online platforms, detailing their attributes in textual mode, focused on the English language. Finally, we suggest the research gaps in toxicity mitigation based on datasets, mitigation strategies, Large Language Models, adaptability, explainability, and evaluation.</t>
  </si>
  <si>
    <t>MAR 1</t>
  </si>
  <si>
    <t>10.1016/j.eswa.2025.129832</t>
  </si>
  <si>
    <t>WOS:001597588400004</t>
  </si>
  <si>
    <t>WOS:001616616200014</t>
  </si>
  <si>
    <t>Nguyen, NB; Kammermann, L; Hanne, T</t>
  </si>
  <si>
    <t>Nguyen, Ngoc Bao; Kammermann, Levi; Hanne, Thomas</t>
  </si>
  <si>
    <t>Evaluating Large Language Models for Table Data Extraction from Annual Reports in PDF</t>
  </si>
  <si>
    <t>JOURNAL OF ADVANCES IN INFORMATION TECHNOLOGY</t>
  </si>
  <si>
    <t>Large Language Models (LLMs); table; extraction; table content; information extraction; financial; analysis; annual reports; evaluation</t>
  </si>
  <si>
    <t>This paper assesses which Large Language Model (LLM), ChatGPT 3.5 or Google Bard (Bard), performs better in extracting tabular data from annual reports of major publicly traded companies in Portable Document Format (PDF). Through an examination of 40 experiments with different difficulty levels, this study delves into the capabilities of these LLMs in processing and extracting financial information. The evaluation metrics, including relevance, accuracy, completeness, consistency, and context awareness reveal varying degrees of proficiency when handling complex financial data for both ChatGPT 3.5 and Bard. In our study, ChatGPT 3.5 demonstrated superior performance, particularly on more challenging questions. The findings offer valuable insights into the utility of LLMs in financial data extraction and provide recommendations for future research.</t>
  </si>
  <si>
    <t>1798-2340</t>
  </si>
  <si>
    <t>10.12720/jait.16.8.1118-1126</t>
  </si>
  <si>
    <t>WOS:001560713200005</t>
  </si>
  <si>
    <t>Li, HD; Wu, HR; Li, QX; Zhao, CJ</t>
  </si>
  <si>
    <t>Li, Hongda; Wu, Huarui; Li, Qingxue; Zhao, Chunjiang</t>
  </si>
  <si>
    <t>A review on enhancing agricultural intelligence with large language models</t>
  </si>
  <si>
    <t>ARTIFICIAL INTELLIGENCE IN AGRICULTURE</t>
  </si>
  <si>
    <t>Large language models; Agricultural knowledge; Knowledge integration; Knowledge Base; Intelligent question-answering</t>
  </si>
  <si>
    <t>KNOWLEDGE; DISEASE; PESTS</t>
  </si>
  <si>
    <t>This paper systematically explores the application potential of large language models (LLMs) in the field of agricultural intelligence, focusing on key technologies and practical pathways. The study focuses on the adaptation of LLMs to agricultural knowledge, starting with foundational concepts such as architecture design, pre-training strategies, and fine-tuning techniques, to build a technical framework for knowledge integration in the agricultural domain. Using tools such as vector databases and knowledge graphs, the study enables the structured development of professional agricultural knowledge bases. Additionally, by combining multimodal learning and intelligent question-answering (Q&amp;A) system design, it validates the application value of LLMs in agricultural knowledge services. Addressing core challenges in domain adaptation, including knowledge acquisition and integration, logical reasoning, multimodal data processing, agent collaboration, and dynamic knowledge updating, the paper proposes targeted solutions. The study further explores the innovative applications of LLMs in scenarios such as precision crop management and market dynamics analysis, providing theoretical support and technical pathways for the development of agricultural intelligence. Through the technological innovation of large language models and their deep integration with the agricultural sector, the intelligence level of agricultural production, decision-making, and services can be effectively enhanced. (c) 2025 The Authors. Publishing services by Elsevier B.V. on behalf of KeAi Communications Co., Ltd. This is an open access article under the CC BY-NC-ND license (http://creativecommons.org/licenses/by-nc-nd/4.0/).</t>
  </si>
  <si>
    <t>2097-2113</t>
  </si>
  <si>
    <t>2589-7217</t>
  </si>
  <si>
    <t>10.1016/j.aiia.2025.05.006</t>
  </si>
  <si>
    <t>WOS:001515051200001</t>
  </si>
  <si>
    <t>Zhao, JY; Chu, FL; Xie, LL; Che, YH; Wu, YY; Burke, AF</t>
  </si>
  <si>
    <t>Zhao, Jingyuan; Chu, Fulin; Xie, Lili; Che, Yunhong; Wu, Yuyan; Burke, Andrew F.</t>
  </si>
  <si>
    <t>A survey of transformer networks for time series forecasting</t>
  </si>
  <si>
    <t>Transformers; Time series; Sequence modeling; Attention mechanisms; Representation learning; Neural Networks; Survey</t>
  </si>
  <si>
    <t>SUPERVISED TRANSFORMER; PREDICTION; FUSION; MODEL</t>
  </si>
  <si>
    <t>Time-series data support critical functions in forecasting, anomaly detection, resource optimization, and realtime decision making across finance, healthcare, energy systems, and networked computing. Classical statistical approaches and early deep-learning architectures (RNNs, LSTMs, CNNs) have achieved notable progress, yet they exhibit structural limitations: recurrent models struggle with long-range dependencies, convolutional models require deep stacking to enlarge receptive fields, and both scale suboptimally to high-dimensional and high-volume data. Transformer architectures-characterized by global attention mechanisms, flexible temporal receptive fields, and growing adoption within foundation-model paradigms-have consequently gained increasing prominence for modern time-series analysis. Drawing on a systematic review of IEEE Xplore, ACM Digital Library, and Scopus (2020-2025), this survey offers a unified, theoretically grounded synthesis of Transformer-based methods for time-series learning. The survey summarizes defining characteristics of timeseries data and analyzes core architectural elements, including attention formulations, encoder-decoder structures, hyperparameter design, and domain-specific adaptations. An architecture-centered and task-aware taxonomy is presented to organize recent advances across forecasting, representation learning, anomaly detection, and multimodal fusion. Persistent challenges-spanning computational scalability, data-efficiency constraints, distributional heterogeneity, overfitting risks, hyperparameter instability, interpretability, and reproducibility-are examined in depth. A forward-looking research agenda is outlined, highlighting opportunities in physicsinformed architectural design, hybrid neural-mechanistic modeling, resource-efficient real-time inference, multiresolution spatiotemporal learning, and emerging human-AI collaborative paradigms. By consolidating these methodological developments, this survey aims to provide a structured reference point for ongoing research on Transformer models for time-series machine learning.</t>
  </si>
  <si>
    <t>10.1016/j.cosrev.2025.100883</t>
  </si>
  <si>
    <t>WOS:001648653700001</t>
  </si>
  <si>
    <t>Gai, TT; Wu, J; Chiclana, F; Zhou, M; Pedrycz, W</t>
  </si>
  <si>
    <t>Gai, Tiantian; Wu, Jian; Chiclana, Francisco; Zhou, Mi; Pedrycz, Witold</t>
  </si>
  <si>
    <t>A Personality Traits-Driven Conflict Quadrant Diagram by Large Language Models for Personalized Feedback in Group Decision-Making</t>
  </si>
  <si>
    <t>IEEE TRANSACTIONS ON SYSTEMS MAN CYBERNETICS-SYSTEMS</t>
  </si>
  <si>
    <t>Decision making; Large language models; Indexes; Training; Sensitivity; Reliability; Prompt engineering; Numerical models; Natural language processing; Machine learning algorithms; Big Five personality; conflict quadrant diagram (CQD); consensus; group decision-making (GDM); large language models (LLMs)</t>
  </si>
  <si>
    <t>MANAGEMENT</t>
  </si>
  <si>
    <t>In group decision-making (GDM), the opinions of decision-makers (DMs) are prone to having controversies and conflicts. Identifying individual personality traits can better predict the individual adjustment behavior of DMs in GDM and, therefore, construct the corresponding feedback strategies to guide opinion interaction and consensus building. To do that, large language models (LLMs) are utilized to analyze the individual Big Five personality traits revealed by online text information. Then, a conflict quadrant diagram (CQD) is developed to explore the conflict resolution behaviors manifested by DMs as influenced by their personality traits. Subsequently, a series of interaction rules corresponding to diverse conflict behaviors within the CQD are constructed, and then a personality traits-driven feedback model is proposed to generate personalized recommendation advice for group consensus interaction, with the overarching aim of effectively enhancing the level of group consensus. Finally, a simulation experiment on LLM-based agents is conducted to verify the opinion convergence process, and some sensitivity and comparative analyses are also provided. Overall, this article contributes to the innovative application of LLMs in solving GDM problems by prompt engineering to generate outputs and validate models and carries out in-depth explorations on integrating individual personality traits into the group consensus-building process.</t>
  </si>
  <si>
    <t>2168-2216</t>
  </si>
  <si>
    <t>2168-2232</t>
  </si>
  <si>
    <t>10.1109/TSMC.2025.3605404</t>
  </si>
  <si>
    <t>WOS:001571472500001</t>
  </si>
  <si>
    <t>Kahng, M; Tenney, I; Pushkarna, M; Liu, MX; Wexler, J; Reif, E; Kallarackal, K; Chang, M; Terry, M; Dixon, L</t>
  </si>
  <si>
    <t>Kahng, Minsuk; Tenney, Ian; Pushkarna, Mahima; Liu, Michael Xieyang; Wexler, James; Reif, Emily; Kallarackal, Krystal; Chang, Minsuk; Terry, Michael; Dixon, Lucas</t>
  </si>
  <si>
    <t>LLM Comparator: Interactive Analysis of Side-by-Side Evaluation of Large Language Models</t>
  </si>
  <si>
    <t>IEEE TRANSACTIONS ON VISUALIZATION AND COMPUTER GRAPHICS</t>
  </si>
  <si>
    <t>Visual analytics; large language models; model evaluation; responsible AI; machine learning interpretability</t>
  </si>
  <si>
    <t>Evaluating large language models (LLMs) presents unique challenges. While automatic side-by-side evaluation, also known as LLM-as-a-judge, has become a promising solution, model developers and researchers face difficulties with scalability and interpretability when analyzing these evaluation outcomes. To address these challenges, we introduce LLM Comparator, a new visual analytics tool designed for side-by-side evaluations of LLMs. This tool provides analytical workflows that help users understand when and why one LLM outperforms or underperforms another, and how their responses differ. Through close collaboration with practitioners developing LLMs at Google, we have iteratively designed, developed, and refined the tool. Qualitative feedback from these users highlights that the tool facilitates in-depth analysis of individual examples while enabling users to visually overview and flexibly slice data. This empowers users to identify undesirable patterns, formulate hypotheses about model behavior, and gain insights for model improvement. LLM Comparator has been integrated into Google's LLM evaluation platforms and open-sourced.</t>
  </si>
  <si>
    <t>1077-2626</t>
  </si>
  <si>
    <t>1941-0506</t>
  </si>
  <si>
    <t>10.1109/TVCG.2024.3456354</t>
  </si>
  <si>
    <t>WOS:001449829900043</t>
  </si>
  <si>
    <t>Goswami, J; Prajapati, KK; Saha, A; Saha, AK</t>
  </si>
  <si>
    <t>Goswami, Joyeeta; Prajapati, Kaushal Kumar; Saha, Ashim; Saha, Apu Kumar</t>
  </si>
  <si>
    <t>Parameter-efficient fine-tuning large language model approach for hospital discharge paper summarization</t>
  </si>
  <si>
    <t>APPLIED SOFT COMPUTING</t>
  </si>
  <si>
    <t>Hospital discharge summary (HDS); Large language models (LLM); LLaMA 2; QLoRA; Text summarization</t>
  </si>
  <si>
    <t>Text summarization in medical domain is one of the most crucial chores as it deals with the critical human information. Consequently the proper summarization and key point extraction from medical deeds using pretrained Language models is now the key figure to be focused on for the researchers. But due to the considerable amount of real-world data and enormous amount of memory requirement to train the Large Language Models (LLMs), research on these models become challenging. To overcome these challenges multiple prompting and tuning techniques are being used. In this paper, effectiveness of prompt engineering and parameter efficient fine tuning is being studied to summarize the Hospital Discharge Summary (HDS) papers effectively, so that these models can accurately interprete medical terminologies and contexts, generate brief but compact summaries, and draw out concentrated themes, which opens new approaches for the application of LLMs in healthcare and making HDS more patient-friendly. In this research LLaMA 2 (Large Language Model Meta AI) has been considered as the base model. Also, the model has been fine-tuned using QLoRA (Quantized Low Rank Adapters), which can bring down the memory usage of LLMs without compromising the data quality. This study explores the way to use LLMs on HDS datasets without the hassle of memory usage using QLoRA, into electronic health record systems to further streamline the handling and retrieval of healthcare information.</t>
  </si>
  <si>
    <t>1568-4946</t>
  </si>
  <si>
    <t>1872-9681</t>
  </si>
  <si>
    <t>10.1016/j.asoc.2024.111531</t>
  </si>
  <si>
    <t>WOS:001224424600001</t>
  </si>
  <si>
    <t>Hassan, M; Kabir, ME; Jusoh, M; An, HK; Negnevitsky, M; Li, CJ</t>
  </si>
  <si>
    <t>Hassan, Mahbub; Kabir, Md. Emtiaz; Jusoh, Muzammil; An, Hong Ki; Negnevitsky, Michael; Li, Chengjiang</t>
  </si>
  <si>
    <t>Large Language Models in Transportation: A Comprehensive Bibliometric Analysis of Emerging Trends, Challenges, and Future Research</t>
  </si>
  <si>
    <t>Transportation; Computational modeling; Bibliometrics; Market research; Transformers; Safety; Real-time systems; Context modeling; Reviews; Optimization; Artificial intelligence; bibliometric analysis; intelligent transportation systems; large language models; smart mobility; transportation</t>
  </si>
  <si>
    <t>VEHICLES; INSIGHTS; SYSTEMS; EQUITY</t>
  </si>
  <si>
    <t>This paper presents a comprehensive review and bibliometric analysis of Large Language Models (LLMs) in transportation, exploring emerging trends, challenges and future research. Understanding their evolution and impact in transportation research is essential. The study used Scopus as the primary data source, applying Bibliometrix, VOSviewer, and Python for performance analysis and science mapping. This study analyzes 161 peer-reviewed articles and reveals a 25.74% annual growth in scholarly output. IEEE Transactions on Intelligent Transportation Systems and IEEE Transactions on Intelligent Vehicles emerge as the most influential journals by publication volume and impact on LLM research. The findings highlight global disparities in research contributions, with China and the United States dominating by publication volume, followed by Germany and Canada, while developing regions exhibit lower scientific productivity. In addition, the study provides qualitative insights by reviewing recent LLM applications in transportation, examining their key contributions, methodological approaches, inherent limitations, and domain-specific challenges. Key research themes focus on autonomous mobility, traffic optimization, and sustainable transportation networks. Despite significant progress, several challenges remain, including decision-making uncertainties, computational scalability, and high energy consumption. Overcoming these challenges requires greater transparency through causal learning, enhanced reasoning via hybrid AI models, and inclusive frameworks that address algorithmic bias and ensure equitable adoption.</t>
  </si>
  <si>
    <t>10.1109/ACCESS.2025.3589319</t>
  </si>
  <si>
    <t>WOS:001542429700031</t>
  </si>
  <si>
    <t>Gheewala, S; Xu, SX; Yeom, S; Maqsood, S</t>
  </si>
  <si>
    <t>Gheewala, Shivangi; Xu, Shuxiang; Yeom, Soonja; Maqsood, Sumbal</t>
  </si>
  <si>
    <t>Exploiting deep transformer models in textual review based recommender systems</t>
  </si>
  <si>
    <t>Information systems; Recommender systems; Deep learning; Deep transformers; Textual reviews</t>
  </si>
  <si>
    <t>MATRIX FACTORIZATION; SENTIMENT ANALYSIS; NEURAL-NETWORKS; REPRESENTATIONS; INFORMATION; BERT</t>
  </si>
  <si>
    <t>Textual reviews contain fine-grained information that can effectively infer user preferences over the items. Accordingly, the latest studies in the field of recommender systems exploit content-rich review texts to complement user and item representations and improve the ability to make personalized recommendations. Furthermore, the interactive deep learning mechanism can better model the user-item interaction from finegrained textual reviews compared to traditional recommendation approaches improving the predictive performances. Therefore, it becomes important to investigate the design of existing deep learning methods for reviewbased recommender systems and innovate to make them capable of meeting desired recommendation schemes. The purpose of this research is to explore the performance of deep learning networks and deep transformer models in review-based recommender systems. In this paper, we conduct a compendious survey of the latest deep learning techniques in review-based recommender systems. Then investigation calls to employ and analyze deep transformer models for the review-based recommender systems. The wide range of experiments shows that deep transformer models can extract interpretable and relevant user/item representations than traditional deep learning networks. The findings indicate that the best deep transformer performance gains the maximum relative improvement (RMSE = 4.6%, MAE = 7.4%) with Amazon electronics, compared to the best outcome from traditional deep learning networks. In the end, this article highlights research gaps and outlines research opportunities for future research in this field.</t>
  </si>
  <si>
    <t>10.1016/j.eswa.2023.121120</t>
  </si>
  <si>
    <t>AUG 2023</t>
  </si>
  <si>
    <t>WOS:001143896800001</t>
  </si>
  <si>
    <t>Chiarello, F; Giordano, V; Spada, I; Barandoni, S; Fantoni, G</t>
  </si>
  <si>
    <t>Chiarello, Filippo; Giordano, Vito; Spada, Irene; Barandoni, Simone; Fantoni, Gualtiero</t>
  </si>
  <si>
    <t>Future applications of generative large language models: A data-driven case study on ChatGPT</t>
  </si>
  <si>
    <t>TECHNOVATION</t>
  </si>
  <si>
    <t>Generative artificial intelligence; Generative large language models; ChatGPT; Social media analysis; Technology adoption; Emerging technologies</t>
  </si>
  <si>
    <t>TECHNOLOGIES; DIFFUSION; TOPICS</t>
  </si>
  <si>
    <t>This study delves into the evolving role of generative Large Language Models (LLMs). We develop a data-driven approach to collect and analyse tasks that users are asking to generative LLMs. Thanks to the focus on tasks this paper contributes to give a quantitative and granular understanding of the potential influence of LLMs in different business areas. Utilizing a dataset comprising over 3.8 million tweets, we identify and cluster 31,747 unique tasks, with a specific case study on ChatGPT. To reach this goal, the proposed method combines two Natural Language Processing (NLP) Techniques, Named Entity Recognition (NER) and BERTopic. The combination makes it possible to collect granular tasks of LLMs (NER) and clusters them in business areas (BERTopic). Our findings reveal a wide spectrum of applications, from programming assistance to creative content generation, highlighting LLM's versatility. The analysis highlighted six emerging areas of application for ChatGPT: human resources, programming, social media, office automation, search engines, education. The study also examines the implications of these findings for innovation management, proposing a research agenda to explore the intersection of the identified areas, with four stages of the innovation process: idea generation, screening/ idea selection, development, and diffusion/sales/marketing.</t>
  </si>
  <si>
    <t>0166-4972</t>
  </si>
  <si>
    <t>1879-2383</t>
  </si>
  <si>
    <t>10.1016/j.technovation.2024.103002</t>
  </si>
  <si>
    <t>Engineering; Business &amp; Economics; Operations Research &amp; Management Science</t>
  </si>
  <si>
    <t>WOS:001289820500001</t>
  </si>
  <si>
    <t>Dong, YJ; Wu, TY; Song, CY</t>
  </si>
  <si>
    <t>Dong, Yujian; Wu, Tianyu; Song, Chaoyang</t>
  </si>
  <si>
    <t>Optimizing Robotic Manipulation With Decision-RWKV: A Recurrent Sequence Modeling Approach for Lifelong Learning</t>
  </si>
  <si>
    <t>JOURNAL OF COMPUTING AND INFORMATION SCIENCE IN ENGINEERING</t>
  </si>
  <si>
    <t>foundation models; recurrent models; lifelong learning; robot learning; artificial intelligence; computational foundations for engineering optimization; data-driven engineering; engineering informatics; machine learning for engineering applications; multiphysics modeling and simulation</t>
  </si>
  <si>
    <t>Models based on the transformer architecture have seen widespread application across fields such as natural language processing (NLP), computer vision, and robotics, with large language models (LLMs) like ChatGPT revolutionizing machine understanding of human language and demonstrating impressive memory capacity and reproduction capabilities. Traditional machine learning algorithms struggle with catastrophic forgetting, detrimental to the diverse and generalized abilities required for robotic deployment. This article investigates the receptance weighted key value (RWKV) framework, known for its advanced capabilities in efficient and effective sequence modeling, integration with the decision transformer (DT), and experience replay architectures. It focuses on potential performance enhancements in sequence decision-making and lifelong robotic learning tasks. We introduce the decision-RWKV (DRWKV) model and conduct extensive experiments using the D4RL database within the OpenAI Gym environment and on the D'Claw platform to assess the DRWKV model's performance in single-task tests and lifelong learning scenarios, showing its ability to handle multiple subtasks efficiently. The code for all algorithms, training, and image rendering in this study is available online (open source).</t>
  </si>
  <si>
    <t>1530-9827</t>
  </si>
  <si>
    <t>1944-7078</t>
  </si>
  <si>
    <t>10.1115/1.4067524</t>
  </si>
  <si>
    <t>WOS:001421486300006</t>
  </si>
  <si>
    <t>Zhang, HZ; Shafiq, MO</t>
  </si>
  <si>
    <t>Zhang, Hongzhi; Shafiq, M. Omair</t>
  </si>
  <si>
    <t>Survey of transformers and towards ensemble learning using transformers for natural language processing</t>
  </si>
  <si>
    <t>JOURNAL OF BIG DATA</t>
  </si>
  <si>
    <t>Transformer model; Natural language tasks; Transformer-based model; Ensemble learning</t>
  </si>
  <si>
    <t>The transformer model is a famous natural language processing model proposed by Google in 2017. Now, with the extensive development of deep learning, many natural language processing tasks can be solved by deep learning methods. After the BERT model was proposed, many pre-trained models such as the XLNet model, the RoBERTa model, and the ALBERT model were also proposed in the research community. These models perform very well in various natural language processing tasks. In this paper, we describe and compare these well-known models. In addition, we also apply several types of existing and well-known models which are the BERT model, the XLNet model, the RoBERTa model, the GPT2 model, and the ALBERT model to different existing and well-known natural language processing tasks, and analyze each model based on their performance. There are a few papers that comprehensively compare various transformer models. In our paper, we use six types of well-known tasks, such as sentiment analysis, question answering, text generation, text summarization, name entity recognition, and topic modeling tasks to compare the performance of various transformer models. In addition, using the existing models, we also propose ensemble learning models for the different natural language processing tasks. The results show that our ensemble learning models perform better than a single classifier on specific tasks.</t>
  </si>
  <si>
    <t>2196-1115</t>
  </si>
  <si>
    <t>FEB 4</t>
  </si>
  <si>
    <t>10.1186/s40537-023-00842-0</t>
  </si>
  <si>
    <t>WOS:001156909400002</t>
  </si>
  <si>
    <t>Naemi, A; Sahafi, A</t>
  </si>
  <si>
    <t>Naemi, Amin; Sahafi, Ali</t>
  </si>
  <si>
    <t>Benchmarking Large Language Models for MIMIC-IV Clinical Note Summarization</t>
  </si>
  <si>
    <t>Large language model; Text summarization; Artificial intelligence; Deep learning; MIMIC</t>
  </si>
  <si>
    <t>Large Language Models (LLMs) are increasingly applied in healthcare and are expected to play an active role in clinical practice. However, their effectiveness for clinical note summarization remains underexplored, and systematic comparisons across different models are lacking. This study addresses this gap by benchmarking 16 generative LLMs from major providers, including OpenAI (GPT), DeepSeek, Meta (LLaMA), Google (Gemma), Mistral (Mixtral), and Alibaba (Qwen), using the MIMIC-IV-Note. Both extractive and abstractive summarization approaches were implemented and evaluated with multiple lexical and semantic metrics, including ROUGE, BLEU, METEOR, COMET, and BERTScore. In addition, processing time, cost, and deployment feasibility were assessed to provide a practical perspective for clinical adoption. The results show that Gemma-3-27B achieved the strongest overall performance in extractive summarization. For abstractive summarization, DeepSeek-R1-70B, Qwen-3-32B, and GPT-4o emerged as leading models. Their relative strengths varied depending on whether lexical overlap, semantic adequacy, or fluency was prioritized. Importantly, larger parameter sizes did not always translate into better outcomes, as smaller models such as LLaMa-3-8B and Gemma-2-9B often produced competitive results with faster runtimes and lower computational costs. This study highlights the trade-offs between performance, efficiency, and deployment context that offers practical insights into model selection for clinical note summarization and informing future integration of LLMs into healthcare workflows.</t>
  </si>
  <si>
    <t>2025 NOV 5</t>
  </si>
  <si>
    <t>10.1007/s41666-025-00221-9</t>
  </si>
  <si>
    <t>WOS:001608035100001</t>
  </si>
  <si>
    <t>Usman, M; Ahmad, M; Sidorov, G; Gelbukh, I; Tellez, RQ</t>
  </si>
  <si>
    <t>Usman, Muhammad; Ahmad, Muhammad; Sidorov, Grigori; Gelbukh, Irina; Tellez, Rolando Quintero</t>
  </si>
  <si>
    <t>A Large Language Model-Based Approach for Multilingual Hate Speech Detection on Social Media</t>
  </si>
  <si>
    <t>large language models; GPT; multilingual hate speech detection; data mining; machine learning; deep learning; BERT; XLM-R; NLP</t>
  </si>
  <si>
    <t>CONTEXT</t>
  </si>
  <si>
    <t>The proliferation of hate speech on social media platforms poses significant threats to digital safety, social cohesion, and freedom of expression. Detecting such content-especially across diverse languages-remains a challenging task due to linguistic complexity, cultural context, and resource limitations. To address these challenges, this study introduces a comprehensive approach for multilingual hate speech detection. To facilitate robust hate speech detection across diverse languages, this study makes several key contributions. First, we created a novel trilingual hate speech dataset consisting of 10,193 manually annotated tweets in English, Spanish, and Urdu. Second, we applied two innovative techniques-joint multilingual and translation-based approaches-for cross-lingual hate speech detection that have not been previously explored for these languages. Third, we developed detailed hate speech annotation guidelines tailored specifically to all three languages to ensure consistent and high-quality labeling. Finally, we conducted 41 experiments employing machine learning models with TF-IDF features, deep learning models utilizing FastText and GloVe embeddings, and transformer-based models leveraging advanced contextual embeddings to comprehensively evaluate our approach. Additionally, we employed a large language model with advanced contextual embeddings to identify the best solution for the hate speech detection task. The experimental results showed that our GPT-3.5-turbo model significantly outperforms strong baselines, achieving up to an 8% improvement over XLM-R in Urdu hate speech detection and an average gain of 4% across all three languages. This research not only contributes a high-quality multilingual dataset but also offers a scalable and inclusive framework for hate speech detection in underrepresented languages.</t>
  </si>
  <si>
    <t>JUL 15</t>
  </si>
  <si>
    <t>10.3390/computers14070279</t>
  </si>
  <si>
    <t>WOS:001543227500001</t>
  </si>
  <si>
    <t>Atzeni, P; Baldazzi, T; Bellomarini, L; Laurenza, E; Sallinger, E</t>
  </si>
  <si>
    <t>Atzeni, Paolo; Baldazzi, Teodoro; Bellomarini, Luigi; Laurenza, Eleonora; Sallinger, Emanuel</t>
  </si>
  <si>
    <t>Semantic-aware query answering with Large Language Models</t>
  </si>
  <si>
    <t>DATA &amp; KNOWLEDGE ENGINEERING</t>
  </si>
  <si>
    <t>Query answering; Large language models; Neurosymbolic AI</t>
  </si>
  <si>
    <t>In the modern data-driven world, answering queries over heterogeneous and semantically inconsistent data remains a significant challenge. Modern datasets originate from diverse sources, such as relational databases, semi-structured repositories, and unstructured documents, leading to substantial variability in schemas, terminologies, and data formats. Traditional systems, constrained by rigid syntactic matching and strict data binding, struggle to capture critical semantic connections and schema ambiguities, failing to meet the growing demand among data scientists for advanced forms of flexibility and context-awareness in query answering. In parallel, the advent of Large Language Models (LLMs) has introduced new capabilities in natural language interpretation, making them highly promising for addressing such challenges. However, LLMs alone lack the systematic rigor and explainability required for robust query processing and decision-making in high-stakes domains. In this paper, we propose Soft Query Answering (Soft QA), a novel hybrid approach that integrates LLMs as an intermediate semantic layer within the query processing pipeline. Soft QA enhances query answering adaptability and flexibility by injecting semantic understanding through context-aware, schema-informed prompts, and leverages LLMs to semantically link entities, resolve ambiguities, and deliver accurate query results in complex settings. We demonstrate its practical effectiveness through real-world examples, highlighting its ability to resolve semantic mismatches and improve query outcomes without requiring extensive data cleaning or restructuring.</t>
  </si>
  <si>
    <t>0169-023X</t>
  </si>
  <si>
    <t>1872-6933</t>
  </si>
  <si>
    <t>10.1016/j.datak.2025.102494</t>
  </si>
  <si>
    <t>WOS:001555038800001</t>
  </si>
  <si>
    <t>Wang, YF; Liu, JP; Wang, J; Wang, XF; Wang, M; Chu, XT</t>
  </si>
  <si>
    <t>Wang, Yingfei; Liu, Jianping; Wang, Jian; Wang, Xiaofeng; Wang, Meng; Chu, Xintao</t>
  </si>
  <si>
    <t>FE-TCM: Filter-Enhanced Transformer Click Model for Web Search</t>
  </si>
  <si>
    <t>Transformers; Behavioral sciences; Predictive models; Data models; Search engines; Discrete Fourier transforms; Information filters; Click model; click prediction; web search; transformer</t>
  </si>
  <si>
    <t>Constructing click models and extracting implicit relevance feedback information from interaction between users and search engines are very important for improving the ranking of search results. Neural networks are effective for modeling users' click behavior, and we propose a novel Filter-Enhanced Transformer Click Model (FE-TCM) for web search. The model uses the powerful Transformer model as the backbone network for feature extraction and innovatively add a filter layer. Firstly, in order to reduce the influence of noise on user behavior data, we use the learnable filters to filter the log noise. Secondly, following the examination hypothesis, we model the attraction estimator and examination predictor respectively to output attractiveness scores and examination probabilities. A novel transformer model is used to learn the deeper representation among different features. Finally, we apply the different combination functions to integrate attractiveness scores and examination probabilities into the click prediction. From our experiments on two real-world session datasets, it is proved that FE-TCM outperforms the existing click models for the click prediction.</t>
  </si>
  <si>
    <t>10.1109/ACCESS.2023.3259462</t>
  </si>
  <si>
    <t>WOS:000966497100001</t>
  </si>
  <si>
    <t>Li, YQ; Li, YL; Zhang, K; Zhang, FY; Yang, CG; Guo, ZL; Ding, WP; Huang, TW</t>
  </si>
  <si>
    <t>Li, Yuqi; Li, Yanli; Zhang, Kai; Zhang, Fuyan; Yang, Chuanguang; Guo, Zhongliang; Ding, Weiping; Huang, Tingwen</t>
  </si>
  <si>
    <t>Achieving fair medical image segmentation in foundation models with adversarial visual prompt tuning</t>
  </si>
  <si>
    <t>Fairness; Image segmentation; Foundation models; Visual prompt tuning; Medicine data analysis</t>
  </si>
  <si>
    <t>HEALTH; BIAS</t>
  </si>
  <si>
    <t>Recent advances in deep learning have significantly enhanced medical image analysis capabilities. Medical image segmentation, a critical application in this domain, enables precise delineation of anatomical structures and pathological regions, substantially supporting clinical decision-making. However, current segmentation methods primarily optimize for overall performance without considering disparities across demographic groups, raising important fairness concerns. To address this gap, we propose Adversarial Visual Prompt Tuning (AdvVPT), a parameter-efficient approach that enhances fairness in foundation models for medical image segmentation. AdvVPT introduces trainable visual prompts within the image encoder while keeping the backbone frozen, requiring only 0.812M additional parameters. These prompts are optimized through adversarial training to absorb demographic-specific biased information from image embeddings, achieved by maximizing prediction errors for sensitive attributes and increasing embedding distances between visual prompts and image features. Experimental evaluation on the Harvard-FairSeg dataset demonstrates that AdvVPT achieves state-of-the-art fairness performance across multiple demographic attributes. For racial fairness, AdvVPT achieves an ES-Dice score of 0.8996 and an ES-IoU score of 0.8222 on optic cup segmentation, substantially outperforming existing methods. For gender fairness using the SAT backbone, AdvVPT achieves an ES-Dice of 0.9297 and ES-IoU of 0.8614, demonstrating both superior performance and improved balance between male and female subgroups.</t>
  </si>
  <si>
    <t>10.1016/j.ins.2025.122501</t>
  </si>
  <si>
    <t>WOS:001533716700004</t>
  </si>
  <si>
    <t>Yang, JN; Wang, DR; Zhu, L; Yan, HM; Zhang, QP</t>
  </si>
  <si>
    <t>Yang, Jiannan; Wang, Duorong; Zhu, Lei; Yan, Houmin; Zhang, Qingpeng</t>
  </si>
  <si>
    <t>MMInfluencer: A Multimodal AI Framework for Influencer Marketing Tasks Using Large Language Models</t>
  </si>
  <si>
    <t>Social networking (online); Recommender systems; Large language models; Discrete cosine transforms; Web sites; Visualization; Semantics; Knowledge graphs; Fintech; Data models; Cold-start recommendation; influencer marketing; knowledge graph (KG); large language model (LLM); multimodal; zero-shot recommendation</t>
  </si>
  <si>
    <t>SOCIAL MEDIA; ENGAGEMENT; IMPACT</t>
  </si>
  <si>
    <t>Influencer marketing involves brands partnering with influencers to promote products, often through combined text and image posts on social media platforms. This multimodal data is critical for identifying suitable products for effective marketing practice. In this study, we presented MMInfluencer, a novel framework that addressed the critical upstream challenge of knowledge extraction from unstructured multimodal social media data. Our framework operationalized communication theories, the heuristic-systematic model (HSM) and dual coding theory (DCT), to guide large language models (LLMs) in constructing a high-quality knowledge graph (KG) from the multimodal posts and biographies of 1000 Instagram influencers. Human assessment of the KG confirmed its relevance and completeness with accuracy scores of 0.89 and 0.75, respectively. We then examined the KG's efficacy in various influencer marketing tasks using graph-based learning methods and retrieval-augmented generation (RAG) technology. The KG derived from multimodal data significantly improved product category prediction and recommendation tasks, with the Node2Vec model showing improvements of 20.47% (AUROC, p $&lt;$ 0.0001) and 1142.15% (NDCG@20, p $&lt;$ 0.0001), respectively. In contrast, the RAG method was ineffective, yielding an accuracy of just 0.1195 ($\pm$ 0.0162). Furthermore, the LLM-extracted KG significantly improved performance in challenging scenarios, where the best model achieved improvements of 155.51% (NDCG@20, p $=$ 0.0170) for emerging influencers (zero-shot) and 1144.51% (NDCG@20, p $&lt;$ 0.0001) for influencers with scarce data (cold-start). Our research underscores the potential of leveraging multimodal data, LLMs, and graph-based learning methods for effective influencer marketing.</t>
  </si>
  <si>
    <t>2025 SEP 4</t>
  </si>
  <si>
    <t>10.1109/TCSS.2025.3597544</t>
  </si>
  <si>
    <t>WOS:001566801300001</t>
  </si>
  <si>
    <t>Shen, K; Kejriwal, M</t>
  </si>
  <si>
    <t>Shen, Ke; Kejriwal, Mayank</t>
  </si>
  <si>
    <t>Defining and evaluating decision and composite risk in language models applied to natural language inference</t>
  </si>
  <si>
    <t>Language model; Natural language inference; Risk evaluation; Decision rule; Healthcare</t>
  </si>
  <si>
    <t>FAILURE MODE; UNCERTAINTY; FRAMEWORK; AI</t>
  </si>
  <si>
    <t>Despite their impressive performance, large language models (LLMs) are known to pose important risks. One such set of risks arises from misplaced confidence, whether over-confidence or under-confidence, that the models have in their inference. While the former is well studied, the latter is not, leading to an asymmetry in understanding the comprehensive risk of the model based on misplaced confidence. In this paper, we address this asymmetry by defining two types of risk (decision and composite risk), and proposing an experimental framework consisting of a two-level inference architecture and appropriate metrics for measuring such risks in both discriminative and generative LLMs. The first level relies on a decision rule that determines whether the underlying language model should abstain from inference. The second level (which applies if the model does not abstain) is the model's inference. This framework has direct implications for error-sensitive LLM-based engineering applications where reliable decision-making is critical, such as healthcare and finance. Through detailed experiments on four natural language commonsense reasoning datasets using both an open-source ensemble-based transformer model and a generative LLM, we demonstrate the practical utility of our evaluation framework. Our results show that the framework can get an LLM to confidently respond to an extra 20.1% of low-risk inference tasks that other methods might misclassify as high-risk, and skip 19.8% of high-risk tasks, which would have been answered incorrectly.</t>
  </si>
  <si>
    <t>C</t>
  </si>
  <si>
    <t>10.1016/j.engappai.2025.112253</t>
  </si>
  <si>
    <t>WOS:001576084200001</t>
  </si>
  <si>
    <t>Saxena, A; Rishi, B</t>
  </si>
  <si>
    <t>Saxena, Anshul; Rishi, Bikramjit</t>
  </si>
  <si>
    <t>Designing an artificial intelligence-enabled large language model for financial decisions</t>
  </si>
  <si>
    <t>MANAGEMENT DECISION</t>
  </si>
  <si>
    <t>Artificial intelligence; Large language models; Financial decision; FinSageNet; Financial analytics</t>
  </si>
  <si>
    <t>PurposeArtificial intelligence (AI) has profoundly reshaped financial decision-making, introducing a paradigm shift in how institutions and individuals navigate the complex finance landscape. The study evaluates the significant impact of integrating advanced AI and large language models (LLMs) in financial decision analytics.Design/methodology/approachThe study offers FinSageNet, a novel framework designed and tested to harness the potential of LLMs in financial decisions. The framework excels in handling and analyzing large volumes of numerical and textual data through advanced data mining techniques.FindingsFinSageNet demonstrates exceptional text summarization capabilities, outperforming models like FLAN and GPT-3.5 in Rouge score metrics. The proposed model has shown more accuracy than generic models.Originality/valueThe study emphasizes the significance of consistently updating models and adopting a comprehensive approach to integrating AI into financial decisions. This study improves our understanding of how artificial intelligence transforms financial analytics and decision-making processes.</t>
  </si>
  <si>
    <t>0025-1747</t>
  </si>
  <si>
    <t>1758-6070</t>
  </si>
  <si>
    <t>10.1108/MD-02-2024-0305</t>
  </si>
  <si>
    <t>WOS:001408811600001</t>
  </si>
  <si>
    <t>Wang, XB; Huey, SL; Sheng, R; Mehta, S; Wang, F</t>
  </si>
  <si>
    <t>Wang, Xingbo; Huey, Samantha L.; Sheng, Rui; Mehta, Saurabh; Wang, Fei</t>
  </si>
  <si>
    <t>SciDaSynth: Interactive Structured Data Extraction From Scientific Literature With Large Language Model</t>
  </si>
  <si>
    <t>CAMPBELL SYSTEMATIC REVIEWS</t>
  </si>
  <si>
    <t>data extraction; knowledge base; large language models; scientific literature</t>
  </si>
  <si>
    <t>The explosion of scientific literature has made the efficient and accurate extraction of structured data a critical component for advancing scientific knowledge and supporting evidence-based decision-making. However, existing tools often struggle to extract and structure multimodal, varied, and inconsistent information across documents into standardized formats. We introduce SciDaSynth, a novel interactive system powered by large language models that automatically generates structured data tables according to users' queries by integrating information from diverse sources, including text, tables, and figures. Furthermore, SciDaSynth supports efficient table data validation and refinement, featuring multi-faceted visual summaries and semantic grouping capabilities to resolve cross-document data inconsistencies. A within-subjects study with nutrition and NLP researchers demonstrates SciDaSynth's effectiveness in producing high-quality structured data more efficiently than baseline methods. We discuss design implications for human-AI collaborative systems supporting data extraction tasks.</t>
  </si>
  <si>
    <t>1891-1803</t>
  </si>
  <si>
    <t>NOV 3</t>
  </si>
  <si>
    <t>e70073</t>
  </si>
  <si>
    <t>10.1002/cl2.70073</t>
  </si>
  <si>
    <t>WOS:001606124500001</t>
  </si>
  <si>
    <t>Papachristou, M; Yang, LQ; Hsu, CC</t>
  </si>
  <si>
    <t>Papachristou, Marios; Yang, Longqi; Hsu, Chin-Chia</t>
  </si>
  <si>
    <t>Leveraging Large Language Models for Collective Decision-Making</t>
  </si>
  <si>
    <t>PROCEEDINGS OF THE ACM ON HUMAN COMPUTER INTERACTION</t>
  </si>
  <si>
    <t>large language models; collective decision-making; simulated user study; meeting scheduling; future of work</t>
  </si>
  <si>
    <t>In various work contexts, such as meeting scheduling, collaborating, and project planning, collective decision-making is essential but often challenging due to diverse individual preferences, varying work focuses, and power dynamics among members. To address this, we propose a system leveraging Large Language Models (LLMs) to facilitate group decision-making by managing conversations and balancing preferences among individuals. Our system aims to extract individual preferences from each member's conversation with the system and suggest options that satisfy the preferences of the members. We specifically apply this system to corporate meeting scheduling. We create synthetic employee profiles and simulate conversations at scale, leveraging LLMs to evaluate the system performance as a novel approach to conducting a user study. Our results indicate efficient coordination with reduced interactions between the members and the LLM-based system. The system refines and improves its proposed options over time, ensuring that many of the members' individual preferences are satisfied in an equitable way. Finally, we conduct a survey study involving human participants to assess our system's ability to aggregate preferences and reasoning about them. Our findings show that the system exhibits strong performance in both dimensions.</t>
  </si>
  <si>
    <t>2573-0142</t>
  </si>
  <si>
    <t>CSCW237</t>
  </si>
  <si>
    <t>10.1145/3757418</t>
  </si>
  <si>
    <t>WOS:001615744400002</t>
  </si>
  <si>
    <t>Mun, Y; Kim, N</t>
  </si>
  <si>
    <t>Mun, Yejoon; Kim, Namhyoung</t>
  </si>
  <si>
    <t>Leveraging Large Language Models for Sentiment Analysis and Investment Strategy Development in Financial Markets</t>
  </si>
  <si>
    <t>JOURNAL OF THEORETICAL AND APPLIED ELECTRONIC COMMERCE RESEARCH</t>
  </si>
  <si>
    <t>large language models; sentiment analysis; prompt optimization; portfolio performance analysis; investment strategy</t>
  </si>
  <si>
    <t>This study investigates the application of large language models (LLMs) in sentiment analysis of financial news and their use in developing effective investment strategies. We conducted sentiment analysis on news articles related to the top 30 companies listed on Nasdaq using both discriminative models such as BERT and FinBERT, and generative models including Llama 3.1, Mistral, and Gemma 2. To enhance the robustness of the analysis, advanced prompting techniques-such as Chain of Thought (CoT), Super In-Context Learning (SuperICL), and Bootstrapping-were applied to generative LLMs. The results demonstrate that long strategies generally yield superior portfolio performance compared to short and long-short strategies. Notably, generative LLMs outperformed discriminative models in this context. We also found that the application of SuperICL to generative LLMs led to significant performance improvements, with further enhancements noted when both SuperICL and Bootstrapping were applied together. These findings highlight the profitability and stability of the proposed approach. Additionally, this study examines the explainability of LLMs by identifying critical data considerations and potential risks associated with their use. The research highlights the potential of integrating LLMs into financial strategy development to provide a data-driven foundation for informed decision-making in financial markets.</t>
  </si>
  <si>
    <t>0718-1876</t>
  </si>
  <si>
    <t>APR 20</t>
  </si>
  <si>
    <t>10.3390/jtaer20020077</t>
  </si>
  <si>
    <t>WOS:001516703900001</t>
  </si>
  <si>
    <t>Zhou, Z; Gu, ZY; Qu, XB; Liu, P; Liu, ZY; Yu, WW</t>
  </si>
  <si>
    <t>Zhou, Zhen; Gu, Ziyuan; Qu, Xiaobo; Liu, Pan; Liu, Zhiyuan; Yu, Wenwu</t>
  </si>
  <si>
    <t>Urban mobility foundation model: A literature review and hierarchical perspective</t>
  </si>
  <si>
    <t>TRANSPORTATION RESEARCH PART E-LOGISTICS AND TRANSPORTATION REVIEW</t>
  </si>
  <si>
    <t>Multimodal Transportation; Foundation Model; Transportation Decision-making Tasks; Transformer; Multi-task Learning; Federated Learning</t>
  </si>
  <si>
    <t>NETWORK; DYNAMICS; MACRO</t>
  </si>
  <si>
    <t>An urban mobility system serves as a highly intricate and nonlinear mega-system facilitating the movement of people, goods, and services across spatio-temporal domains. This complexity stems from factors such as intricate interactions between transportation supply and demand, and the inherent stochastic nature of an open, heterogeneous, and adaptable system. Successfully comprehending and navigating this system presents a challenge. Yet, a remarkable opportunity emerges with the growing availability of multi-source data in urban mobility and various sectors, combined with the recent advancements in large-scale machine learning (ML) models. In this paper, we introduce a novel conceptual framework, the HUGE (Hierarchically Unified GEnerative) foundation model, to address multifaceted computational tasks and decision-making problems embedded in urban mobility systems. We delve into the core technologies and their seamless integration to realize this framework, highlighting its potential to harness substantial data analytics, hierarchical ML methodologies, and domain-specific knowledge. The conceived framework has the potential to revolutionize urban mobility system planning, design, construction, and management in a digital and intelligent manner.</t>
  </si>
  <si>
    <t>1366-5545</t>
  </si>
  <si>
    <t>1878-5794</t>
  </si>
  <si>
    <t>10.1016/j.tre.2024.103795</t>
  </si>
  <si>
    <t>OCT 2024</t>
  </si>
  <si>
    <t>Business &amp; Economics; Engineering; Operations Research &amp; Management Science; Transportation</t>
  </si>
  <si>
    <t>WOS:001342661100001</t>
  </si>
  <si>
    <t>Sun, KX; Zhao, ZH; Yang, HX; Zhang, J; Huang, GQ</t>
  </si>
  <si>
    <t>Sun, Kexin; Zhao, Zhiheng; Yang, Hongxia; Zhang, Jie; Huang, George Q.</t>
  </si>
  <si>
    <t>Curriculum Engineering: Structured Learning for Large Language Models (LLMs) Through Curriculum Based Retrieval</t>
  </si>
  <si>
    <t>IEEE TRANSACTIONS ON INDUSTRIAL INFORMATICS</t>
  </si>
  <si>
    <t>Social manufacturing; Retrieval augmented generation; Cognition; Production; Manufacturing; Reviews; Complexity theory; Knowledge based systems; Accuracy; Solid modeling; Curriculum learning; curriculum thought chain; large language models (LLMs); memory graph; retrieval augmented generation; social manufacturing</t>
  </si>
  <si>
    <t>QUESTIONS</t>
  </si>
  <si>
    <t>Social manufacturing integrates social resources with manufacturing, demanding rapid decision-making by processing specialized and complex data to adapt market changes. Leveraging multisource information as external knowledge bases, implementing Retrieval-Augmented Generation (RAG) to Large Language Models (LLMs) holds great potential to enhance the manufacturing efficiency. However, existing RAG methods often return excessive unstructured information, limiting LLMs' ability to reason and solve complex question-and-answer (QA) tasks. Drawing inspiration from structured human learning, we propose a novel Curriculum Enhanced Retrieval-Augmented Generation (CE-RAG) framework. CE-RAG encompasses three stages: The syllabus setting phase for organizing subjects and study sequences for the knowledge base, the knowledge infilling phase for generating curriculum chain prompts for LLMs, and the curriculum review phase for memorizing the curriculum chains learned by LLMs to improve iterative retrieval. Experiments on public QA reasoning datasets and social manufacturing cases show CE-RAG can effectively improve the reasoning performance of LLMs in complex social manufacturing QA tasks.</t>
  </si>
  <si>
    <t>1551-3203</t>
  </si>
  <si>
    <t>1941-0050</t>
  </si>
  <si>
    <t>10.1109/TII.2025.3613372</t>
  </si>
  <si>
    <t>WOS:001591762200001</t>
  </si>
  <si>
    <t>Göçen, A; Dasyol, O; Aslan, E; Aydin, M; Özdemir, E</t>
  </si>
  <si>
    <t>Gocen, Ahmet; Dasyol, Osman; Aslan, Esra; Aydin, Mursel; Ozdemir, Esra</t>
  </si>
  <si>
    <t>Teachers vs. large language models: ethical decision-making across educational dilemmas in Turkish schools</t>
  </si>
  <si>
    <t>ETHICS &amp; BEHAVIOR</t>
  </si>
  <si>
    <t>Large language models; teachers; ethical decision making; artificial intelligence; T &amp; uuml;rkiye (formerly known as Turkey)</t>
  </si>
  <si>
    <t>This study compares the moral reasoning of three large language models (ChatGPT, DeepSeek, Grok) with that of 208 public school teachers from Afyonkarahisar, T &amp; uuml;rkiye, across five school-based dilemmas. Using an embedded mixed-methods design, researchers collected yes/no decisions and justifications, coding responses into seven normative frameworks (utilitarianism, deontology, Rawlsian justice, care, virtue, rights-based, social contract). Chi-square tests examined associations between decisions and demographics. LLMs produced highly uniform outcomes, drawing primarily on utilitarian, deontological, and Rawlsian lenses, while teachers exhibited ethical pluralism, invoking diverse frameworks. Convergence between teacher and LLM responses was stronger in rule- and equity-based scenarios (grading, discipline, support room) and weaker in contested dilemmas (strike, after-hours help). Gender showed no associations; school type was associated with decisions in two scenarios, reflecting T &amp; uuml;rkiye's exam-oriented culture. Overall, teachers' decisions were more context-sensitive and pluralistic than those of LLMs, underscoring the need for sustained human oversight when applying LLMs to school ethics.</t>
  </si>
  <si>
    <t>1050-8422</t>
  </si>
  <si>
    <t>1532-7019</t>
  </si>
  <si>
    <t>2025 NOV 23</t>
  </si>
  <si>
    <t>10.1080/10508422.2025.2581274</t>
  </si>
  <si>
    <t>Social Sciences - Other Topics; Psychology</t>
  </si>
  <si>
    <t>WOS:001620157100001</t>
  </si>
  <si>
    <t>Huh, CY; Lee, JW; Kim, G; Jang, Y; Ko, HS; Suh, MJ; Hwang, S; Son, HJ; Song, JH; Kim, SJ; Kim, KJ; Kim, SI; Kim, CO; Ko, YG</t>
  </si>
  <si>
    <t>Huh, Cheong Yoon; Lee, Jongwon; Kim, Gibaeg; Jang, Yerin; Ko, Hye-seung; Suh, Min Jung; Hwang, Sumin; Son, Ho Jin; Song, Junha; Kim, Soo-Jeong; Kim, Kwang Joon; Kim, Sung Il; Kim, Chang Oh; Ko, Yeo Gyeong</t>
  </si>
  <si>
    <t>Using Large Language Models to Simulate History Taking: Implications for Symptom-Based Medical Education</t>
  </si>
  <si>
    <t>large language models; history taking; medical interview; medical education; artificial intelligence in medicine</t>
  </si>
  <si>
    <t>CHEST-PAIN; DIAGNOSIS; SKILLS</t>
  </si>
  <si>
    <t>Medical education often emphasizes theoretical knowledge, limiting students' opportunities to practice history taking, a structured interview that elicits relevant patient information before clinical decision making. Large language models (LLMs) offer novel solutions by generating simulated patient interviews. This study evaluated the educational potential of LLM-generated history-taking dialogues, focusing on clinical validity and diagnostic diversity. Chest pain was chosen as a representative case given its frequent presentation and importance for differential diagnosis. A fine-tuned Gemma-3-27B, specialized for medical interviews, was compared with GPT-4o-mini, a freely accessible LLM, in generating multi-branching history-taking dialogues, with Claude-3.5 Sonnet inferring diagnoses from these dialogues. The dialogues were assessed using a Chest Pain Checklist (CPC) and entropy-based metrics. Gemma-3-27B outperformed GPT-4o-mini, generating significantly more high-quality dialogues (90.7% vs. 76.5%). Gemma-3-27B produced diverse and focused diagnoses, whereas GPT-4o-mini generated broader but less specific patterns. For demographic information, such as age and sex, Gemma-3-27B showed significant shifts in dialogue patterns and diagnoses aligned with real-world epidemiological trends. These findings suggest that LLMs, particularly those fine-tuned for medical tasks, are promising educational tools for generating diverse, clinically valid interview scenarios that enhance clinical reasoning in history taking.</t>
  </si>
  <si>
    <t>JUL 31</t>
  </si>
  <si>
    <t>10.3390/info16080653</t>
  </si>
  <si>
    <t>WOS:001557691000001</t>
  </si>
  <si>
    <t>Li, ZH; Xia, LH; Ren, XB; Tang, JB; Chen, TY; Xu, Y; Huang, C</t>
  </si>
  <si>
    <t>Li, Zhonghang; Xia, Lianghao; Ren, Xubin; Tang, Jiabin; Chen, Tianyi; Xu, Yong; Huang, Chao</t>
  </si>
  <si>
    <t>Urban Computing in the Era of Large Language Models</t>
  </si>
  <si>
    <t>ACM TRANSACTIONS ON INTELLIGENT SYSTEMS AND TECHNOLOGY</t>
  </si>
  <si>
    <t>Urban Computing; Large Language Models (LLMs); Spatio-Temporal Data Mining; Transportation</t>
  </si>
  <si>
    <t>Urban computing has emerged as a multidisciplinary field that harnesses data-driven technologies to address challenges and improve urban living. Traditional approaches, while beneficial, often face challenges with generalization, scalability, and contextual understanding. The advent of Large Language Models (LLMs) offers transformative potential in this domain. This survey explores the intersection of LLMs and urban computing,emphasizing the impact of LLMs in processing and analyzing urban data, enhancing decision-making, andfostering citizen engagement. We provide a concise overview of the evolution and core technologies of LLMs.Additionally, we survey their applications across key urban domains, such as transportation, public safety,and environmental monitoring, summarizing essential tasks and prior works in various urban contexts, while highlighting LLMs' functional roles and implementation patterns. Building on this, we propose potential LLM-based solutions to address unresolved challenges. To facilitate in-depth research, we compile a list of available datasets and tools applicable to diverse urban scenarios. Finally, we discuss the limitations of current approaches and outline future directions for advancing LLMs in urban computing</t>
  </si>
  <si>
    <t>2157-6904</t>
  </si>
  <si>
    <t>2157-6912</t>
  </si>
  <si>
    <t>10.1145/3768163</t>
  </si>
  <si>
    <t>WOS:001639644400024</t>
  </si>
  <si>
    <t>Sburlan, DF; Sburlan, C; Bobe, A</t>
  </si>
  <si>
    <t>Sburlan, Dragos Florin; Sburlan, Cristina; Bobe, Alexandru</t>
  </si>
  <si>
    <t>Tech Trend Analysis System: Using Large Language Models and Finite State Chain Machines</t>
  </si>
  <si>
    <t>large language models; graph database; trend analysis</t>
  </si>
  <si>
    <t>In today's fast-paced technological environment, spotting emerging trends and anticipating future developments are important tasks in strategic planning and business decision-making. However, the volume and complexity of unstructured data containing relevant information make it very difficult for humans to effectively monitor, analyze, and identify inflection points by themselves. In this paper, we aim to prove the potential of integrating large language models (LLMs) with a novel finite state chain machine (FSCM) with output and graph databases to extract insights from unstructured data, specifically from earnings call transcripts of 40 top Technology Sector companies. The FSCM provides a modular, state-based approach for processing texts, enabling entity and relationship recognition. The extracted information is stored in a knowledge graph, further enabling semantic search and entity clustering. By leveraging this approach, we identified over 20,000 hidden (overlapping) trends and topics across various types. Our experiment on real-world datasets confirms the scalability and effectiveness of the method in extracting valuable knowledge from large datasets. The present work contributes to the field of Natural Language Processing (NLP) by showcasing the proposed method in addressing real-world business problems. The findings shed new light on current trends and challenges faced by tech companies, highlighting the potential for further integration with other NLP methods, leading to more robust and effective outcomes.</t>
  </si>
  <si>
    <t>MAY 28</t>
  </si>
  <si>
    <t>10.3390/electronics14112191</t>
  </si>
  <si>
    <t>WOS:001505885700001</t>
  </si>
  <si>
    <t>Agrawal, R; Chanam, B; Dcosta, C; Jaiswal, C; Hamdare, S; Hemnani, P</t>
  </si>
  <si>
    <t>Agrawal, Renuka; Chanam, Bosco; Dcosta, Chris; Jaiswal, Charvi; Hamdare, Safa; Hemnani, Preeti</t>
  </si>
  <si>
    <t>Optimizing Text Summarization and Content Tagging: Benchmarking the Performance of Large Language Models against Domain Specialized Architectures</t>
  </si>
  <si>
    <t>INTERNATIONAL JOURNAL OF FUZZY LOGIC AND INTELLIGENT SYSTEMS</t>
  </si>
  <si>
    <t>Natural language processing (NLP); Text summarization; Content tagging; Large language model (LLM); Bidirectional encoder representations from transformers (BERT)</t>
  </si>
  <si>
    <t>Text summarization and content tagging are pivotal natural language processing (NLP) tasks that enhance information accessibility, organization, and decision-making, thereby optimizing data utilization for diverse applications. This study addressed the challenge of automating these tasks by evaluating and comparing general-purpose and specialized models. For text summarization, a general-purpose large language model was used and compared with specialized models (e.g., bidirectional and auto-regressive transformer [BART] and Pegasus) in terms of accuracy, coherence, and relevance. BART achieved the highest ROUGE-1 score of 44.2553, highlighting its strong performance in abstractive summarization. For content tagging, the bidirectional encoder representations from transformers (BERT) model was evaluated on a classification dataset and benchmarked against other state-of-the-art models, including the robustly optimized BERT approach (RoBERTa), DistilBERT, and XLNet, to assess accuracy, speed, and applicability. BERT outperformed other models in content tagging, achieving an accuracy of 0.9315, precision of 0.9393, and recall of 0.9263. The major contributions include identifying trade-offs between general-purpose and specialized models and providing recommendations for real-world applications such as news aggregation and content management systems.</t>
  </si>
  <si>
    <t>1598-2645</t>
  </si>
  <si>
    <t>2093-744X</t>
  </si>
  <si>
    <t>10.5391/IJFIS.2025.25.3.364</t>
  </si>
  <si>
    <t>WOS:001582913900002</t>
  </si>
  <si>
    <t>Elhenawy, M; Abutahoun, A; Alhadidi, TI; Jaber, A; Ashqar, HI; Jaradat, S; Abdelhay, A; Glaser, S; Rakotonirainy, A</t>
  </si>
  <si>
    <t>Elhenawy, Mohammed; Abutahoun, Ahmad; Alhadidi, Taqwa I.; Jaber, Ahmed; Ashqar, Huthaifa I.; Jaradat, Shadi; Abdelhay, Ahmed; Glaser, Sebastien; Rakotonirainy, Andry</t>
  </si>
  <si>
    <t>Visual Reasoning and Multi-Agent Approach in Multimodal Large Language Models (MLLMs): Solving TSP and mTSP Combinatorial Challenges</t>
  </si>
  <si>
    <t>MACHINE LEARNING AND KNOWLEDGE EXTRACTION</t>
  </si>
  <si>
    <t>combinatorial optimization; traveling salesman problem; multimodal large language models; visual reasoning</t>
  </si>
  <si>
    <t>Multimodal Large Language Models (MLLMs) harness comprehensive knowledge spanning text, images, and audio to adeptly tackle complex problems. This study explores the ability of MLLMs in visually solving the Traveling Salesman Problem (TSP) and Multiple Traveling Salesman Problem (mTSP) using images that portray point distributions on a two-dimensional plane. We introduce a novel approach employing multiple specialized agents within the MLLM framework, each dedicated to optimizing solutions for these combinatorial challenges. We benchmarked our multi-agent model solutions against the Google OR tools, which served as the baseline for comparison. The results demonstrated that both multi-agent models-Multi-Agent 1, which includes the initializer, critic, and scorer agents, and Multi-Agent 2, which comprises only the initializer and critic agents-significantly improved the solution quality for TSP and mTSP problems. Multi-Agent 1 excelled in environments requiring detailed route refinement and evaluation, providing a robust framework for sophisticated optimizations. In contrast, Multi-Agent 2, focusing on iterative refinements by the initializer and critic, proved effective for rapid decision-making scenarios. These experiments yield promising outcomes, showcasing the robust visual reasoning capabilities of MLLMs in addressing diverse combinatorial problems. The findings underscore the potential of MLLMs as powerful tools in computational optimization, offering insights that could inspire further advancements in this promising field.</t>
  </si>
  <si>
    <t>2504-4990</t>
  </si>
  <si>
    <t>10.3390/make6030093</t>
  </si>
  <si>
    <t>WOS:001323860900001</t>
  </si>
  <si>
    <t>Stefanidou, A; Politi, E; Dimitrakopoulos, G</t>
  </si>
  <si>
    <t>Stefanidou, Artemis; Politi, Elena; Dimitrakopoulos, George</t>
  </si>
  <si>
    <t>Foundation Models in Autonomous Driving: A Review of Current Tasks and Applications</t>
  </si>
  <si>
    <t>IEEE OPEN JOURNAL OF INTELLIGENT TRANSPORTATION SYSTEMS</t>
  </si>
  <si>
    <t>Frequency modulation; Autonomous vehicles; Foundation models; Systematic literature review; Real-time systems; Decision making; Computational modeling; Computer architecture; Cognition; Adaptation models; multimodal learning; multitask learning; pretrained models; large-scale models; vision-language models; computer vision</t>
  </si>
  <si>
    <t>Autonomous driving stands at the forefront of next-generation mobility, driven by advances in Artificial Intelligence (AI), deep learning, and real-time sensor data processing. While Foundation Models (FMs)-large, pre-trained neural networks capable of generalizing across tasks-have revolutionized fields such as natural language processing and computer vision, their integration into autonomous driving remains limited and fragmented. This paper addresses this critical gap by systematically reviewing the application of FMs across the autonomous driving pipeline, from perception and scene understanding to reasoning, planning, and synthetic dataset generation. We classify over 70 models by architecture, modality, task type, and input/output structure, and provide a unified framework for understanding their role in intelligent vehicle systems. Key contributions include: (i) a taxonomy of FMs deployed in perception, reasoning, and control; (ii) identification of current limitations in real-time deployment, interpretability, and safety assurance; and (iii) emerging trends such as prompt-based fine-tuning, multimodal grounding, and generative scenario synthesis. Our findings highlight both the opportunities and challenges of incorporating FMs into safety-critical autonomous systems and outline promising directions for future research in edge-efficient, robust, and explainable FM-based driving models.</t>
  </si>
  <si>
    <t>2687-7813</t>
  </si>
  <si>
    <t>10.1109/OJITS.2025.3633871</t>
  </si>
  <si>
    <t>WOS:001626825200002</t>
  </si>
  <si>
    <t>Michailidis, PD</t>
  </si>
  <si>
    <t>Michailidis, Panagiotis D.</t>
  </si>
  <si>
    <t>A Comparative Study of Sentiment Classification Models for Greek Reviews</t>
  </si>
  <si>
    <t>sentiment analysis; machine learning; neural networks; transformers; large language models; Greek consumer reviews</t>
  </si>
  <si>
    <t>In recent years, people have expressed their opinions and sentiments about products, services, and other issues on social media platforms and review websites. These sentiments are typically classified as either positive or negative based on their text content. Research interest in sentiment analysis for text reviews written in Greek is limited compared to that in English. Existing studies conducted for the Greek language have focused more on posts collected from social media platforms rather than on consumer reviews from e-commerce websites and have primarily used traditional machine learning (ML) methods, with little to no work utilizing advanced methods like neural networks, transfer learning, and large language models. This study addresses this gap by testing the hypothesis that modern methods for sentiment classification, including artificial neural networks (ANNs), transfer learning (TL), and large language models (LLMs), perform better than traditional ML models in analyzing a Greek consumer review dataset. Several classification methods, namely, ML, ANNs, TL, and LLMs, were evaluated and compared using performance metrics on a large collection of Greek product reviews. The empirical findings showed that the GreekBERT and GPT-4 models perform significantly better than traditional ML classifiers, with BERT achieving an accuracy of 96% and GPT-4 reaching 95%, while ANNs showed similar performance to ML models. This study confirms the hypothesis, with the BERT model achieving the highest classification accuracy.</t>
  </si>
  <si>
    <t>10.3390/bdcc8090107</t>
  </si>
  <si>
    <t>WOS:001323750800001</t>
  </si>
  <si>
    <t>Gong, RZ; Li, XX</t>
  </si>
  <si>
    <t>Gong, Ruizi; Li, Xinxing</t>
  </si>
  <si>
    <t>The application progress and research trends of knowledge graphs and large language models in agriculture</t>
  </si>
  <si>
    <t>Knowledge graphs; Large language models; Agricultural knowledge intelligent services</t>
  </si>
  <si>
    <t>Enhancing agricultural productivity remains a crucial issue in agriculture, wherein agricultural knowledge intelligent services can improve the scientific and intelligent level of agricultural production through technologies such as knowledge coupling and inference decision-making. The application of knowledge graphs (KGs) in agriculture effectively supports the structured representation of agricultural data and helps manage agricultural data. On the other hand, the recent emergence of large language models (LLMs), with their strong language understanding and generation capabilities, provides new methods and ideas for knowledge services in agriculture. Though KGs and LLMs each have different strengths and limitations, their integration is believed to complement each other and has great potential to promote the development of agricultural knowledge intelligent services. In this paper, we review the current status of the application of KGs and LLMs in agriculture. We also discuss their complementary fusion as well as the prospect of their agricultural application, hoping to provide some references for the future development of agricultural knowledge intelligent services.</t>
  </si>
  <si>
    <t>10.1016/j.compag.2025.110396</t>
  </si>
  <si>
    <t>WOS:001476581200001</t>
  </si>
  <si>
    <t>Aliyu, Y; Sarlan, A; Danyaro, KU; Rahman, ASBA</t>
  </si>
  <si>
    <t>Aliyu, Yusuf; Sarlan, Aliza; Danyaro, Kamaluddeen Usman; Rahman, Abdulahi Sani B. A.</t>
  </si>
  <si>
    <t>Comparative Analysis of Transformer Models for Sentiment Analysis in Low-Resource Languages</t>
  </si>
  <si>
    <t>Sentiment analysis; low-resource languages; multilingual; word-embedding; transformer</t>
  </si>
  <si>
    <t>IDENTIFICATION</t>
  </si>
  <si>
    <t>The analysis of sentiments expressed on social media platforms is a crucial tool for understanding user opinions and preferences. The large amount of the texts found on social media are mostly in different languages. However, the accuracy of sentiment analysis in these systems faces different challenges in multilingual low-resource settings. Recent advancements in deep learning transformer models have demonstrated superior performance compared to traditional machine learning techniques. The majority of preceding works are predominantly constructed on the foundation of monolingual languages. This study presents a comparative analysis that assesses the effectiveness of transformer models, for multilingual low-resource languages sentiment analysis. The study aims to improve the accuracy of the existing baseline performance in analyzing tweets written in 12 low-resource African languages. Four widely used start-of-the-art transformer models were employed. The experiment was carried out using standard datasets of tweets. The study showcases AfriBERTa as a robust performer, exhibiting superior sentiment analysis capabilities across diverse linguistic contexts. It outperformed the established benchmarks in both SemEval-2023 Task 12 and AfriSenti baseline. Our framework achieves remarkable results with an F1-score of 81% and an accuracy rate of 80.9%. This study provides validation of the framework's robustness in the domain of sentiment analysis across a low-resource linguistics context. our research not only contributes a comprehensive sentiment analysis framework for low-resource African languages but also charts a roadmap for future enhancements. Emphasize the ongoing pursuit of adaptability and robustness in sentiment analysis models for diverse linguistic landscapes.</t>
  </si>
  <si>
    <t>WOS:001317491800036</t>
  </si>
  <si>
    <t>Mustafa, AM; Nakhleh, S; Irsheidat, R; Alruosan, R</t>
  </si>
  <si>
    <t>Mustafa, Ahmad M.; Nakhleh, Saja; Irsheidat, Rama; Alruosan, Raneem</t>
  </si>
  <si>
    <t>INTERPRETING ARABIC TRANSFORMER MODELS : A STUDY ON XAI INTERPRETABILITY FOR QURANIC SEMANTIC- SEARCH MODELS</t>
  </si>
  <si>
    <t>JORDANIAN JOURNAL OF COMPUTERS AND INFORMATION TECHNOLOGY</t>
  </si>
  <si>
    <t>Explainable machine learning; Semantic search; Arabic NLP; Transformers; SHAP; LIME</t>
  </si>
  <si>
    <t>Transformers have shown their effectiveness in various machine-learning tasks. However, their black box nature often obscures their decision-making processes, particularly in Arabic, posing a barrier to their broader adoption and trust. This study delves into the interpretability of three Arabic transformer models that have been fine-tuned for semantic-search tasks. Through a focused case study, we employ these models for retrieving information from the Holy Qur'an, leveraging Explainable AI (XAI) techniques-namely, LIME and SHAP-to shed light on the decision-making processes of these models. The paper underscores the unique challenges posed by the Qur'anic text and demonstrates how XAI can significantly boost the transparency and interpretability of semantic-search systems for such complex text. Our findings reveal that applying XAI techniques to Arabic transformer models for Qur'anic content not only demystifies the models' internal mechanics, but also makes the insights derived from them more accessible to a broader audience. This contribution is twofold: It enriches the field of XAI within the context of Arabic semantic search and illustrates the utility of these techniques in deepening our understanding of intricate religious documents. By providing this nuanced approach to the interpretability of Arabic transformer models in the domain of semantic search, our study underscores the potential of XAI to bridge the gap between advanced machine-learning technologies and the nuanced needs of users seeking to explore complex texts like the Holy Qur'an. Our code is available at1.</t>
  </si>
  <si>
    <t>2413-9351</t>
  </si>
  <si>
    <t>2415-1076</t>
  </si>
  <si>
    <t>10.5455/jjcit.71-1704878720</t>
  </si>
  <si>
    <t>WOS:001408795900001</t>
  </si>
  <si>
    <t>Dong, JY; Li, JQ; Li, YC; Zhang, W; Zhang, ZT; Guo, CY; Dang, Y; Chen, M; Du, J</t>
  </si>
  <si>
    <t>Dong, Jinyang; Li, Junqiao; Li, Yucheng; Zhang, Wei; Zhang, Zhitao; Guo, Chenyang; Dang, Yu; Chen, Mei; Du, Jing</t>
  </si>
  <si>
    <t>Knowledge extraction and alignment for mine ventilation: A knowledge graph construction framework based on large language models</t>
  </si>
  <si>
    <t>Artificial intelligence; Mine ventilation; Large language models; Intelligent mining systems; Entity alignment; Knowledge graph construction</t>
  </si>
  <si>
    <t>Mine ventilation corpora contain fragmented entities, attributes, and rule-based knowledge, marked by heterogeneous expressions, implicit structures, and ambiguous terminology. These characteristics hinder systematic modeling and intelligent utilization. To address these challenges, we propose an automated extraction and semantic alignment method based on large language models (LLMs), aiming to construct a high-quality knowledge graph (KG) tailored for mine ventilation. We design an ontology-driven extraction framework for three textual sources - regulations, books, and websites - using prompt engineering and few-shot strategies to extract information, domain knowledge, entity attributes, and rule-based relations in a unified way. For entity alignment, we develop a dual-filtering mechanism that integrates semantic similarity and structural adjacency, and leverage large language models (LLMs) for verification, enabling high-confidence alignment of entities and predicates. We propose a rule-path modeling strategy using the structure subject entity (with condition)-predicate-object entity (with condition), integrating multi-source triples into conditional rule chains. These are mapped into a graph database to support structured knowledge representation. Under few-shot conditions, the extraction accuracy of entity attributes and rule-based relations reached 94% and 99%, respectively. The final alignment of entities and predicates, manually verified, achieved 100% precision. The resulting knowledge graph (KG) comprises 58,358 entities and 63,630 edges, demonstrating strong semantic consistency and structural integrity. It provides structured knowledge support for risk warning, question answering (QA), and intelligent decision-making in mine ventilation systems as part of intelligent mining applications.</t>
  </si>
  <si>
    <t>DEC 26</t>
  </si>
  <si>
    <t>E</t>
  </si>
  <si>
    <t>10.1016/j.engappai.2025.112726</t>
  </si>
  <si>
    <t>WOS:001599364500007</t>
  </si>
  <si>
    <t>Zhong, WC; Huang, JL; Wu, MQ; Luo, WN; Yu, R</t>
  </si>
  <si>
    <t>Zhong, Wuchang; Huang, Jinglin; Wu, Maoqiang; Luo, Weinan; Yu, Rong</t>
  </si>
  <si>
    <t>Large language model based system with causal inference and Chain-of-Thoughts reasoning for traffic scene risk assessment</t>
  </si>
  <si>
    <t>Large language models; Traffic scene risk; TrafficRiskGPT; CI-CoT</t>
  </si>
  <si>
    <t>Evaluating potential traffic scene risks is crucial for the decision-making process in autonomous driving systems. Large Language Models (LLMs), due to their advanced scene understanding and reasoning capabilities, offer a new paradigm for decision-making in autonomous driving. However, when used to evaluate traffic scene risks, LLM faces challenges of model hallucination and slow inference speed. Therefore, we have developed a TrafficRiskGPT-based system. Initially, we designed the TrafficRiskGPT model, which is a large language model specifically used for traffic scene risk reasoning. Its core is based on the LLaMA3-8B model, and it incorporates a large amount of traffic risk datasets for LoRA (Low-Rank Adaptation) fine-tuning, enabling the model to deeply understand traffic scene risks. On this basis, we designed a system around the TrafficRiskGPT model. The system establishes a knowledge base based on traffic scene risks and incorporated HNSW (Hierarchical Navigable Small World graphs) method to improve the retrieval efficiency of the knowledge base, introduces vLLM technology to improve the system's inference speed, and constructs a comprehensive risk evaluation metric to assess the system's performance on traffic scene risks. Finally, we designed a CI-CoT (Causal Inference Chain-of-Thought) technique, allowing the system to gradually evaluate the traffic risks associated with each decision, thereby reducing model hallucinations and slow inference speed issues. Our experiments show that in the same scenarios, in terms of vehicle collision rates, our method reduces the rate by 7.3% compared to GPT4o-mini, significantly reduces outputs irrelevant to traffic scene risks, and improves model inference speed by a factor of 3.62.</t>
  </si>
  <si>
    <t>JUN 15</t>
  </si>
  <si>
    <t>10.1016/j.knosys.2025.113630</t>
  </si>
  <si>
    <t>WOS:001510288700001</t>
  </si>
  <si>
    <t>Kvet, M; Potocar, M; Tatarka, S</t>
  </si>
  <si>
    <t>Kvet, Michal; Potocar, Miroslav; Tatarka, Slavomir</t>
  </si>
  <si>
    <t>Real Estate Attribute Value Extraction Using Large Language Models</t>
  </si>
  <si>
    <t>Data mining; Annotations; Large language models; Electronic mail; Electronic commerce; Decision making; Training data; Web sites; Urban areas; Portals; Additional attribute description; attribute value extraction; instructor AI; JSON; large language model; Pydantic; ollama; oracle attributes; oracle sentences; real estate dataset; structured output</t>
  </si>
  <si>
    <t>Attribute value extraction (AVE) is critical in transforming unstructured text into structured data for various applications. While existing datasets for AVE predominantly focus on e-commerce and English language data, there is a lack of publicly available datasets tailored to other domains. This paper introduces the Real Estate Attribute Value Extraction (RAVE) dataset, specifically designed for extracting structured attributes from unstructured real estate advertisements. The RAVE dataset consists of manually annotated Slovak real estate listings, which have been translated into English for broader applicability. The paper evaluates the performance of multiple publicly available large language models in solving the AVE task on RAVE. Through extensive experimentation, we analyse the impact of additional attribute descriptions, selecting relevant sentences, and using ground-truth-based attribute definition in structured output generation. The findings indicate that providing a schema with only relevant attributes (Oracle Attributes) significantly enhances performance and reduces computational overhead while improving the F1 score. Under basic conditions without modifications at the input, the largest model tested, Qwen2.5:32b, achieved a micro F1 score of 10.04%. Applying all tested input modifications (Oracle Attributes, Oracle Sentences, and Additional Descriptions) allowed the largest model tested to achieve a micro F1 score of 97.92%, demonstrating the effectiveness of these techniques in improving extraction accuracy and efficiency. The RAVE dataset is publicly available, facilitating further research in AVE and real estate information extraction.</t>
  </si>
  <si>
    <t>10.1109/ACCESS.2025.3564511</t>
  </si>
  <si>
    <t>WOS:001481864700029</t>
  </si>
  <si>
    <t>Daupare, A; Jekabsons, G</t>
  </si>
  <si>
    <t>Daupare, Anna; Jekabsons, Gints</t>
  </si>
  <si>
    <t>Benchmarking 24 Large Language Models for Automated Multiple-Choice Question Generation in Latvian</t>
  </si>
  <si>
    <t>APPLIED COMPUTER SYSTEMS</t>
  </si>
  <si>
    <t>Large language models; multiple-choice questions; text generation</t>
  </si>
  <si>
    <t>Large Language Models (LLMs) are increasingly being used for a wide range of text generation tasks. This paper investigates the generation of Multiple-Choice Questions in Latvian to assess both the ability of LLMs to generate high-quality questions and answers and, more broadly, their capability to process Latvian, a lower-resourced language that has received relatively little attention in LLM research. This study benchmarks 24 different LLMs, specifically those developed by Anthropic, DeepSeek, OpenAI, Google, Meta, Mistral, and Microsoft. The findings highlight the varying capabilities of these models in handling Latvian, producing grammatically correct, coherent, and meaningful text. The best-performing closed-weights model is claude-3.5-sonnet (by Anthropic), the best-performing open-weights model is deepseek-v3 (by DeepSeek), and the best-performing small open-weights model is open-mistral-nemo (by Mistral).</t>
  </si>
  <si>
    <t>2255-8683</t>
  </si>
  <si>
    <t>2255-8691</t>
  </si>
  <si>
    <t>JAN 1</t>
  </si>
  <si>
    <t>10.2478/acss-2025-0010</t>
  </si>
  <si>
    <t>WOS:001500774900001</t>
  </si>
  <si>
    <t>Chowa, SS; Alvi, R; Rahman, SS; Rahman, MA; Raiaan, MAK; Islam, MR; Hussain, M; Azam, S</t>
  </si>
  <si>
    <t>Chowa, Sadia Sultana; Alvi, Riasad; Rahman, Subhey Sadi; Rahman, Md Abdur; Raiaan, Mohaimenul Azam Khan; Islam, Md Rafiqul; Hussain, Mukhtar; Azam, Sami</t>
  </si>
  <si>
    <t>From language to action: a review of large language models as autonomous agents and tool users</t>
  </si>
  <si>
    <t>Large language models; Multi-agents; Reasoning; Evaluation; Generative AI</t>
  </si>
  <si>
    <t>The pursuit of human-level artificial intelligence (AI) has significantly advanced the development of autonomous agents and Large Language Models (LLMs). LLMs are now widely utilized as decision-making agents for their ability to interpret instructions, manage sequential tasks, and adapt through feedback. This review examines recent developments in employing LLMs as autonomous agents and tool users and comprises seven research questions. We only used the papers published between 2023 and 2025 in conferences of the A* and A-ranked and Q1 journals. A structured analysis of the LLM agents' architectural design principles, dividing their applications into single-agent and multi-agent systems, and strategies for integrating external tools is presented. In addition, the cognitive mechanisms of LLMs, including reasoning, planning, and memory, and the impact of prompting methods and fine-tuning procedures on agent performance are also investigated. Furthermore, we have evaluated current benchmarks and assessment protocols and provided an analysis of 68 publicly available datasets to assess the performance of LLM-based agents in various tasks. In conducting this review, we have identified critical findings on verifiable reasoning of LLMs, the capacity for self-improvement, and the personalization of LLM-based agents. Finally, we have discussed ten future research directions to overcome these gaps.</t>
  </si>
  <si>
    <t>10.1007/s10462-025-11471-9</t>
  </si>
  <si>
    <t>WOS:001666726700002</t>
  </si>
  <si>
    <t>Yao, YF; Duan, JH; Xu, KD; Cai, YF; Sun, ZB; Zhang, Y</t>
  </si>
  <si>
    <t>Yao, Yifan; Duan, Jinhao; Xu, Kaidi; Cai, Yuanfang; Sun, Zhibo; Zhang, Yue</t>
  </si>
  <si>
    <t>A Survey on Large Language Model (LLM) Security and Privacy: The Good, The Bad, and The Ugly</t>
  </si>
  <si>
    <t>HIGH-CONFIDENCE COMPUTING</t>
  </si>
  <si>
    <t>Large Language Model (LLM); LLM security; LLM privacy; ChatGPT; LLM attacks; LLM vulnerabilities</t>
  </si>
  <si>
    <t>ATTACKS; GENERATION</t>
  </si>
  <si>
    <t>Large Language Models (LLMs), such as ChatGPT and Bard, have revolutionized natural language understanding and generation. They possess deep language comprehension, human-like text generation capabilities, contextual awareness, and robust problem-solving skills, making them invaluable in various domains (e.g., search engines, customer support, translation). In the meantime, LLMs have also gained traction in the security community, revealing security vulnerabilities and showcasing their potential in security-related tasks. This paper explores the intersection of LLMs with security and privacy. Specifically, we investigate how LLMs positively impact security and privacy, potential risks and threats associated with their use, and inherent vulnerabilities within LLMs. Through a comprehensive literature review, the paper categorizes the papers into The Good(beneficial LLM applications), The Bad(offensive applications), and The Ugly(vulnerabilities of LLMs and their defenses). We have some interesting findings. For example, LLMs have proven to enhance code security (code vulnerability detection) and data privacy (data confidentiality protection), outperforming traditional methods. However, they can also be harnessed for various attacks (particularly user-level attacks) due to their human-like reasoning abilities. We have identified areas that require further research efforts. For example, Research on model and parameter extraction attacks is limited and often theoretical, hindered by LLM parameter scale and confidentiality. Safe instruction tuning, a recent development, requires more exploration. We hope that our work can shed light on the LLMs' potential to both bolster and jeopardize cybersecurity. (c) 2024 The Author(s). Published by Elsevier B.V. on behalf of Shandong University. This is an open access article under the CC BY-NC-ND license (http://creativecommons.org/licenses/by-nc-nd/4.0/).</t>
  </si>
  <si>
    <t>2667-2952</t>
  </si>
  <si>
    <t>10.1016/j.hcc.2024.100211</t>
  </si>
  <si>
    <t>WOS:001227924000001</t>
  </si>
  <si>
    <t>Zhang, FX; Li, JY; Li, YC; Zhang, ZZ; Yu, Y; Ye, DH</t>
  </si>
  <si>
    <t>Zhang, Fuxiang; Li, Junyou; Li, Yi-Chen; Zhang, Zongzhang; Yu, Yang; Ye, Deheng</t>
  </si>
  <si>
    <t>Improving Sample Efficiency of Reinforcement Learning With Background Knowledge From Large Language Models</t>
  </si>
  <si>
    <t>IEEE TRANSACTIONS ON NEURAL NETWORKS AND LEARNING SYSTEMS</t>
  </si>
  <si>
    <t>Training; Codes; Reinforcement learning; Writing; Trajectory; Large language models; Decision making; Annotations; Uncertainty; Robots; Knowledge representation; reinforcement learning (RL); reward shaping</t>
  </si>
  <si>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article,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t>
  </si>
  <si>
    <t>2162-237X</t>
  </si>
  <si>
    <t>2162-2388</t>
  </si>
  <si>
    <t>10.1109/TNNLS.2025.3590731</t>
  </si>
  <si>
    <t>WOS:001551606800001</t>
  </si>
  <si>
    <t>Chu, FL; Li, HY; Xie, LL; Zhao, JY</t>
  </si>
  <si>
    <t>Chu, Fulin; Li, Haoyu; Xie, Lili; Zhao, Jingyuan</t>
  </si>
  <si>
    <t>A survey of transformer architectures for autonomous driving</t>
  </si>
  <si>
    <t>Transformer; Autonomous driving; Perception; Decision-making; Multimodal</t>
  </si>
  <si>
    <t>NEURAL-NETWORKS; TRAJECTORY PREDICTION; GRAPH TRANSFORMER; OBJECT DETECTION; ATTENTION; MODEL</t>
  </si>
  <si>
    <t>Transformers have emerged as a foundational paradigm in autonomous driving, enabling high-capacity modeling of complex, multimodal, and dynamic environments. Their self-attention mechanisms, scalability, and sequence modeling capabilities support spatial-temporal reasoning and long-range dependency capture. Although increasingly adopted in core modules-such as perception, trajectory prediction, decision-making, and anomaly detection-a system-level survey of their architectural evolution and deployment challenges remains lacking. This paper presents a structured survey of Transformer models in autonomous driving, introducing a taskoriented taxonomy that spans object detection, sensor fusion, trajectory forecasting, motion planning, and intent prediction. We compare Transformer architectures with traditional deep learning models (e.g., CNNs, RNNs), highlighting advantages in global context modeling, multimodal alignment, and unified representations across heterogeneous inputs (camera, LiDAR, radar, HD maps). Beyond current applications, this work examines large-scale, end-to-end Transformer systems and their potential as foundation models for autonomous driving. We analyze design patterns involving chain-of-thought reasoning, neuro-symbolic integration, federated learning, and privacy-preserving edge deployment. Case studies from industry leaders (e.g., Tesla, Baidu, NVIDIA, Aurora) illustrate practical trade-offs and architectural adaptations. Despite progress, challenges remain in achieving real-time efficiency, robustness in open-world scenarios, interpretability in sequential decisionmaking, and integration with cost-sensitive sensors. We identify research gaps and propose directions in scalable Transformer design, explainable AI, and policy-aware planning. This survey aims to guide researchers and practitioners at the intersection of AI and intelligent transportation, supporting the development of interpretable, efficient, and generalizable Transformer-based autonomous driving systems.</t>
  </si>
  <si>
    <t>D</t>
  </si>
  <si>
    <t>10.1016/j.eswa.2025.130338</t>
  </si>
  <si>
    <t>WOS:001619382300005</t>
  </si>
  <si>
    <t>He, JY; Chen, YJ; Jafari, A; Idamekorala, A; Fox, G</t>
  </si>
  <si>
    <t>He, Junyang; Chen, Ying-Jung; Jafari, Alireza; Idamekorala, Anushka; Fox, Geoffrey</t>
  </si>
  <si>
    <t>Deep learning foundation and pattern models: Challenges in hydrological time series</t>
  </si>
  <si>
    <t>INTERNATIONAL JOURNAL OF HIGH PERFORMANCE COMPUTING APPLICATIONS</t>
  </si>
  <si>
    <t>Deep learning; hydrology; time series analysis; Long Short-Term Memory (LSTM); foundation models</t>
  </si>
  <si>
    <t>LANDSCAPE ATTRIBUTES; CATCHMENT ATTRIBUTES; LARGE-SAMPLE; METEOROLOGY; DATASET</t>
  </si>
  <si>
    <t>There has been active investigation into deep learning approaches for time series analysis, including foundation models. However, most studies do not address significant scientific applications. This paper aims to identify key features in time series by examining complex hydrology data. Our work advances computer science by emphasizing critical application features and contributes to hydrology and other scientific fields by identifying modeling approaches that effectively capture these features. Scientific time series data are inherently complex, involving observations from multiple locations, each with various time-dependent data streams and exogenous factors that may be static or time-varying and either application-dependent or purely mathematical. This research analyzes hydrology time series from the CAMELS and Caravan global datasets, which encompass rainfall and runoff data across catchments, featuring up to six observed streams and 209 static parameters across approximately 8000 locations. Our investigation assesses the impact of exogenous data through eight different model configurations for key hydrology tasks. Results demonstrate that integrating exogenous information enhances data representation, reducing root mean squared error by up to 40% in the largest dataset. Additionally, we present a detailed performance comparison of over 20 state-of-the-art pattern and foundation models. The analysis is fully open-source, facilitated by Jupyter Notebook on Google Colab for LSTM-based modeling, data preprocessing, and model comparisons. Preliminary findings using alternative deep learning architectures reveal that models incorporating comprehensive observed and exogenous data outperform more limited approaches, including foundation models. Notably, natural annual periodic exogenous time series contribute the most significant improvements, though static and other periodic factors are also valuable. This research serves as both an educational tool and benchmark resource.</t>
  </si>
  <si>
    <t>1094-3420</t>
  </si>
  <si>
    <t>1741-2846</t>
  </si>
  <si>
    <t>10.1177/10943420251380008</t>
  </si>
  <si>
    <t>WOS:001595582900001</t>
  </si>
  <si>
    <t>Luo, SC; Xu, J; Zhang, XJ; Wang, LR; Liu, SC; Hou, HX; Song, LQ</t>
  </si>
  <si>
    <t>Luo, Sichun; Xu, Jian; Zhang, Xiaojie; Wang, Linrong; Liu, Sicong; Hou, Hanxu; Song, Linqi</t>
  </si>
  <si>
    <t>RALLREC plus : Retrieval augmented large language model recommendation with reasoning</t>
  </si>
  <si>
    <t>Large language model; Recommender system; Retrieval augmented generation</t>
  </si>
  <si>
    <t>Large Language Models (LLMs) have been integrated into recommender systems to enhance user behavior comprehension. The Retrieval Augmented Generation (RAG) technique is further incorporated into these systems to retrieve more relevant items and improve system performance. However, existing RAG methods have two shortcomings. (i) In the retrieval stage, they rely primarily on textual semantics and often fail to incorporate the most relevant items, thus constraining system effectiveness. (ii) In the generation stage, they lack explicit chain-of-thought reasoning, further limiting their potential. In this paper, we propose Representation learning and Reasoning empowered retrieval-Augmented Large Language model Recommendation (RALLREC+). Specifically, for the retrieval stage, we prompt LLMs to generate detailed item descriptions and perform joint representation learning, combining textual and collaborative signals extracted from the LLM and recommendation models, respectively. To account for the time-varying nature of user interests, we propose a simple yet effective reranking method to capture preference dynamics. For the generation phase, we first evaluate reasoning LLMs on recommendation tasks, uncovering valuable insights. Then we introduce knowledge-injected prompting and consistency-based merging approach to integrate reasoning LLMs with general-purpose LLMs, enhancing overall performance. Extensive experiments on three real-world datasets validate our method's effectiveness.</t>
  </si>
  <si>
    <t>10.1016/j.eswa.2025.129508</t>
  </si>
  <si>
    <t>WOS:001567445900005</t>
  </si>
  <si>
    <t>Li, ZH; Chen, TY; Xu, Y</t>
  </si>
  <si>
    <t>Li, Zhonghang; Chen, Tianyi; Xu, Yong</t>
  </si>
  <si>
    <t>AirGPT: Spatio-temporal large language model for air quality prediction</t>
  </si>
  <si>
    <t>Air quality prediction; Large language models (LLMs); Spatio-temporal data mining; Graph neural network</t>
  </si>
  <si>
    <t>Air pollution poses a critical threat to public health, ecosystems, and climate stability worldwide. Accurate air quality prediction is essential for informed policy-making, health risk mitigation, and environmental management, enabling proactive responses to pollution events and long-term planning for sustainable urban development. Despite advances, deep learning models for air quality prediction still face three critical challenges: heavy reliance on abundant historical data, difficulty in effectively fusing diverse information sources, and a lack of interpretability. To address these issues, we propose AirGPT, a large language model framework for air quality prediction. AirGPT integrates a specialized spatio-temporal encoder with a novel spatio-temporal instruction-tuning paradigm, enabling it to efficiently model complex spatio-temporal dependencies and perform sophisticated data fusion. Furthermore, our Chain-of-Thought distillation mechanism allows the model to externalize its predictive reasoning in a transparent, human-readable format, thereby enhancing interpretability. Experimental results demonstrate that AirGPT achieves state-of-the-art accuracy on air quality prediction tasks, particularly in data-scarce and zero-shot scenarios. By integrating interpretable reasoning with transparent predictive outputs, AirGPT provides a robust and reliable framework to support informed environmental decision-making. Our source code is available at: https://anonymous.4open.science/r/AirGPT-6ACC</t>
  </si>
  <si>
    <t>10.1016/j.inffus.2025.103730</t>
  </si>
  <si>
    <t>WOS:001584030700003</t>
  </si>
  <si>
    <t>Benedetti, G; Caviglione, L; Comito, C; Falcone, A; Guarascio, M</t>
  </si>
  <si>
    <t>Benedetti, Giacomo; Caviglione, Luca; Comito, Carmela; Falcone, Alberto; Guarascio, Massimo</t>
  </si>
  <si>
    <t>Deobfuscation of JavaScript code and identification of security weaknesses through large language models</t>
  </si>
  <si>
    <t>Code deobfuscation; Large language modelss; Cybersecurity; Threat analysis</t>
  </si>
  <si>
    <t>Advancements in Large Language Models (LLMs) allow solving many challenging tasks related to software security in an automatic manner, e.g., the generation of test cases. An important aspect concerns the deobfuscation of source code, especially for improving its readability or preventing the elusion of signature-based countermeasures. Although LLMs are increasingly deployed to reveal the presence of malicious payloads within obfuscated software components, a comprehensive understanding of their potential and limitations is still missing. In this work, we evaluate the effectiveness of deobfuscating JavaScript code through an LLM-based pipeline. In more detail, we investigate whether LLMs can preserve structural properties of the software, especially to enhance the identification of weaknesses. Compared to two standard tools (i.e., JSNice and js-deobfuscator), our approach provides a more readable JavaScript prose according to several metrics, while retaining information on the Common Weaknesses Enumeration plaguing the software. To support the process of explaining issues within code, we performed tests on the use of two general-purpose LLMs, i.e., ChatGPT and Google Gemini. Results indicate that advancing the security of JavaScript through LLMs requires facing several challenges, which can be largely addressed via ad-hoc models.</t>
  </si>
  <si>
    <t>10.1016/j.future.2025.108318</t>
  </si>
  <si>
    <t>WOS:001652837700001</t>
  </si>
  <si>
    <t>Liu, RN; Zhang, QH; Han, T; Yang, BY; Zhang, WD; Yin, S; Zhou, DH</t>
  </si>
  <si>
    <t>Liu, Ruonan; Zhang, Quanhu; Han, Te; Yang, Boyuan; Zhang, Weidong; Yin, Shen; Zhou, Donghua</t>
  </si>
  <si>
    <t>Survey on Foundation Models for Prognostics and Health Management in Industrial Cyber-Physical Systems</t>
  </si>
  <si>
    <t>IEEE TRANSACTIONS ON INDUSTRIAL CYBER-PHYSICAL SYSTEMS</t>
  </si>
  <si>
    <t>Prognostics and health management; Cyber-physical systems; Maintenance; Biological system modeling; Sensors; Artificial intelligence; Surveys; Industrial cyber-physical systems; prognostics and health management; fault diagnosis; remaining useful life; large-scale foundation models; industrial process knowledge</t>
  </si>
  <si>
    <t>FAULT-DIAGNOSIS; INDICATOR CONSTRUCTION; AUTO-ENCODER; NETWORK; PREDICTION</t>
  </si>
  <si>
    <t>Industrial Cyber-Physical Systems (ICPS) integrating disciplines such as computer science, communication technology, and engineering, have become a crucial component of modern manufacturing and industry. However, ICPS faces numerous challenges during long-term operation, including equipment faults, performance degradation, and security threats, etc. To achieve efficient maintenance and management, prognostics and health management (PHM) has been widely applied in the critical tasks of ICPS such as fault prediction, health monitoring, and maintenance decision-making. The emergence of large-scale foundation models (LFMs) like BERT and GPT marks a significant advancement in artificial intelligence (AI) technology, demonstrating substantial application potential in multiple fields. The accumulation of AI technology, rapid development of LFMs, and the abundance of industrial data and industrial process knowledge provide the foundational conditions for the construction and advancement of industrial LFMs. However, there is currently a lack of consensus on applying LFMs of PHM in ICPS, necessitating a systematic review and roadmap to clarify future development directions. To bridge this gap, this survey provides a comprehensive survey and understanding of the recent advances in LFMs of PHM in ICPS. It provides valuable references for decision makers and researchers in the industry, and helps to further improve the reliability, availability and safety of ICPS.</t>
  </si>
  <si>
    <t>2832-7004</t>
  </si>
  <si>
    <t>10.1109/TICPS.2024.3425326</t>
  </si>
  <si>
    <t>WOS:001503177000001</t>
  </si>
  <si>
    <t>Li, ZY; Tan, ZJ; Wu, SH; Li, WP; Mo, T</t>
  </si>
  <si>
    <t>Li, Ziyu; Tan, Zhijie; Wu, Suhuan; Li, Weiping; Mo, Tong</t>
  </si>
  <si>
    <t>STLLM-Rec: enhancing explainable recommendation via self-training LLMs</t>
  </si>
  <si>
    <t>Recommender systems; Explainable recommendation; Large language models; LLM-based recommendation</t>
  </si>
  <si>
    <t>Recommender systems significantly enhance user experience by generating personalized suggestions through the analysis of user behavior. In recommendation algorithms, collaborative filtering and deep learning approaches utilizing Graph Neural Networks (GNNs) and Transformers have achieved strong performance. However, most recommendation algorithms primarily focus on the accuracy of the results, without explicitly revealing the reasoning process behind the recommendations-that is, the rationale for the recommendations. To bridge this gap, explainable recommendation algorithms have been proposed to provide users with an explicit reasoning process behind the recommendations. However, existing explainable recommendation algorithms face three major challenges: (1) a focus on fitting user reviews rather than genuinely generating recommendation rationales, (2) limited generalization ability in zero-shot scenarios, and (3) the scarcity of high-quality explanation data. To this end, we propose STLLM-Rec, a Self-Training framework designed to enhance the reasoning capability of Large Language Models (LLMs) for Recommendation tasks. This approach aims to leverage the powerful reasoning and generalization capabilities of LLMs to generate explicit recommendation rationales (addressing Challenge 1) and enhance the generalization ability of recommendation systems in zero-shot scenarios (addressing Challenge 2). In addition, it tackles the challenge of scarce high-quality explanation data (Challenge 3) by introducing self-training techniques from LLMs and incorporating fine-grained reward signals to guide the reasoning and training processes. Extensive experiments demonstrate that STLLM-Rec achieves both high recommendation accuracy and strong explainability.</t>
  </si>
  <si>
    <t>JAN 9</t>
  </si>
  <si>
    <t>10.1007/s11280-025-01397-1</t>
  </si>
  <si>
    <t>WOS:001657883000001</t>
  </si>
  <si>
    <t>Wu, MY; Yu, FR; Liu, PX; He, Y</t>
  </si>
  <si>
    <t>Wu, Mengyao; Yu, F. Richard; Liu, Peter Xiaoping; He, Ying</t>
  </si>
  <si>
    <t>Facilitating Autonomous Driving Tasks With Large Language Models</t>
  </si>
  <si>
    <t>Safety; Decision making; Autonomous vehicles; Reinforcement learning; Statistical learning; Intelligent systems; Chatbots; Large language models; Autonomous driving</t>
  </si>
  <si>
    <t>We explore how large language models (LLMs) can expedite and automate the learning process for autonomous driving tasks. This involves harnessing LLM knowledge to shape a learning framework and utilizing LLMs to guide the learning process. We conduct a case study to demonstrate LLMs' ability to export driving rules. LLM outputs may not be entirely reliable for the direct handling of driving decisions due to potential inaccuracies and inconsistencies. To address these issues, we propose integrating LLM knowledge with statistical learning. This enables LLMs to export task-specific knowledge as symbolic rules, forming the initial learning structure. Rule weights are calculated based on statistical salience derived from training data, resulting in a set of weighted rules for robust decision making. Furthermore, this set of weighted rules preserves strong semantics, allowing LLMs to comprehend and make modifications based on varying needs. Simulations using a highway driving simulator validate the effectiveness of our approach.</t>
  </si>
  <si>
    <t>10.1109/MIS.2024.3466518</t>
  </si>
  <si>
    <t>WOS:001428076400009</t>
  </si>
  <si>
    <t>Liu, YN; Bu, NB; Li, ZQ; Zhang, YM; Zhao, ZY</t>
  </si>
  <si>
    <t>Liu, Yingnan; Bu, Ningbo; Li, Zhiqiang; Zhang, Yongmin; Zhao, Zhenyu</t>
  </si>
  <si>
    <t>AT-FinGPT: Financial risk prediction via an audio-text large language model</t>
  </si>
  <si>
    <t>FINANCE RESEARCH LETTERS</t>
  </si>
  <si>
    <t>Quantitative finance; Large language model; FinGPT; Multi-sources data fusion</t>
  </si>
  <si>
    <t>VOLATILITY</t>
  </si>
  <si>
    <t>Financial risk prediction is crucial for investment decision-making. Traditional machine learning methods are limited by their structures and parameter size, which hinders their generalizability and effectiveness. Large language models (LLMs), which are pretrained with very large dataset and many GPUs have recently shown promising improvements in financial risk prediction. Despite this progress, most existing financial LLMs mainly rely on textual data for training and prediction, overlooking audio data and limiting analysis to text summarization. However, natural language processing studies have shown that audio from CEOs' quarterly earnings calls is crucial for financial risk prediction. In this work, we introduce an audio-text LLM named ATFinGPT, which fuses financial audio data and summarization texts for financial risk prediction. The empirical experimental results show that AT-FinGPT is superior to most advanced methods. Through an ablation study, we demonstrate that different data sources can facilitate financial risk assessment and discuss the effectiveness of each part in the AT-FinGPT model.</t>
  </si>
  <si>
    <t>1544-6123</t>
  </si>
  <si>
    <t>1544-6131</t>
  </si>
  <si>
    <t>10.1016/j.frl.2025.106967</t>
  </si>
  <si>
    <t>WOS:001441835400001</t>
  </si>
  <si>
    <t>Sun, X; Li, YJ; Bosch, JA; Li, ZY</t>
  </si>
  <si>
    <t>Sun, Xin; Li, Yunjie; Bosch, Jos A.; Li, Zhuying</t>
  </si>
  <si>
    <t>Interface Matters: Exploring Human Trust in Health Information from Large Language Models via Text, Speech, and Embodiment</t>
  </si>
  <si>
    <t>User interface; Large language model; Healthcare; Human trust perception</t>
  </si>
  <si>
    <t>CONVERSATIONAL AGENTS; CREDIBILITY; INTERNET; PERCEPTIONS; ACCEPTANCE</t>
  </si>
  <si>
    <t>The deployment of Conversational User Interfaces (CUIs) with advanced Large Language Models (LLMs) has significantly transformed health information seeking and dissemination, facilitating immediate and interactive communication between users and digital health resources. However, while trust is crucial for adopting health advice, how the dissemination interface influences people's perceived trust in health information provided by LLMs remains unclear. To address this, we conducted a mixed-methods, within-subjects lab study (N=20) to investigate how different CUIs (i.e., a text-based, speech-based, and embodied interface) affect user-perceived trust levels when delivering health information from an identical LLM source. Our key findings showed that: (a) participants' trust levels in health information delivered were significantly variant across different interfaces; (b) there are significant correlations between trust in health-related information and trust in the delivered interface as well as the usability level of the interface; (c) the type of health questions did not affect participants' perceived trust. Besides, we identified key factors influencing trust in health information delivered through various CUIs and explored differences in how people trust health information from LLM and its dissemination. We highlight the potential of LLM-powered CUIs in supporting health-related information-seeking behaviors. This work contributes insights for ensuring effective and trustworthy personal health information-seeking in the era of LLM-powered CUIs and multi-modal information dissemination.</t>
  </si>
  <si>
    <t>CSCW116</t>
  </si>
  <si>
    <t>10.1145/3711014</t>
  </si>
  <si>
    <t>WOS:001571587600004</t>
  </si>
  <si>
    <t>Zelenkov, YA</t>
  </si>
  <si>
    <t>Zelenkov, Yu. A.</t>
  </si>
  <si>
    <t>Knowledge management in organization and the large language models</t>
  </si>
  <si>
    <t>ROSSIISKII ZHURNAL MENEDZHMENTA-RUSSIAN MANAGEMENT JOURNAL</t>
  </si>
  <si>
    <t>generative AI; large language models; knowledge management; systematic literature review</t>
  </si>
  <si>
    <t>Purpose: to summarize, classify and analyze current academic papers on the use of large language models (LLM) in knowledge management in organization. Methodology: systematic literature review was conducted. It was based on the PRISMA (Preferred Reporting Items for Systematic Reviews and Meta-Analyses) framework. 75 papers were selected for the analysis, including academic papers and reports of consulting companies published since 2020. Findings: four main research areas have been identified: (1) LLM implementation issues; (2) the impact of LLM on knowledge management efficiency; the application of LLM in the processes of (3) knowledge usage and (4) knowledge creation. Within each area, the key papers and open questions have been reviewed. Originality and contribution: the paper presents a systematic review of current publications, proposes a classification of research topics, and identifies potential directions for new research. The study also considers limitations hindering the implementation of LLM in the organization's knowledge management practice.</t>
  </si>
  <si>
    <t>1729-7427</t>
  </si>
  <si>
    <t>2618-6977</t>
  </si>
  <si>
    <t>10.21638/spbul8.2024.309</t>
  </si>
  <si>
    <t>WOS:001389286600009</t>
  </si>
  <si>
    <t>Romaszewski, M; Sekula, P; Glomb, P; Cholewa, M; Kolodziej, K</t>
  </si>
  <si>
    <t>Romaszewski, Michal; Sekula, Przemyslaw; Glomb, Przemyslaw; Cholewa, Michal; Kolodziej, Katarzyna</t>
  </si>
  <si>
    <t>Through the Thicket: A Study of Number-Oriented LLMS Derived from Random Forest Models</t>
  </si>
  <si>
    <t>JOURNAL OF ARTIFICIAL INTELLIGENCE AND SOFT COMPUTING RESEARCH</t>
  </si>
  <si>
    <t>classification; random forest; large language model; explainable artificial intelligence</t>
  </si>
  <si>
    <t>This paper introduces a novel approach to training Large Language Models (LLMs) using knowledge transfer from a Random Forest (RF) ensemble. By converting RF decision paths into natural language, this method enhances both the classification accuracy and explanation capabilities of LLMs. Our approach integrates three preprocessing techniques: Relation Encoding, Integer Normalisation, and Verbal Description of Values, tailored for numerical data, improving the model's ability to interpret structured inputs effectively. Leveraging RF's ensemble properties, we generate rule-based explanations that can be objectively validated, offering a cost-effective alternative to human evaluations. Experiments on well-known datasets demonstrate high classification accuracy highlighting the potential of our framework for numerical and structured data applications. This study also contributes to Explainable Artificial Intelligence (XAI) by providing LLMs with structured, objectively verifiable explanations, making them more accessible and interpretable for real-world decision-making tasks.</t>
  </si>
  <si>
    <t>2083-2567</t>
  </si>
  <si>
    <t>2449-6499</t>
  </si>
  <si>
    <t>JUL 1</t>
  </si>
  <si>
    <t>10.2478/jaiscr-2025-0014</t>
  </si>
  <si>
    <t>WOS:001449223200001</t>
  </si>
  <si>
    <t>Alfieri, C; Scoccia, GL; Ganesh, S; Sadeh, N</t>
  </si>
  <si>
    <t>Alfieri, Costanza; Scoccia, Gian Luca; Ganesh, Surya; Sadeh, Norman</t>
  </si>
  <si>
    <t>Applying large language models to sanitize self-disclosure in user-generated content</t>
  </si>
  <si>
    <t>LLMs; Sanitizing; Self-disclosure; Sensitivity detection; Privacy; Privacy enhancing technologies; PET; ChatGPT</t>
  </si>
  <si>
    <t>AGREEMENT; HEALTH</t>
  </si>
  <si>
    <t>The rise of e-commerce and social networking platforms has led to an increase in the disclosure of personal health information within user-generated content. This study investigates the application of large language models (LLMs) to detect and sanitize sensitive health data shared by users across platforms such as Amazon, patient.info, and Facebook. We propose a methodology that leverages LLMs to evaluate both the sensitivity of disclosed information and the platform-specific semantics of the content. Through prompt engineering, our method identifies sensitive information and rephrases it to minimize disclosure while preserving content similarity. ChatGPT serves as the LLM in this study due to its versatility. Empirical results suggest that ChatGPT can reliably assign sensitivity scores to user-generated text and generate sanitized versions that effectively preserve the original meaning.</t>
  </si>
  <si>
    <t>10.1016/j.asoc.2025.113311</t>
  </si>
  <si>
    <t>WOS:001523196400001</t>
  </si>
  <si>
    <t>Lawless, C; Schoeffer, J; Le, LDY; Rowan, K; Sen, S; Hill, CS; Suh, J; Sarrafzadeh, B</t>
  </si>
  <si>
    <t>Lawless, Connor; Schoeffer, Jakob; Le, Lindyi; Rowan, Kael; Sen, Shilao; Hill, Cristina St.; Suh, Jina; Sarrafzadeh, Bahareh</t>
  </si>
  <si>
    <t>I Want It That Way: Enabling Interactive Decision Support Using Large Language Models and Constraint Programming</t>
  </si>
  <si>
    <t>ACM TRANSACTIONS ON INTERACTIVE INTELLIGENT SYSTEMS</t>
  </si>
  <si>
    <t>Decision support; large language models; constraint programming; preference elicitation; meeting scheduling</t>
  </si>
  <si>
    <t>PREFERENCES; CHILDREN; SYSTEMS; CHOICE</t>
  </si>
  <si>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</si>
  <si>
    <t>2160-6455</t>
  </si>
  <si>
    <t>2160-6463</t>
  </si>
  <si>
    <t>10.1145/3685053</t>
  </si>
  <si>
    <t>WOS:001325885100001</t>
  </si>
  <si>
    <t>Xiong, JJ; Wei, MK; Lu, Z; Liu, Y</t>
  </si>
  <si>
    <t>Xiong, Junjie; Wei, Mingkui; Lu, Zhuo; Liu, Yao</t>
  </si>
  <si>
    <t>Assessing the effectiveness of crawlers and large language models in detecting adversarial hidden link threats in meta computing</t>
  </si>
  <si>
    <t>Meta computing; Data integration; Adversary hidden link; Web crawling; Content deception detection; Large language model</t>
  </si>
  <si>
    <t>DATA INTEGRATION; BIG DATA</t>
  </si>
  <si>
    <t>In the emerging field of Meta Computing, where data collection and integration are essential components, the threat of adversary hidden link attacks poses a significant challenge to web crawlers. In this paper, we investigate the influence of these attacks on data collection by web crawlers, which famously elude conventional detection techniques using large language models (LLMs). Empirically, we find some vulnerabilities in the current crawler mechanisms and large language model detection, especially in code inspection, and propose enhancements that will help mitigate these weaknesses. Our assessment of real-world web pages reveals the prevalence and impact of adversary hidden link attacks, emphasizing the necessity for robust countermeasures. Furthermore, we introduce a mitigation framework that integrates element visual inspection techniques. Our evaluation demonstrates the framework's efficacy in detecting and addressing these advanced cyber threats within the evolving landscape of Meta Computing. (c) 2024 TheAuthor(s). Published by Elsevier B.V. on behalf of Shandong University. This is an open access article under the CC BY-NC-ND license (http://creativecommons.org/licenses/by-nc-nd/4.0/).</t>
  </si>
  <si>
    <t>10.1016/j.hcc.2024.100292</t>
  </si>
  <si>
    <t>WOS:001582033100001</t>
  </si>
  <si>
    <t>Munch, L; Bjerring, JC</t>
  </si>
  <si>
    <t>Munch, Lauritz; Bjerring, Jens Christian</t>
  </si>
  <si>
    <t>Can large language models help solve the cost problem for the right to explanation?</t>
  </si>
  <si>
    <t>JOURNAL OF MEDICAL ETHICS</t>
  </si>
  <si>
    <t>Decision Making; Ethics; Policy</t>
  </si>
  <si>
    <t>By now a consensus has emerged that people, when subjected to high-stakes decisions through automated decision systems, have a moral right to have these decisions explained to them. However, furnishing such explanations can be costly. So the right to an explanation creates what we call the cost problem: providing subjects of automated decisions with appropriate explanations of the grounds of these decisions can be costly for the companies and organisations that use these automated decision systems. In this paper, we explore whether large language models could prove significant in overcoming the cost problem. We provide an initial case for believing that they can but only with serious ethical costs.</t>
  </si>
  <si>
    <t>0306-6800</t>
  </si>
  <si>
    <t>1473-4257</t>
  </si>
  <si>
    <t>10.1136/jme-2023-109737</t>
  </si>
  <si>
    <t>Social Sciences - Other Topics; Medical Ethics; Social Issues; Biomedical Social Sciences</t>
  </si>
  <si>
    <t>WOS:001319689900001</t>
  </si>
  <si>
    <t>He, GX; Zhang, MC; Su, TC; Ma, L; Zhu, XM</t>
  </si>
  <si>
    <t>He, Guoxiu; Zhang, Meicong; Su, Tiancheng; Ma, Li; Zhu, Xiaomin</t>
  </si>
  <si>
    <t>Enhancing belief consistency of large language model agents in decision-making process based on attribution theory</t>
  </si>
  <si>
    <t>Large language model; Agent; Belief consistency; Attribution theory; Decision-making</t>
  </si>
  <si>
    <t>In social simulation, maintaining consistent beliefs (e.g., core cognition, position, and goal) is crucial for Large Language Model (LLM) agents to effectively assume specific roles and make coherent decisions. However, LLMs generate responses incrementally through next-token predictions based on preceding words, making them vulnerable to context ambiguity. This can cause their decision-making behavior to deviate from initial goals. To address this issue, we propose the Attribution-based Decision-Making Approach (ADMA), inspired by human attribution processes. ADMA comprises three modules: generation, evaluation, and attribution. Rather than making impulsive decisions, ADMA encourages LLMs to systematically attribute the underlying beliefs associated with each potential choice, and then adjust their decisions accordingly. Through iterative application, ADMA promotes better alignment between generated decisions and predefined goals. We evaluate ADMA in a debate scenario, where beliefs are continuously challenged by opposing arguments, influencing both stance and rebuttal strength. Empirical results show that the attribution process enhances belief consistency, as well as fluency, persuasiveness, and confidence. ADMA also improves LLM agents' resistance to persuasive language. Furthermore, belief consistency increases with more attribution iterations, albeit with diminishing returns. These findings underscore the potential of attribution theory to strengthen belief stability in LLM agents.</t>
  </si>
  <si>
    <t>10.1016/j.eswa.2025.129273</t>
  </si>
  <si>
    <t>WOS:001581022300003</t>
  </si>
  <si>
    <t>Marasco, E; Bourlai, T</t>
  </si>
  <si>
    <t>Marasco, Emanuela; Bourlai, Thirimachos</t>
  </si>
  <si>
    <t>Enhancing trust in Large Language Models for streamlined decision-making in military operations</t>
  </si>
  <si>
    <t>Machine unlearning; Military; Trustworthy AI; Large Language Models</t>
  </si>
  <si>
    <t>Large Language Models (LLMs) have the potential to enhance decision-making significantly in core military operational contexts that support training, readiness, and mission execution under low-risk conditions. Still, their implementation must be approached carefully, considering the associated risks. This paper examines the integration of LLMs into military decision-making, emphasizing the LLM's ability to improve intelligence analysis, enhance situational awareness, support strategic planning, predict threats, optimize logistics, and strengthen cybersecurity. The paper also considers misinterpretation, bias, misinformation, or overreliance on AI-generated suggestions, potentially leading to errors in routine but critical decision-making processes. Our work concludes by proposing solutions and promoting the responsible implementation of LLMs to ensure their effective and ethical use in military operations. To build trust in LLMs, this paper advocates for developing cybersecurity frameworks, transparency, and ethical oversight. It further suggests using machine unlearning (MU) to selectively remove outdated or compromised data from LLM training datasets, preserving the integrity of the insights they generate. The paper underscores the imperative for integrating LLMs in low-risk military contexts, coupled with sustained research efforts to mitigate potential hazards.</t>
  </si>
  <si>
    <t>10.1016/j.imavis.2025.105489</t>
  </si>
  <si>
    <t>WOS:001480743100001</t>
  </si>
  <si>
    <t>Qian, X</t>
  </si>
  <si>
    <t>Qian, Xiao</t>
  </si>
  <si>
    <t>Evaluating destination attractiveness through a social semiotic perspective: a large language model analysis of user-generated images</t>
  </si>
  <si>
    <t>CURRENT ISSUES IN TOURISM</t>
  </si>
  <si>
    <t>large language model; destination attractiveness; user generated image; multimodal social semiotics; social media</t>
  </si>
  <si>
    <t>This research presents a systematic framework that employs large language models to identify and evaluate destination attractors based on travellers' intentions and emotions, as deduced from user-generated images. The framework (1) directs the model to identify attractors related to themes, environments, and activities and (2) assesses travellers' interest by measuring importance, focal distance, character portrayal, and emotions through a multimodal social semiotic perspective. To optimise model performance and generate quantifiable outcomes, this research incorporates strategies during prompt engineering, model validation, fine-tuning, and empirical testing. The case study demonstrates the fine-tuned model's effectiveness in identifying attractors and deducing subjective intentions and emotions, highlighting its potential for application in similar image-based studies that attempt to integrate identification and evaluation together. Compared to conventional computational methods, large language models facilitate data-driven decision-making, improve analytical capabilities, enhance operational efficiency, and optimise destination management.</t>
  </si>
  <si>
    <t>1368-3500</t>
  </si>
  <si>
    <t>1747-7603</t>
  </si>
  <si>
    <t>2025 FEB 28</t>
  </si>
  <si>
    <t>10.1080/13683500.2025.2472287</t>
  </si>
  <si>
    <t>WOS:001434126000001</t>
  </si>
  <si>
    <t>Son, J; Kim, B</t>
  </si>
  <si>
    <t>Son, Jungha; Kim, Boyoung</t>
  </si>
  <si>
    <t>Translation Performance from the User's Perspective of Large Language Models and Neural Machine Translation Systems</t>
  </si>
  <si>
    <t>large language model; neural machine translation; ChatGPT; Google Translate; Microsoft Translator</t>
  </si>
  <si>
    <t>COMPUTER-ASSISTED TRANSLATION</t>
  </si>
  <si>
    <t>The rapid global expansion of ChatGPT, which plays a crucial role in interactive knowledge sharing and translation, underscores the importance of comparative performance assessments in artificial intelligence (AI) technology. This study concentrated on this crucial issue by exploring and contrasting the translation performances of large language models (LLMs) and neural machine translation (NMT) systems. For this aim, the APIs of Google Translate, Microsoft Translator, and OpenAI's ChatGPT were utilized, leveraging parallel corpora from the Workshop on Machine Translation (WMT) 2018 and 2020 benchmarks. By applying recognized evaluation metrics such as BLEU, chrF, and TER, a comprehensive performance analysis across a variety of language pairs, translation directions, and reference token sizes was conducted. The findings reveal that while Google Translate and Microsoft Translator generally surpass ChatGPT in terms of their BLEU, chrF, and TER scores, ChatGPT exhibits superior performance in specific language pairs. Translations from non-English to English consistently yielded better results across all three systems compared with translations from English to non-English. Significantly, an improvement in translation system performance was observed as the token size increased, hinting at the potential benefits of training models on larger token sizes.</t>
  </si>
  <si>
    <t>10.3390/info14100574</t>
  </si>
  <si>
    <t>WOS:001090032700001</t>
  </si>
  <si>
    <t>Hashir, MH; Memoona; Kim, SW</t>
  </si>
  <si>
    <t>Hashir, Muhammad Haseeb; Memoona, Sung Won; Kim, Sung Won</t>
  </si>
  <si>
    <t>TARGE: large language model-powered explainable hate speech detection</t>
  </si>
  <si>
    <t>Social media; Hate speech; Large language models; Rationale extraction</t>
  </si>
  <si>
    <t>The proliferation of user-generated content on social networking sites has intensified the challenge of accurately and efficiently detecting inflammatory and discriminatory speech at scale. Traditional manual moderation methods are impractical due to the sheer volume and complexity of online discourse, necessitating automated solutions. However, existing deep learning models for hate speech detection typically function as black-box systems, providing binary classifications without interpretable insights into their decision-making processes. This opacity significantly limits their practical utility, particularly in nuanced content moderation tasks. To address this challenge, our research explores leveraging the advanced reasoning and knowledge integration capabilities of state-of-the-art language models, specifically Mistral-7B, to develop transparent hate speech detection systems. We introduce a novel framework wherein large language models (LLMs) generate explicit rationales by identifying and analyzing critical textual features indicative of hate speech. These rationales are subsequently integrated into specialized classifiers designed to perform explainable content moderation. We rigorously evaluate our methodology on multiple benchmark English-language social media datasets. Results demonstrate that incorporating LLM-generated explanations significantly enhances both the interpretability and accuracy of hate speech detection. This approach not only identifies problematic content effectively but also clearly articulates the analytical rationale behind each decision, fulfilling the critical demand for transparency in automated content moderation.</t>
  </si>
  <si>
    <t>MAY 30</t>
  </si>
  <si>
    <t>e2911</t>
  </si>
  <si>
    <t>10.7717/peerj-cs.2911</t>
  </si>
  <si>
    <t>WOS:001517430900001</t>
  </si>
  <si>
    <t>Eljil, KS; Hamouda, E; Nait-Abdesselam, F</t>
  </si>
  <si>
    <t>Eljil, Khouloud Safi; Hamouda, Essia; Nait-Abdesselam, Farid</t>
  </si>
  <si>
    <t>Initial Coin Offerings Success Prediction Using Social Media and Large Language Models</t>
  </si>
  <si>
    <t>token sales; web scraping; sentiment analysis; social media; Bidirectional Encoder Representations from; Transformers (BERT)</t>
  </si>
  <si>
    <t>Coin Offering (ICO) is a fundraising method utilized by blockchain startups to raise capital by issuing and selling digital tokens to investors. ICOs have become widely popular for cryptocurrency fundraising, often generating millions of dollars, and surpassing traditional crowdfunding methods like Initial Public Offerings. However, ICO is a risky way of investing and raising capital due to the lack of regulations and standardisation. In this research, we delve into the impact of social media and sentiment analysis on the success of ICOs, employing various machine learning models and Large Language Models. Our analysis is based on data from over 1,000 ICOs gathered from diverse ICO information platforms, coupled with a corpus of 910,478 tweets associated with these ICOs. We extend our investigation to include other social media platforms such as BitcoinTalk, Telegram, Facebook, and Medium. Our analysis revealed that valuable insights regarding the success of ICOs can be derived by examining text sentiment and investigating metadata across these diverse social media channels.</t>
  </si>
  <si>
    <t>10.12720/jait.16.1.12-20</t>
  </si>
  <si>
    <t>WOS:001417473700002</t>
  </si>
  <si>
    <t>McGrath, MJ; Cooper, PS; Duenser, A</t>
  </si>
  <si>
    <t>McGrath, Melanie J.; Cooper, Patrick S.; Duenser, Andreas</t>
  </si>
  <si>
    <t>Users do not trust recommendations from a large language model more than AI-sourced snippets</t>
  </si>
  <si>
    <t>trust; artificial intelligence; large language models; trust calibration; HCI; generative AI; ChatGPT-3; hallucination</t>
  </si>
  <si>
    <t>AUTOMATION</t>
  </si>
  <si>
    <t>Background The ability of large language models to generate general purpose natural language represents a significant step forward in creating systems able to augment a range of human endeavors. However, concerns have been raised about the potential for misplaced trust in the potentially hallucinatory outputs of these models.Objectives The study reported in this paper is a preliminary exploration of whether trust in the content of output generated by an LLM may be inflated in relation to other forms of ecologically valid, AI-sourced information.Method Participants were presented with a series of general knowledge questions and a recommended answer from an AI-assistant that had either been generated by an ChatGPT-3 or sourced by Google's AI-powered featured snippets function. We also systematically varied whether the AI-assistant's advice was accurate or inaccurate.Results Trust and reliance in LLM-generated recommendations were not significantly higher than that of recommendations from a non-LLM source. While accuracy of the recommendations resulted in a significant reduction in trust, this did not differ significantly by AI-application.Conclusion Using three predefined general knowledge tasks and fixed recommendation sets from the AI-assistant, we did not find evidence that trust in LLM-generated output is artificially inflated, or that people are more likely to miscalibrate their trust in this novel technology than another commonly drawn on form of AI-sourced information.</t>
  </si>
  <si>
    <t>OCT 8</t>
  </si>
  <si>
    <t>10.3389/fcomp.2024.1456098</t>
  </si>
  <si>
    <t>WOS:001337128100001</t>
  </si>
  <si>
    <t>Alipio, M; Bures, M</t>
  </si>
  <si>
    <t>Alipio, Melchizedek; Bures, Miroslav</t>
  </si>
  <si>
    <t>The Role of Large Language Models in Designing Reliable Networks for Internet of Things: A Short Review of Most Recent Developments</t>
  </si>
  <si>
    <t>Internet of Things; Security; Reviews; Artificial intelligence; Real-time systems; Computational modeling; Reliability; Protocols; Adaptation models; Biological system modeling; Large language models; machine learning; network optimization; reliable networks</t>
  </si>
  <si>
    <t>The rapid growth of Internet of Things (IoT) networks has increased the need for intelligent, flexible, and scalable networking solutions. This paper reviews the use of Large Language Models (LLMs) to improving network protocols, automate decision-making, and strengthen security in IoT networks. A detailed analysis was conducted to classify the existing research based on applications, network types, methodologies, and performance metrics. LLMs have been used in network configuration, security monitoring, cyber threat detection, federated learning, and for improving network performance. Their integration with edge computing, 6G networks, and AI-driven network control enables real-time network adjustment, automated troubleshooting, and efficient traffic management. However, challenges such as high computing demands, high energy consumption, security risks, and slow adaptation in dynamic networks still exist. This study identifies emerging trends, including LLM-based self-learning networks, privacy-aware AI training, and hybrid AI models that combine graph-based neural networks, reinforcement learning, and multimodal AI. By reviewing recent research from 2023 to early-2025, this study provides a clear understanding of how LLMs transform the IoT and network management. The discussion highlights future research directions, focusing on decentralized AI frameworks, optimized model training, and AI-driven network automation, with the aim of developing more efficient, secure, and reliable network infrastructures.</t>
  </si>
  <si>
    <t>10.1109/ACCESS.2025.3614246</t>
  </si>
  <si>
    <t>WOS:001586205100003</t>
  </si>
  <si>
    <t>Nikolovski, V; Trajanov, D; Chorbev, I</t>
  </si>
  <si>
    <t>Nikolovski, Vlatko; Trajanov, Dimitar; Chorbev, Ivan</t>
  </si>
  <si>
    <t>Advancing AI in Higher Education: A Comparative Study of Large Language Model-Based Agents for Exam Question Generation, Improvement, and Evaluation</t>
  </si>
  <si>
    <t>large language models; AI in higher education; automated exam question generation; exam question alignment; retrieval-augmented generation; knowledge graphs; explanation quality; domain-limited materials</t>
  </si>
  <si>
    <t>The transformative capabilities of large language models (LLMs) are reshaping educational assessment and question design in higher education. This study proposes a systematic framework for leveraging LLMs to enhance question-centric tasks: aligning exam questions with course objectives, improving clarity and difficulty, and generating new items guided by learning goals. The research spans four university courses-two theory-focused and two application-focused-covering diverse cognitive levels according to Bloom's taxonomy. A balanced dataset ensures representation of question categories and structures. Three LLM-based agents-VectorRAG, VectorGraphRAG, and a fine-tuned LLM-are developed and evaluated against a meta-evaluator, supervised by human experts, to assess alignment accuracy and explanation quality. Robust analytical methods, including mixed-effects modeling, yield actionable insights for integrating generative AI into university assessment processes. Beyond exam-specific applications, this methodology provides a foundational approach for the broader adoption of AI in post-secondary education, emphasizing fairness, contextual relevance, and collaboration. The findings offer a comprehensive framework for aligning AI-generated content with learning objectives, detailing effective integration strategies, and addressing challenges such as bias and contextual limitations. Overall, this work underscores the potential of generative AI to enhance educational assessment while identifying pathways for responsible implementation.</t>
  </si>
  <si>
    <t>MAR 4</t>
  </si>
  <si>
    <t>10.3390/a18030144</t>
  </si>
  <si>
    <t>WOS:001453384200001</t>
  </si>
  <si>
    <t>Woodman, O; Wen, Z; Lu, H; Ren, YW; Zhu, MF; Chen, W</t>
  </si>
  <si>
    <t>Woodman, Ollie; Wen, Zhen; Lu, Hui; Ren, Yiwen; Zhu, Minfeng; Chen, Wei</t>
  </si>
  <si>
    <t>Exploring the neural landscape: Visual analytics of neuron activation in large language models with NeuronautLLM</t>
  </si>
  <si>
    <t>GRAPHICAL MODELS</t>
  </si>
  <si>
    <t>Artificial intelligence; Large language models; Mechanistic interpretability; Data visualization</t>
  </si>
  <si>
    <t>NETWORKS</t>
  </si>
  <si>
    <t>Large language models (LLMs) like those that power OpenAI's ChatGPT and Google's Gemini have played a major part in the recent wave of machine learning and artificial intelligence advancements. However, interpreting LLMs and visualizing their components is extremely difficult due to the incredible scale and high dimensionality of model data. NeuronautLLM introduces a visual analysis system for identifying and visualizing influential neurons in transformer-based language models as they relate to user-defined prompts. Our approach combines simple, yet information-dense visualizations as well as neuron explanation and classification data to provide a wealth of opportunities for exploration. NeuronautLLM was reviewed by two experts to verify its efficacy as a tool for practical model interpretation. Interviews and usability tests with five LLM experts demonstrated NeuronautLLM's exceptional usability and its readiness for real-world application. Furthermore, two in-depth case studies on model reasoning and social bias highlight NeuronautLLM's versatility in aiding the analysis of a wide range of LLM research problems.</t>
  </si>
  <si>
    <t>1524-0703</t>
  </si>
  <si>
    <t>1524-0711</t>
  </si>
  <si>
    <t>10.1016/j.gmod.2024.101238</t>
  </si>
  <si>
    <t>WOS:001340100200001</t>
  </si>
  <si>
    <t>Budakoglu, G; Emekci, H</t>
  </si>
  <si>
    <t>Budakoglu, Gulsum; Emekci, Hakan</t>
  </si>
  <si>
    <t>Unveiling the Power of Large Language Models: A Comparative Study of Retrieval-Augmented Generation, Fine-Tuning, and Their Synergistic Fusion for Enhanced Performance</t>
  </si>
  <si>
    <t>Retrieval augmented generation; Question answering (information retrieval); Adaptation models; Tuning; Hands; Accuracy; Training; Solid modeling; Online services; Large language models; Large language models (LLMs); retrieval-augmented generation (RAG); fine-tuning; hybrid models; performance optimization</t>
  </si>
  <si>
    <t>Large-language model optimization for a particular application is crucial and challenging in natural language processing. This study compares two salient techniques for retrieve-augmented generation (RAG) and fine-tuning along with a new hybrid method that combines both. In this study, we investigate the effectiveness of various methods using the Stanford Question Answering Dataset (SQuAD), Microsoft Machine Reading Comprehension (MS MARCO) and SQL CREATE TABLE statements. RAG is used because it enriches the model responses with external data without much computational load during the inference. Fine-tuning updates the model parameters to improve the contextual accuracy. Our hybrid model balances the accuracy and efficiency of the two techniques. While fine-tuning entails semantic precision, RAG is more resource efficient. The hybrid approach while it may not offer surpassing results over fine-tuning-offers a balanced solution in scenarios where the application demands both efficiency and accuracy. These findings represent the trade-off involved in LLM optimization and offers a scope for further studies and practical applications.</t>
  </si>
  <si>
    <t>10.1109/ACCESS.2025.3542334</t>
  </si>
  <si>
    <t>WOS:001425541100008</t>
  </si>
  <si>
    <t>Martes, DO; Gunderson, E; Neuman, C; Kachouie, NN</t>
  </si>
  <si>
    <t>Ortiz Martes, Dianeliz; Gunderson, Evan; Neuman, Caitlin; Kachouie, Nezamoddin N.</t>
  </si>
  <si>
    <t>Transformer Models for Paraphrase Detection: A Comprehensive Semantic Similarity Study</t>
  </si>
  <si>
    <t>large language models (LLMs); paraphrase identification; performance metrics; semantic similarity; transformer-based models</t>
  </si>
  <si>
    <t>Semantic similarity, the task of determining whether two sentences convey the same meaning, is central to applications such as paraphrase detection, semantic search, and question answering. Despite the widespread adoption of transformer-based models for this task, their performance is influenced by both the choice of similarity measure and BERT (bert-base-nli-mean-tokens), RoBERTa (all-roberta-large-v1), and MPNet (all-mpnet-base-v2) on the Microsoft Research Paraphrase Corpus (MRPC). Sentence embeddings were compared using cosine similarity, dot product, Manhattan distance, and Euclidean distance, with thresholds optimized for accuracy, balanced accuracy, and F1-score. Results indicate a consistent advantage for MPNet, which achieved the highest accuracy (75.6%), balanced accuracy (71.0%), and F1-score (0.836) when paired with cosine similarity at an optimized threshold of 0.671. BERT and RoBERTa performed competitively but exhibited greater sensitivity to the choice of Similarity metric, with BERT notably underperforming when using cosine similarity compared to Manhattan or Euclidean distance. Optimal thresholds varied widely (0.334-0.867), underscoring the difficulty of establishing a single, generalizable cut-off for paraphrase classification. These findings highlight the value of fine-tuning of both Similarity metrics and thresholds alongside model selection, offering practical guidance for designing high-accuracy semantic similarity systems in real-world NLP applications.</t>
  </si>
  <si>
    <t>SEP 14</t>
  </si>
  <si>
    <t>10.3390/computers14090385</t>
  </si>
  <si>
    <t>WOS:001579591300001</t>
  </si>
  <si>
    <t>Karim, MM; Khan, S; Van, DH; Liu, XY; Wang, CH; Qu, Q</t>
  </si>
  <si>
    <t>Karim, Md Monjurul; Khan, Sangeen; Van, Dong Hoang; Liu, Xinyue; Wang, Chunhui; Qu, Qiang</t>
  </si>
  <si>
    <t>Transforming Data Annotation with AI Agents: A Review of Architectures, Reasoning, Applications, and Impact</t>
  </si>
  <si>
    <t>data annotation; AI agents; large language models; adaptive annotation; responsible AI</t>
  </si>
  <si>
    <t>LARGE LANGUAGE MODELS; QUALITY</t>
  </si>
  <si>
    <t>Data annotation serves as a critical foundation for artificial intelligence (AI) and machine learning (ML). Recently, AI agents powered by large language models (LLMs) have emerged as effective solutions to longstanding challenges in data annotation, such as scalability, consistency, cost, and limitations in domain expertise. These agents facilitate intelligent automation and adaptive decision-making, thereby enhancing the efficiency and reliability of annotation workflows across various fields. Despite the growing interest in this area, a systematic understanding of the role and capabilities of AI agents in annotation is still underexplored. This paper seeks to fill that gap by providing a comprehensive review of how LLM-driven agents support advanced reasoning strategies, adaptive learning, and collaborative annotation efforts. We analyze agent architectures, integration patterns within workflows, and evaluation methods, along with real-world applications in sectors such as healthcare, finance, technology, and media. Furthermore, we evaluate current tools and platforms that support agent-based annotation, addressing key challenges such as quality assurance, bias mitigation, transparency, and scalability. Lastly, we outline future research directions, highlighting the importance of federated learning, cross-modal reasoning, and responsible system design to advance the development of next-generation annotation ecosystems.</t>
  </si>
  <si>
    <t>AUG 2</t>
  </si>
  <si>
    <t>10.3390/fi17080353</t>
  </si>
  <si>
    <t>WOS:001558263300001</t>
  </si>
  <si>
    <t>Chung, JB; Kim, T</t>
  </si>
  <si>
    <t>Chung, Ji-Bum; Kim, Taehyun</t>
  </si>
  <si>
    <t>Leveraging Large Language Models for Enhanced Back-Translation: Techniques and Applications</t>
  </si>
  <si>
    <t>Translation; Instruments; Machine translation; Cultural differences; Surveys; Large language models; Vectors; User interfaces; Python; Prevention and mitigation; Artificial intelligence; machine translation; cross-cultural communication</t>
  </si>
  <si>
    <t>Cross-cultural studies are prevalent in academia, yet challenges arise in conducting objective research due to linguistic and cultural disparities. Rigorous international comparative research requires appropriate questionnaires that can be used in all countries, and translation becomes an extremely important process. Brislin's back-translation method is widely recognized, but it usually requires many skilled bilingual translators and is both time-consuming and expensive. This study aims to overcome these limitations by using Large Language Model (LLM) AI technology. We utilized the Application Programming Interfaces (APIs) of well-known commercial LLM models such as ChatGPT3.5, ChatGPT4o, Google-Gemini, and Anthropic-Claude 3. The entire program was built using the Python programming language, and the user interface was built using the Streamlit library. This pilot study's results confirm the feasibility of LLM-assisted back-translation, particularly for complex topics like carbon footprint reduction planning. This represents a significant advance over traditional back-translation methods, offering substantial time and cost savings.</t>
  </si>
  <si>
    <t>10.1109/ACCESS.2025.3557014</t>
  </si>
  <si>
    <t>WOS:001464984900029</t>
  </si>
  <si>
    <t>Shah, C; White, R; Andersen, R; Buscher, G; Counts, S; Das, S; Montazer, A; Manivannan, S; Neville, J; Rangan, N; Safavi, T; Suri, S; Wan, MT; Wang, LJ; Yang, LQ</t>
  </si>
  <si>
    <t>Shah, Chirag; White, Ryen; Andersen, Reid; Buscher, Georg; Counts, Scott; Das, Sarkar; Montazer, Ali; Manivannan, Sathish; Neville, Jennifer; Rangan, Nagu; Safavi, Tara; Suri, Siddharth; Wan, Mengting; Wang, Leijie; Yang, Longqi</t>
  </si>
  <si>
    <t>Using Large Language Models to Generate, Validate, and Apply User Intent Taxonomies</t>
  </si>
  <si>
    <t>ACM TRANSACTIONS ON THE WEB</t>
  </si>
  <si>
    <t>User intents; large language models; taxonomies; log data</t>
  </si>
  <si>
    <t>Understanding user intents in information access scenarios can help us provide more relevant and personalized search results and recommendations. However, analyzing user intents is not easy, especially for emerging forms of Web search such as Artificial Intelligence (AI)-driven chat. To understand user intents from retrospective log data, we need a way to label them with meaningful categories that capture their diversity and dynamics. Existing methods rely on manual or Machine-Learned (ML) labeling, which is either expensive or inflexible for large and dynamic datasets. Large Language Models (LLMs) could generate rich and relevant concepts, descriptions, and examples for user intents using log data of user interactions. However, using LLMs to generate a user intent taxonomy and applying it for a given Information Retrieval (IR) application can be problematic for two main reasons: (1) such a taxonomy is not externally validated; and (2) there may be an undesirable feedback loop if an LLM does both these tasks without external validation. To address this, we propose a new methodology with human experts and assessors to verify the quality of the LLM-generated taxonomy. We also present an end-to-end pipeline that uses an LLM with Human-in-the-Loop (HITL) to produce, refine, and apply labels for user intent analysis in log data. We demonstrate its effectiveness by uncovering new insights into user intents from search and chat logs from the Microsoft Bing Web search engine. The novelty in this research stems from the method for generating purpose-driven user intent taxonomies with strong validation. Our approach not only helps remove methodological and practical bottlenecks from intent-focused research, but also provides a new framework for generating, validating, and applying other kinds of taxonomies in a scalable and adaptable way, with reasonable human effort.</t>
  </si>
  <si>
    <t>1559-1131</t>
  </si>
  <si>
    <t>1559-114X</t>
  </si>
  <si>
    <t>10.1145/3732294</t>
  </si>
  <si>
    <t>WOS:001564658800002</t>
  </si>
  <si>
    <t>Piñeiro-Martín, A; García-Mateo, C; Docío-Fernández, L; López-Pérez, MD</t>
  </si>
  <si>
    <t>Pineiro-Martin, Andres; Garcia-Mateo, Carmen; Docio-Fernandez, Laura; Lopez-Perez, Maria del Carmen</t>
  </si>
  <si>
    <t>Ethical Challenges in the Development of Virtual Assistants Powered by Large Language Models</t>
  </si>
  <si>
    <t>ethical challenges; virtual assistants; Large Language Models; ethical AI; ethical guidelines; data privacy; bias mitigation; public services; AI regulation</t>
  </si>
  <si>
    <t>Virtual assistants (VAs) have gained widespread popularity across a wide range of applications, and the integration of Large Language Models (LLMs), such as ChatGPT, has opened up new possibilities for developing even more sophisticated VAs. However, this integration poses new ethical issues and challenges that must be carefully considered, particularly as these systems are increasingly used in public services: transfer of personal data, decision-making transparency, potential biases, and privacy risks. This paper, an extension of the work presented at IberSPEECH 2022, analyzes the current regulatory framework for AI-based VAs in Europe and delves into ethical issues in depth, examining potential benefits and drawbacks of integrating LLMs with VAs. Based on the analysis, this paper argues that the development and use of VAs powered by LLMs should be guided by a set of ethical principles that prioritize transparency, fairness, and harm prevention. The paper presents specific guidelines for the ethical use and development of this technology, including recommendations for data privacy, bias mitigation, and user control. By implementing these guidelines, the potential benefits of VAs powered by LLMs can be fully realized while minimizing the risks of harm and ensuring that ethical considerations are at the forefront of the development process.</t>
  </si>
  <si>
    <t>10.3390/electronics12143170</t>
  </si>
  <si>
    <t>WOS:001038024600001</t>
  </si>
  <si>
    <t>Wang, YD; Wang, JY; Chu, ZW</t>
  </si>
  <si>
    <t>Wang, Yidan; Wang, Jiayin; Chu, Zhiwei</t>
  </si>
  <si>
    <t>Multi-agent large language models as evolutionary optimizers for scheduling optimization</t>
  </si>
  <si>
    <t>COMPUTERS &amp; INDUSTRIAL ENGINEERING</t>
  </si>
  <si>
    <t>Artificial intelligence; Large language models; Multi-agent systems; Combinatorial optimization; Scheduling problems</t>
  </si>
  <si>
    <t>Scheduling optimization is critical for improving efficiency and resource utilization across industries. However, the complexity of scheduling problems-arising from diverse constraints, intricate task dependencies, and resource conflicts-poses significant challenges. Traditional approaches often require manually designed models and algorithms tailored to specific scenarios, which demand significant domain expertise and limit adaptability in highly complex environments. This paper proposes the Multi-Agent LLMs-driven Evolutionary Framework for Scheduling Optimization (MAEF), a novel approach that addresses these limitations through a feedback-driven iterative optimization process. MAEF employs multiple Large Language Model (LLM) agents, each with specialized roles, to automate tasks such as problem definition, initial population generation, evolutionary optimization, and result evaluation. A key innovation of MAEF is its feedback loop: an evaluation agent continuously assesses intermediate solutions, providing real-time guidance to optimization agents for dynamic refinement and ensuring convergence to high-quality solutions. By integrating natural language processing capabilities with evolutionary strategies, MAEF reduces reliance on domain-specific expertise and manual intervention. Experiments conducted on four representative scheduling problems-Single Machine Scheduling, Flow Shop Scheduling, Job Shop Scheduling, and Resource-Constrained Project Scheduling-demonstrate that MAEF outperforms traditional heuristic and meta-heuristic methods in scalability, user-friendliness, and solution quality. These results highlight MAEF's potential as a generalized, automated optimizer for scheduling problems, offering a significant advancement in scheduling optimization frameworks.</t>
  </si>
  <si>
    <t>0360-8352</t>
  </si>
  <si>
    <t>1879-0550</t>
  </si>
  <si>
    <t>10.1016/j.cie.2025.111197</t>
  </si>
  <si>
    <t>WOS:001496120200001</t>
  </si>
  <si>
    <t>Xi, NM; Ji, HL; Wang, L</t>
  </si>
  <si>
    <t>Xi, Nan Miles; Ji, Hong-Long; Wang, Lin</t>
  </si>
  <si>
    <t>Understanding Sarcoidosis Using Large Language Models and Social Media Data</t>
  </si>
  <si>
    <t>Large language model; Social media; Rare disease; Sarcoidosis; Artificial intelligence; Reddit</t>
  </si>
  <si>
    <t>QUALITY-OF-LIFE; EPIDEMIOLOGY; INFLIXIMAB; NUMBER</t>
  </si>
  <si>
    <t>Sarcoidosis is a rare inflammatory disease characterized by the formation of granulomas in various organs. The disease presents diagnostic and treatment challenges due to its diverse manifestations and unpredictable nature. In this study, we employed a Large Language Model (LLM) to analyze sarcoidosis-related discussions on the social media platform Reddit. Our findings underscore the efficacy of LLMs in accurately identifying sarcoidosis-related content. We discovered a wide array of symptoms reported by patients, with fatigue, swollen lymph nodes, and shortness of breath as the most prevalent. Prednisone was the most prescribed medication, while infliximab showed the highest effectiveness in improving prognoses. Notably, our analysis revealed disparities in prognosis based on age and gender, with women and younger patients experiencing good and polarized outcomes, respectively. Furthermore, unsupervised clustering identified three distinct patient subgroups (phenotypes) with unique symptom profiles, prognostic outcomes, and demographic distributions. Finally, sentiment analysis revealed a moderate negative impact on patients' mental health post-diagnosis, particularly among women and younger individuals. Our study represents the first application of LLMs to understand sarcoidosis through social media data. It contributes to understanding the disease by providing data-driven insights into its manifestations, treatments, prognoses, and impact on patients' lives. Our findings have direct implications for improving personalized treatment strategies and enhancing the quality of care for individuals living with sarcoidosis.</t>
  </si>
  <si>
    <t>2024 NOV 13</t>
  </si>
  <si>
    <t>10.1007/s41666-024-00177-2</t>
  </si>
  <si>
    <t>NOV 2024</t>
  </si>
  <si>
    <t>WOS:001353909400001</t>
  </si>
  <si>
    <t>Zhuang, Y; Wang, FL; Chiu, DKW; Ho, KKW</t>
  </si>
  <si>
    <t>Zhuang, Yong; Wang, Feilong; Chiu, Dickson K. W.; Ho, Kevin K. W.</t>
  </si>
  <si>
    <t>Leveraging large language models to examine the interaction between investor sentiment and stock performance</t>
  </si>
  <si>
    <t>Large language model; Sentiment analysis; Investor sentiment indicator; Vector autoregression model</t>
  </si>
  <si>
    <t>CROSS-SECTION; MEDIA</t>
  </si>
  <si>
    <t>Understanding the relationship between investor sentiment and stock performance is crucial in dynamic financial markets. Existing researches often focus on financial news and stock prices, while studies on investor sentiment typically rely on traditional machine learning models that require extensive data labeling. Additionally, most researches focus on single stock indices, overlooking the impact of brand popularity. To address these gaps, this study proposes a novel framework to analyze the interaction between investor sentiment and stock performance, using Chinese Baijiu industry stocks as a case example. It further explores how brand popularity influences this relationship, offering insights for informed investment decisions through artificial intelligence technology. In this study, we leverage Generative Pre-trained Transformer 4 (GPT-4), a state-of-the-art black-box large language model, to process vast volumes of unstructured text data from stock forums. By employing in-context learning with human-labeled examples, GPT-4 generates weak labels that are subsequently used to fine-tune Large Language Model Meta AI (LLaMA), a smaller and more efficient open-source LLM from Meta AI, thereby enabling sentiment-driven decision-making in real-world scenarios. To construct a comprehensive sentiment indicator, we integrate both direct and indirect factors influencing sentiment and use principal component analysis to combine them effectively. To examine interaction between sentiment and stock yield, we apply the Granger causality test and vector autoregression models across stocks with different brand popularity levels. The results show that our framework achieves state-of-the-art performance investor sentiment analysis. Moreover, with brand popularity significantly amplifying the interaction between investor sentiment and stock yield, it leads to bidirectional Granger causality in highly popular brands.</t>
  </si>
  <si>
    <t>10.1016/j.engappai.2025.110602</t>
  </si>
  <si>
    <t>WOS:001462199100001</t>
  </si>
  <si>
    <t>He, WK; Xiao, YP; Li, T; Wang, R; Li, Q</t>
  </si>
  <si>
    <t>He, Weikang; Xiao, Yunpeng; Li, Tun; Wang, Rong; Li, Qian</t>
  </si>
  <si>
    <t>Towards a foundation model for behavioral intention prediction through multi-source data fusion</t>
  </si>
  <si>
    <t>Behavioral intention prediction; Foundation models; Multi-source data fusion; Pre-trained language models; Low-rank adaptation</t>
  </si>
  <si>
    <t>In recent years, some studies have attempted to build foundation models to predict user behavioral intentions across various scenarios. Existing methods typically involve two steps: first, using Pre-trained Language Models (PLMs) to convert user historical behaviors into semantic vectors; second, capturing latent user intentions through a behavioral sequence encoder. However, limitations still exist in this pipeline. Firstly, most studies directly fix the parameters of PLMs, making it difficult to optimize the generated semantic vectors for specific application scenarios. Even with fine-tuning PLMs considered, the huge model size brings computational burdens. To address this challenge, we introduce a Low-Rank Adaptation technique, which enhances the quality of semantic vectors by training two lightweight low-rank matrices while keeping the original parameters of PLMs frozen. Additionally, the semantic vectors generated by PLMs often exhibit anisotropy, which weakens the expressive power. To address this, we design a parameter whitening expert and a mixed observation expert module to achieve more isotropic semantic representations. Finally, there are significant differences in user behavior patterns across different domains, and such behavioral conflicts can limit the model's generalization ability. Therefore, during the pre-training phase, we introduce multi-domain negative sample fusion and design two contrastive learning tasks. By employing a multi-task learning strategy, we enhance the model's ability to handle multi-domain data. With these improvements, our model achieves stronger adaptability and accuracy in predicting user behavior across different domains.</t>
  </si>
  <si>
    <t>10.1016/j.inffus.2025.103799</t>
  </si>
  <si>
    <t>WOS:001594737300001</t>
  </si>
  <si>
    <t>Papageorgiou, E; Chronis, C; Varlamis, I; Himeur, Y</t>
  </si>
  <si>
    <t>Papageorgiou, Eleftheria; Chronis, Christos; Varlamis, Iraklis; Himeur, Yassine</t>
  </si>
  <si>
    <t>A Survey on the Use of Large Language Models (LLMs) in Fake News</t>
  </si>
  <si>
    <t>fake news; fake profiles; fact-checking; large language models (LLMs); text classification</t>
  </si>
  <si>
    <t>The proliferation of fake news and fake profiles on social media platforms poses significant threats to information integrity and societal trust. Traditional detection methods, including rule-based approaches, metadata analysis, and human fact-checking, have been employed to combat disinformation, but these methods often fall short in the face of increasingly sophisticated fake content. This review article explores the emerging role of Large Language Models (LLMs) in enhancing the detection of fake news and fake profiles. We provide a comprehensive overview of the nature and spread of disinformation, followed by an examination of existing detection methodologies. The article delves into the capabilities of LLMs in generating both fake news and fake profiles, highlighting their dual role as both a tool for disinformation and a powerful means of detection. We discuss the various applications of LLMs in text classification, fact-checking, verification, and contextual analysis, demonstrating how these models surpass traditional methods in accuracy and efficiency. Additionally, the article covers LLM-based detection of fake profiles through profile attribute analysis, network analysis, and behavior pattern recognition. Through comparative analysis, we showcase the advantages of LLMs over conventional techniques and present case studies that illustrate practical applications. Despite their potential, LLMs face challenges such as computational demands and ethical concerns, which we discuss in more detail. The review concludes with future directions for research and development in LLM-based fake news and fake profile detection, underscoring the importance of continued innovation to safeguard the authenticity of online information.</t>
  </si>
  <si>
    <t>10.3390/fi16080298</t>
  </si>
  <si>
    <t>WOS:001305903100001</t>
  </si>
  <si>
    <t>Xu, XM; Li, HX; Guan, ZY; Zeng, D; Zheng, QQ; Qin, YM; Wen, Y; Li, HT; Lim, CT; Wong, TY; Wu, EH; Jia, WP; Sheng, B</t>
  </si>
  <si>
    <t>Xu, Xinming; Li, Haoxuan; Guan, Zhouyu; Zeng, Dian; Zheng, Qingqing; Qin, Yiming; Wen, Yang; Li, Huating; Lim, Chwee Teck; Wong, Tien Yin; Wu, Enhua; Jia, Weiping; Sheng, Bin</t>
  </si>
  <si>
    <t>Urgent needs, opportunities and challenges of virtual reality in healthcare and medicine in the era of large language models</t>
  </si>
  <si>
    <t>VIRTUAL REALITY &amp; INTELLIGENT HARDWARE</t>
  </si>
  <si>
    <t>Large language model; Virtual reality; Healthcare; Medicine</t>
  </si>
  <si>
    <t>TECHNOLOGY; MYOPIA</t>
  </si>
  <si>
    <t>The convergence of large language models (LLMs) and virtual reality (VR) technologies has led to significant breakthroughs across multiple domains, particularly in healthcare and medicine. Owing to its immersive and interactive capabilities, VR technology has demonstrated exceptional utility in surgical simulation, rehabilitation, physical therapy, mental health, and psychological treatment. By creating highly realistic and precisely controlled environments, VR not only enhances the efficiency of medical training but also enables personalized therapeutic approaches for patients. The convergence of LLMs and VR extends the potential of both technologies. LLM-empowered VR can transform medical education through interactive learning platforms and address complex healthcare challenges using comprehensive solutions. This convergence enhances the quality of training, decision-making, and patient engagement, paving the way for innovative healthcare delivery. This study aims to comprehensively review the current applications, research advancements, and challenges associated with these two technologies in healthcare and medicine. The rapid evolution of these technologies is driving the healthcare industry toward greater intelligence and precision, establishing them as critical forces in the transformation of modern medicine.</t>
  </si>
  <si>
    <t>2096-5796</t>
  </si>
  <si>
    <t>2666-1209</t>
  </si>
  <si>
    <t>10.1016/j.vrih.2025.08.001</t>
  </si>
  <si>
    <t>WOS:001621435400001</t>
  </si>
  <si>
    <t>Kreso, A; Jaksic, B; Rada, F; Boban, Z; Batistic, D; Okmazic, D; Veldic, L; Luksic, I; Znaor, L; Glumac, S; Bozic, J; Vrdoljak, J</t>
  </si>
  <si>
    <t>Kreso, Ante; Jaksic, Bosko; Rada, Filip; Boban, Zvonimir; Batistic, Darko; Okmazic, Donald; Veldic, Lara; Luksic, Ivan; Znaor, Ljubo; Glumac, Sandro; Bozic, Josko; Vrdoljak, Josip</t>
  </si>
  <si>
    <t>Can Open-Source Large Language Models Detect Medical Errors in Real-World Ophthalmology Reports?</t>
  </si>
  <si>
    <t>ophthalmology; electronic health records; medical errors; large language models; clinical decision support</t>
  </si>
  <si>
    <t>Accurate documentation is critical in ophthalmology, yet clinical notes often contain subtle errors that can affect decision-making. This study prospectively compared contemporary large language models (LLMs) for detecting clinically salient errors in emergency ophthalmology encounter notes and generating actionable corrections. 129 de-identified notes, each seeded with a predefined target error, were independently audited by four LLMs (o3 (OpenAI, closed-source), DeepSeek-v3-r1 (Deepseek, open-source), MedGemma-27B (Google, open-source), and GPT-4o (OpenAI, closed-source)) using a standardized prompt. Two masked ophthalmologists graded error localization, relevance of additional issues, and overall recommendation quality, with within-case analyses applying appropriate nonparametric tests. Performance varied significantly across models (Cochran's Q = 71.13, p = 2.44 x 10(-15)). o3 achieved the highest error localization accuracy at 95.7% (95% CI, 89.5-98.8), followed by DeepSeek-v3-r1 (90.3%), MedGemma-27b (80.9%), and GPT-4o (53.2%). Ordinal outcomes similarly favored o3 and DeepSeek-v3-r1 (both p &lt; 10(-9) vs. GPT-4o), with mean recommendation quality scores of 3.35, 3.05, 2.54, and 2.11, respectively. These findings demonstrate that LLMs can serve as accurate second-eyes for ophthalmology documentation. A proprietary model led on all metrics, while a strong open-source alternative approached its performance, offering potential for privacy-preserving on-premise deployment. Clinical translation will require oversight, workflow integration, and careful attention to ethical considerations.</t>
  </si>
  <si>
    <t>2673-2688</t>
  </si>
  <si>
    <t>NOV 20</t>
  </si>
  <si>
    <t>10.3390/ai6110297</t>
  </si>
  <si>
    <t>WOS:001625461600001</t>
  </si>
  <si>
    <t>Jamshidi, S; Shahabi, N; Nikanjam, A; Nafi, KW; Khomh, F; Fung, C</t>
  </si>
  <si>
    <t>Jamshidi, Saeid; Shahabi, Negar; Nikanjam, Amin; Nafi, Kawser Wazed; Khomh, Foutse; Fung, Carol</t>
  </si>
  <si>
    <t>The role of Large Language Models in IoT security: A systematic review of advances, challenges, and opportunities</t>
  </si>
  <si>
    <t>INTERNET OF THINGS</t>
  </si>
  <si>
    <t>Security; Large Language Models (LLMs); Cybersecurity; Privacy; Internet of Things</t>
  </si>
  <si>
    <t>The Internet of Things (IoT) has revolutionized digital ecosystems by interconnecting billions of devices across various industries, enabling enhanced automation, real-time monitoring, and data-driven decision-making. However, this expansion has introduced significant security and privacy challenges due to the heterogeneous nature of IoT devices, resource constraints, and the decentralized nature of their architectures. Large Language Models (LLMs) have recently shown promise in improving cybersecurity by enabling automated threat intelligence, anomaly detection, malware classification, and privacy-aware security enforcement. Therefore, this systematic review investigates research published between 2015 and 2025 to examine the intersection of LLMs, IoT security, and privacy. We evaluate state-of-the-art LLM-based security frameworks, highlighting their effectiveness, limitations, and impact on IoT cybersecurity. In addition, this review identifies key research gaps and challenges, providing insight into the scalability, efficiency, and adaptability of LLM-driven security solutions. This work aims to contribute to the advancement of AI-driven IoT security frameworks, supporting the development of resilient and privacy-preserving cybersecurity architectures.</t>
  </si>
  <si>
    <t>2543-1536</t>
  </si>
  <si>
    <t>2542-6605</t>
  </si>
  <si>
    <t>10.1016/j.iot.2025.101735</t>
  </si>
  <si>
    <t>WOS:001564265800001</t>
  </si>
  <si>
    <t>Ahmed, RH; Sultana, J; Zahid, S; Habib, MA; Rauf, A; Hussain, M</t>
  </si>
  <si>
    <t>Ahmed, Rana Hassam; Sultana, Jabeen; Zahid, Samraiz; Habib, Muhammad Asif; Rauf, Abdul; Hussain, Majid</t>
  </si>
  <si>
    <t>Integrating Large Language Models and AI Into Blockchain: A Framework for Intelligent Smart Contracts and Fraud Detection</t>
  </si>
  <si>
    <t>Blockchains; Artificial intelligence; Smart contracts; Fraud; Decision making; Information systems; Biological system modeling; Security; Synchronization; Scalability; Blockchain; artificial intelligence; large language models; smart contracts; data synchronisation; fraud detection</t>
  </si>
  <si>
    <t>The convergence of Artificial Intelligence (AI) and Large Language Models (LLMs) with blockchain technology is transforming information systems by enhancing their efficiency, security, and decision-making capabilities. This research explores the integration of AI and LLMs, such as GPT and BERT, into blockchain-based information systems to address challenges related to data integrity, transaction processing, and smart contract automation. A layered architecture is proposed, comprising an AI-powered query engine, an LLM-enhanced decision-making layer, and a data synchronisation module bridging on-chain and off-chain environments. The system evaluation highlights significant improvements in transaction efficiency, query accuracy, energy savings, and detection rates of security threats. Experimental results demonstrate a 32% reduction in transaction latency, a 20.5% increase in fraud detection accuracy, and a 23% reduction in energy consumption. These findings underscore the viability of integrating AI and LLMs with blockchain technology for developing intelligent, secure, and scalable information systems.</t>
  </si>
  <si>
    <t>10.1109/ACCESS.2025.3622511</t>
  </si>
  <si>
    <t>WOS:001600763000009</t>
  </si>
  <si>
    <t>Liu, SR; Mccoy, AB; Wright, A</t>
  </si>
  <si>
    <t>Liu, Siru; Mccoy, Allison B.; Wright, Adam</t>
  </si>
  <si>
    <t>Improving large language model applications in biomedicine with retrieval-augmented generation: a systematic review, meta-analysis, and clinical development guidelines</t>
  </si>
  <si>
    <t>large language model; retrieval augmented generation; systematic review; meta-analysis</t>
  </si>
  <si>
    <t>BIAS</t>
  </si>
  <si>
    <t>Objective The objectives of this study are to synthesize findings from recent research of retrieval-augmented generation (RAG) and large language models (LLMs) in biomedicine and provide clinical development guidelines to improve effectiveness.Materials and Methods We conducted a systematic literature review and a meta-analysis. The report was created in adherence to the Preferred Reporting Items for Systematic Reviews and Meta-Analyses 2020 analysis. Searches were performed in 3 databases (PubMed, Embase, PsycINFO) using terms related to retrieval augmented generation and large language model, for articles published in 2023 and 2024. We selected studies that compared baseline LLM performance with RAG performance. We developed a random-effect meta-analysis model, using odds ratio as the effect size.Results Among 335 studies, 20 were included in this literature review. The pooled effect size was 1.35, with a 95% confidence interval of 1.19-1.53, indicating a statistically significant effect (P = .001). We reported clinical tasks, baseline LLMs, retrieval sources and strategies, as well as evaluation methods.Discussion Building on our literature review, we developed Guidelines for Unified Implementation and Development of Enhanced LLM Applications with RAG in Clinical Settings to inform clinical applications using RAG.Conclusion Overall, RAG implementation showed a 1.35 odds ratio increase in performance compared to baseline LLMs. Future research should focus on (1) system-level enhancement: the combination of RAG and agent, (2) knowledge-level enhancement: deep integration of knowledge into LLM, and (3) integration-level enhancement: integrating RAG systems within electronic health records.</t>
  </si>
  <si>
    <t>10.1093/jamia/ocaf008</t>
  </si>
  <si>
    <t>WOS:001397348500001</t>
  </si>
  <si>
    <t>Alkalbani, AM; Alrawahi, AS; Salah, A; Haghighi, V; Zhang, Y; Alkindi, S; Sheng, QZ</t>
  </si>
  <si>
    <t>Alkalbani, Asma Musabah; Alrawahi, Ahmed Salim; Salah, Ahmad; Haghighi, Venus; Zhang, Yang; Alkindi, Salam; Sheng, Quan Z.</t>
  </si>
  <si>
    <t>A Systematic Review of Large Language Models in Medical Specialties: Applications, Challenges and Future Directions</t>
  </si>
  <si>
    <t>artificial intelligence; clinical decision support systems; large language models; clinical natural language processing; medical specialties</t>
  </si>
  <si>
    <t>PERFORMANCE</t>
  </si>
  <si>
    <t>This systematic review evaluates recent literature from January 2021 to March 2024 on large language model (LLM) applications across diverse medical specialties. Searching PubMed, Web of Science, and Scopus, we included 84 studies. LLMs were applied to tasks such as clinical natural language processing, medical decision support, education, and aiding diagnostic processes. While studies reported benefits such as improved efficiency and, in some specific NLP tasks, high accuracy above 90%, significant challenges persist concerning reliability, ethical implications, and performance consistency, with accuracy in broader diagnostic support applications showing substantial variability, with some as low as 3%. The overall risk of bias in the reviewed literature was considerably low in 72 studies. Key findings highlight a substantial heterogeneity in LLM performance across different medical tasks and contexts, preventing meta-analysis due to a lack of standardized methodologies. Future efforts should prioritize developing domain-specific LLMs using robust medical data and establishing rigorous validation standards to ensure their safe and effective clinical integration. Trial registration: PROSPERO (CRD42024561381).</t>
  </si>
  <si>
    <t>JUN 12</t>
  </si>
  <si>
    <t>10.3390/info16060489</t>
  </si>
  <si>
    <t>WOS:001515752000001</t>
  </si>
  <si>
    <t>Luitse, D; Denkena, W</t>
  </si>
  <si>
    <t>Luitse, Dieuwertje; Denkena, Wiebke</t>
  </si>
  <si>
    <t>The great transformer: Examining the role of large language models in the political economy of AI</t>
  </si>
  <si>
    <t>Artificial intelligence; algorithmic techniques; Transformer; large language models; monopolization; platforms</t>
  </si>
  <si>
    <t>PLATFORMIZATION</t>
  </si>
  <si>
    <t>In recent years, AI research has become more and more computationally demanding. In natural language processing (NLP), this tendency is reflected in the emergence of large language models (LLMs) like GPT-3. These powerful neural network-based models can be used for a range of NLP tasks and their language generation capacities have become so sophisticated that it can be very difficult to distinguish their outputs from human language. LLMs have raised concerns over their demonstrable biases, heavy environmental footprints, and future social ramifications. In December 2020, critical research on LLMs led Google to fire Timnit Gebru, co-lead of the company's AI Ethics team, which sparked a major public controversy around LLMs and the growing corporate influence over AI research. This article explores the role LLMs play in the political economy of AI as infrastructural components for AI research and development. Retracing the technical developments that have led to the emergence of LLMs, we point out how they are intertwined with the business model of big tech companies and further shift power relations in their favour. This becomes visible through the Transformer, which is the underlying architecture of most LLMs today and started the race for ever bigger models when it was introduced by Google in 2017. Using the example of GPT-3, we shed light on recent corporate efforts to commodify LLMs through paid API access and exclusive licensing, raising questions around monopolization and dependency in a field that is increasingly divided by access to large-scale computing power.</t>
  </si>
  <si>
    <t>10.1177/20539517211047734</t>
  </si>
  <si>
    <t>WOS:000703777500001</t>
  </si>
  <si>
    <t>Bernardi, ML; Casciani, A; Cimitile, M; Marrella, A</t>
  </si>
  <si>
    <t>Bernardi, Mario Luca; Casciani, Angelo; Cimitile, Marta; Marrella, Andrea</t>
  </si>
  <si>
    <t>Conversing with business process-aware large language models: the BPLLM framework</t>
  </si>
  <si>
    <t>JOURNAL OF INTELLIGENT INFORMATION SYSTEMS</t>
  </si>
  <si>
    <t>Business process; Decision support systems; LLM; RAG</t>
  </si>
  <si>
    <t>Traditionally, process-aware Decision Support Systems (DSSs) have been enhanced with AI functionalities to facilitate quick and informed decision-making. In this context, AI-Augmented Business Process Management Systems have emerged as innovative human-centric information systems, blending flexibility, autonomy, and conversational capability. Large Language Models (LLMs) have significantly boosted such systems, showcasing remarkable natural language processing capabilities across various tasks. Despite the potential of LLMs to support human decisions in business contexts, empirical validations of their effectiveness for process-aware decision support are scarce in the literature. In this paper, we propose the Business Process Large Language Model (BPLLM) framework, a novel approach for enacting actionable conversations with human workers. BPLLM couples Retrieval-Augmented Generation with fine-tuning, to enrich process-specific knowledge. Additionally, a process-aware chunking approach is incorporated to enhance the BPLLM pipeline. We evaluated the approach in various experimental scenarios to assess its ability to generate accurate and contextually relevant answers to users' questions. The empirical study shows the promising performance of the framework in identifying the presence of particular activities and sequence flows within the considered process model, offering insights into its potential for enhancing process-aware DSSs.</t>
  </si>
  <si>
    <t>0925-9902</t>
  </si>
  <si>
    <t>1573-7675</t>
  </si>
  <si>
    <t>10.1007/s10844-024-00898-1</t>
  </si>
  <si>
    <t>WOS:001326005300003</t>
  </si>
  <si>
    <t>Brohi, S; Mastoi, QU; Jhanjhi, NZ; Pillai, TR</t>
  </si>
  <si>
    <t>Brohi, Sarfraz; Mastoi, Qurat-ul-ain; Jhanjhi, N. Z.; Pillai, Thulasyammal Ramiah</t>
  </si>
  <si>
    <t>A Research Landscape of Agentic AI and Large Language Models: Applications, Challenges and Future Directions</t>
  </si>
  <si>
    <t>Agentic AI; large language models (LLMs); GPT-4o; DeepSeek-R1; technical, legal, and ethical challenges; future Agentic AI research; multi-agent systems; next-generation AI</t>
  </si>
  <si>
    <t>Agentic AI and Large Language Models (LLMs) are transforming how language is understood and generated while reshaping decision-making, automation, and research practices. LLMs provide underlying reasoning capabilities, and Agentic AI systems use them to perform tasks through interactions with external tools, services, and Application Programming Interfaces (APIs). Based on a structured scoping review and thematic analysis, this study identifies that core challenges of LLMs, relating to security, privacy and trust, misinformation, misuse and bias, energy consumption, transparency and explainability, and value alignment, can propagate into Agentic AI. Beyond these inherited concerns, Agentic AI introduces new challenges, including context management, security, privacy and trust, goal misalignment, opaque decision-making, limited human oversight, multi-agent coordination, ethical and legal accountability, and long-term safety. We analyse the applications of Agentic AI powered by LLMs across six domains: education, healthcare, cybersecurity, autonomous vehicles, e-commerce, and customer service, to reveal their real-world impact. Furthermore, we demonstrate some LLM limitations using DeepSeek-R1 and GPT-4o. To the best of our knowledge, this is the first comprehensive study to integrate the challenges and applications of LLMs and Agentic AI within a single forward-looking research landscape that promotes interdisciplinary research and responsible advancement of this emerging field.</t>
  </si>
  <si>
    <t>AUG 11</t>
  </si>
  <si>
    <t>10.3390/a18080499</t>
  </si>
  <si>
    <t>WOS:001557176700001</t>
  </si>
  <si>
    <t>Yang, X; Dai, HX; Wu, ZH; Bist, RB; Subedi, S; Sun, J; Lu, GY; Li, CY; Liu, TM; Chai, LL</t>
  </si>
  <si>
    <t>Yang, Xiao; Dai, Haixing; Wu, Zihao; Bist, Ramesh Bahadur; Subedi, Sachin; Sun, Jin; Lu, Guoyu; Li, Changying; Liu, Tianming; Chai, Lilong</t>
  </si>
  <si>
    <t>An innovative segment anything model for precision poultry monitoring</t>
  </si>
  <si>
    <t>Visual Foundation Model; Segmentation; Precision Poultry Farming; Machine vision</t>
  </si>
  <si>
    <t>WEIGHT; PREDICTION; CHICKENS; BEHAVIOR; WELFARE</t>
  </si>
  <si>
    <t>In recent years, artificial intelligence (AI) advancements have greatly influenced the agricultural industry, particularly with the emergence of large foundation models. One such model, the Segment Anything Model (SAM) developed by Meta AI Research, has revolutionized object segmentation tasks. While SAM has demonstrated success in various agricultural applications, its potential in the poultry industry, specifically regarding cage-free hens, remains largely unexplored. This study aims to evaluate SAM's zero-shot segmentation performance for chicken segmentation tasks, including part-based segmentation and the utilization of infrared thermal images. Additionally, it investigates SAM's ability to predict weight and track chickens. The results highlight SAM's superior performance compared to SegFormer and SETR for both whole and part-based chicken segmentation. SAM demonstrated remarkable performance improvements, achieving a mean intersection of union (mIoU) of 94.8% when using the total points prompts. Furthermore, SAM-based chicken segmentation provides valuable insights into weight prediction, as well as behavior and movement patterns of broiler birds. These findings contribute to the understanding of SAM's potential in poultry science, paving the way for future advancements in chicken segmentation and tracking using large foundation model.</t>
  </si>
  <si>
    <t>10.1016/j.compag.2024.109045</t>
  </si>
  <si>
    <t>WOS:001292290700001</t>
  </si>
  <si>
    <t>Longo, CF; Mongiovì, M; Bulla, L; Lieto, A</t>
  </si>
  <si>
    <t>Longo, Carmelo Fabio; Mongiovi, Misael; Bulla, Luana; Lieto, Antonio</t>
  </si>
  <si>
    <t>Eliciting metaknowledge in Large Language Models</t>
  </si>
  <si>
    <t>COGNITIVE SYSTEMS RESEARCH</t>
  </si>
  <si>
    <t>Artificial Intelligence; Natural Language Processing; Question answering; Large Language Models; Meta-knowledge</t>
  </si>
  <si>
    <t>The introduction of Large Language Models (LLMs) able to exhibit a number of linguistic and extra-linguistic capabilities has represented, in the last years, one of the main frontiers in Artificial Intelligence (AI) research. Researcher from various disciplines debate about whether or not, among the capabilities of LLMs, there is the one of using knowledge about knowledge-usually considered one of the antechambers of meta-cognition in cognitive agents-about a particular task in order to improve or self-correct previous errors. In this work we propose a novel fine-tuning approach for LLMs, named EXAR, based on a multi-stage process leveraging past predictions from an early version of the same, and aimed at injecting metacognitive features for the task of Question-Answering. The conducted experiments on LLAMA-2-7B-CHAT showed promising improvements on the quality of the outcomes, due to the fact that the LLM acquired the ability to detect its own wrong predictions forcing itself to repeat submissions, thorough a prompt designed to fix inadmissible predictions, whenever detected. Such detection is achieved by enquiring the same LLM acting as meta-validator, through another prompt specifically designed for such purpose.</t>
  </si>
  <si>
    <t>2214-4366</t>
  </si>
  <si>
    <t>1389-0417</t>
  </si>
  <si>
    <t>10.1016/j.cogsys.2025.101352</t>
  </si>
  <si>
    <t>Computer Science; Neurosciences &amp; Neurology; Psychology</t>
  </si>
  <si>
    <t>WOS:001463263300001</t>
  </si>
  <si>
    <t>Fulman, N; Memduhoglu, A; Zipf, A</t>
  </si>
  <si>
    <t>Fulman, Nir; Memduhoglu, Abdulkadir; Zipf, Alexander</t>
  </si>
  <si>
    <t>Utilizing large language models to simulate parking search</t>
  </si>
  <si>
    <t>TRANSPORTATION RESEARCH PART A-POLICY AND PRACTICE</t>
  </si>
  <si>
    <t>Parking search; Large Language Models (LLMs); Stated preference; Serious game; Decision-making simulation</t>
  </si>
  <si>
    <t>CHOICE; LOCATION; AVAILABILITY; PRICES; TIMES</t>
  </si>
  <si>
    <t>This study explores the capability of Large Language Models (LLMs) to mimic general economic decision-making patterns relevant to parking choices. We conducted two series of experiments. In the first, a LLM acted as a survey participant, choosing between parking options based on attributes and sociodemographic profiles, which we term Personas. The model's choices aligned with findings from parking behavior literature, consistently selecting lower-cost parking options while minimizing walking distances and search times, demonstrating utility-maximizing decisionmaking. Additionally, its responses revealed a willingness to trade off between price and time savings, reflecting diminishing marginal utility and an increased willingness to pay among higherincome Personas. The model also exhibited trends not well-documented, such as older Personas' heightened sensitivity to reduced walking distances. In the second series of experiments, the model engaged in a dynamic decision-making scenario that emulated a serious game, continuously making decisions under uncertainty regarding expected cruising time. The model exhibited myopia and risk attitudes similar to those of humans in comparable experiments, with heightened risk aversion in older Personas. Our experiments highlight the potential of LLMs to emulate hypothetical scenarios across diverse populations, geographical settings, and policy and technological innovations. We outline a pathway toward leveraging LLMs as tools to support and complement human participants in the design of behavioral studies.</t>
  </si>
  <si>
    <t>0965-8564</t>
  </si>
  <si>
    <t>1879-2375</t>
  </si>
  <si>
    <t>10.1016/j.tra.2025.104542</t>
  </si>
  <si>
    <t>WOS:001509846600001</t>
  </si>
  <si>
    <t>Park, D; An, GT; Kamyod, C; Kim, CG</t>
  </si>
  <si>
    <t>Park, Daeseung; An, Gi-taek; Kamyod, Chayapol; Kim, Cheong Ghil</t>
  </si>
  <si>
    <t>A Study on Performance Improvement of Prompt Engineering for Generative AI with a Large Language Model</t>
  </si>
  <si>
    <t>JOURNAL OF WEB ENGINEERING</t>
  </si>
  <si>
    <t>AI; large language model; generative AI; few-shot learning; prompt engineering; AI Chatbot.</t>
  </si>
  <si>
    <t>In the realm of Generative AI, where various models are introduced, prompt engineering emerges as a significant technique within natural language processing-based Generative AI. Its primary function lies in effectively enhancing the results of sentence generation by large language models (LLMs). Notably, prompt engineering has gained attention as a method capable of improving LLM performance by modifying the structure of input prompts alone. In this study, we apply prompt engineering to Korean-based LLMs, presenting an efficient approach for generating specific conversational responses with less data. We achieve this through the utilization of the query transformation module (QTM). Our proposed QTM transforms input prompt sentences into three distinct query methods, breaking them down into objectives and key points, making them more comprehensible for LLMs. For performance validation, we employ Korean versions of LLMs, specifically SKT GPT-2 and Kakaobrain KoGPT-3. We compare four different query methods, including the original unmodified query, using Google SSA to assess the naturalness and specificity of generated sentences. The results demonstrate an average improvement of 11.46% when compared to the unmodified query, underscoring the efficacy of the proposed QTM in achieving enhanced performance.</t>
  </si>
  <si>
    <t>1540-9589</t>
  </si>
  <si>
    <t>1544-5976</t>
  </si>
  <si>
    <t>10.13052/jwe1540-9589.2285</t>
  </si>
  <si>
    <t>WOS:001183552300005</t>
  </si>
  <si>
    <t>Saha, HN; Bhattacharya, DC; Dutta, S; Bera, A; Basuray, S; Changdar, S; Banerjee, S; Turdiev, J</t>
  </si>
  <si>
    <t>Saha, Himadri Nath; Bhattacharya, Dipanwita Chakraborty; Dutta, Sancharita; Bera, Arnab; Basuray, Srutorshi; Changdar, Satyasaran; Banerjee, Saptarshi; Turdiev, Jon</t>
  </si>
  <si>
    <t>Transforming Healthcare with State-of-the-Art Medical-LLMs: A Comprehensive Evaluation of Current Advances Using Benchmarking Framework</t>
  </si>
  <si>
    <t>Medical large language models (Med-LLM); AI in healthcare; natural language processing (NLP) in medicine; fine-tuning medical LLMs; retrieval-augmented generation (RAG) in medicine; multi-modal learning in healthcare; explainability and transparency in medical AI; FDA regulations for AI in medicine; evaluation and benchmarking of medical large language models</t>
  </si>
  <si>
    <t>SYSTEM</t>
  </si>
  <si>
    <t>The emergence of Medical Large Language Models has significantly transformed healthcare. Medical Large Language Models (Med-LLMs) serve as transformative tools that enhance clinical practice through applications in decision support, documentation, and diagnostics. This evaluation examines the performance of leading Med-LLMs, including GPT-4Med, Med-PaLM, MEDITRON, PubMedGPT, and MedAlpaca, across diverse medical datasets. It provides graphical comparisons of their effectiveness in distinct healthcare domains. The study introduces a domain-specific categorization system that aligns these models with optimal applications in clinical decision-making, documentation, drug discovery, research, patient interaction, and public health. The paper addresses deployment challenges of Medical-LLMs, emphasizing trustworthiness and explainability as essential requirements for healthcare AI. It presents current evaluation techniques that improve model transparency in high-stakes medical contexts and analyzes regulatory frameworks using benchmarking datasets such as MedQA, MedMCQA, PubMedQA, and MIMIC. By identifying ongoing challenges in bias mitigation, reliability, and ethical compliance, this work serves as a resource for selecting appropriate Med-LLMs and outlines future directions in the field. This analysis offers a roadmap for developing Med-LLMs that balance technological innovation with the trust and transparency required for clinical integration, a perspective often overlooked in existing literature.</t>
  </si>
  <si>
    <t>10.32604/cmc.2025.070507</t>
  </si>
  <si>
    <t>WOS:001643045300001</t>
  </si>
  <si>
    <t>Liu, CX; Hettige, KH; Xu, QX; Long, C; Xiang, SL; Cong, G; Li, ZY; Zhao, R</t>
  </si>
  <si>
    <t>Liu, Chenxi; Hettige, Kethmi Hirushini; Xu, Qianxiong; Long, Cheng; Xiang, Shili; Cong, Gao; Li, Ziyue; Zhao, Rui</t>
  </si>
  <si>
    <t>ST-LLM plus : Graph Enhanced Spatio-Temporal Large Language Models for Traffic Prediction</t>
  </si>
  <si>
    <t>Time series analysis; Predictive models; Forecasting; Large language models; Adaptation models; Data models; Computational modeling; Training; Electronic mail; Attention mechanisms; Traffic prediction; large language models; spatio-temporal data</t>
  </si>
  <si>
    <t>Traffic prediction is a crucial component of data management systems, leveraging historical data to learn spatio-temporal dynamics for forecasting future traffic and enabling efficient decision-making and resource allocation. Despite efforts to develop increasingly complex architectures, existing traffic prediction models often struggle to generalize across diverse datasets and contexts, limiting their adaptability in real-world applications. In contrast to existing traffic prediction models, large language models (LLMs) progress mainly through parameter expansion and extensive pre-training while maintaining their fundamental structures. In this paper, we propose ST-LLM+, the graph enhanced spatio-temporal large language models for traffic prediction. Through incorporating a proximity-based adjacency matrix derived from the traffic network into the calibrated LLMs, ST-LLM+ captures complex spatio-temporal dependencies within the traffic network. The Partially Frozen Graph Attention (PFGA) module is designed to retain global dependencies learned during LLMs pre-training while modeling localized dependencies specific to the traffic domain. To reduce computational overhead, ST-LLM+ adopts the LoRA-augmented training strategy, allowing attention layers to be fine-tuned with fewer learnable parameters. Comprehensive experiments on real-world traffic datasets demonstrate that ST-LLM+ outperforms state-of-the-art models. In particular, ST-LLM+ also exhibits robust performance in both few-shot and zero-shot prediction scenarios. Additionally, our case study demonstrates that ST-LLM+ captures global and localized dependencies between stations, verifying its effectiveness for traffic prediction tasks.</t>
  </si>
  <si>
    <t>10.1109/TKDE.2025.3570705</t>
  </si>
  <si>
    <t>WOS:001525525600026</t>
  </si>
  <si>
    <t>Waga, A; Benhlima, S; Bekri, A; Abdouni, J; Saber, FZ</t>
  </si>
  <si>
    <t>Waga, Abderrahim; Benhlima, Said; Bekri, Ali; Abdouni, Jawad; Saber, Fatima Zahrae</t>
  </si>
  <si>
    <t>A survey on autonomous navigation for mobile robots: From traditional techniques to deep learning and large language models</t>
  </si>
  <si>
    <t>JOURNAL OF KING SAUD UNIVERSITY COMPUTER AND INFORMATION SCIENCES</t>
  </si>
  <si>
    <t>Autonomous mobile robot navigation; Path planning algorithms; Deep reinforcement learning; Metaheuristic optimization; Large language models in robotics</t>
  </si>
  <si>
    <t>DYNAMIC WINDOW APPROACH; PATH; ALGORITHM; OPTIMIZATION; NETWORK</t>
  </si>
  <si>
    <t>Autonomous navigation is a cornerstone of modern robotic systems. This review provides a comprehensive analysis of the landscape of obstacle avoidance and path planning techniques for mobile robots. We categorize and evaluate a range of approaches, beginning with traditional graph-based methods such as A* and Dijkstra, and geometric techniques like Voronoi diagrams and cell decomposition. The review extends to modern metaheuristic algorithms, including genetic algorithms (GA), particle swarm optimization (PSO), and ant colony optimization (ACO). Furthermore, we explore hybrid models that integrate traditional methods with machine learning, such as reinforcement learning (RL) and neural networks (NN). These hybrid approaches aim to address specific challenges, including escaping local minima and enabling real-time decision-making in uncertain environments. A significant focus is placed on the emerging role of Large Language Models (LLMs), analyzing their application in translating natural language commands into navigational actions and improving human-robot interaction. This work critically analyzes the trade-offs of each paradigm-including computational efficiency, scalability, and adaptability across these diverse methods. Finally, this review outlines emerging trends and open challenges, highlighting potential research directions in collaborative robotics, multi-agent systems, and the broader field of mobile robot navigation.</t>
  </si>
  <si>
    <t>1319-1578</t>
  </si>
  <si>
    <t>2213-1248</t>
  </si>
  <si>
    <t>AUG 21</t>
  </si>
  <si>
    <t>10.1007/s44443-025-00216-x</t>
  </si>
  <si>
    <t>WOS:001556650200002</t>
  </si>
  <si>
    <t>Kim, S; Priluck, R</t>
  </si>
  <si>
    <t>Kim, Soyoung; Priluck, Randi</t>
  </si>
  <si>
    <t>Consumer Responses to Generative AI Chatbots Versus Search Engines for Product Evaluation</t>
  </si>
  <si>
    <t>AI chatbot; large language model; traditional search engine; familiarity; consumer product search preference; self-disclosure</t>
  </si>
  <si>
    <t>BRAND RELATIONSHIP QUALITY; SINGLE-ITEM MEASURES; PERSUASION KNOWLEDGE; INFORMATION; FAMILIARITY; DISCLOSURE; EXPOSURE; EXPERIENCE; PREFERENCE; BEHAVIOR</t>
  </si>
  <si>
    <t>This research examines differences in consumer responses to large language model AI chatbots versus search engines when reviewing and evaluating product information in the information search stage of the purchase decision process. Building on the mere exposure effect, the consumer-brand relationships literature, and consumer decision-making research, this research investigates consumer search preferences and self-disclosure willingness along with a psychological mechanism. We conducted an experiment comparing two types of product search tools and tested a moderated mediation using Process Model 15. The findings suggest that consumers prefer search engines over AI chatbots and are more willing to self-disclose their personal information to search engines (vs. AI chatbots) due to perceived familiarity. However, we find that the quality of consumers' relationship with the source of information moderates this effect. Further, we show that consumers evaluate AI chatbot-based results as less biased than traditional search engine results. Contrary to previous research that has mainly focused on AI chatbots' functional aspects in consumer adoption, the current research emphasizes the psychological and relational aspects of product search perception and preference. In this way, we offer novel insights into a purchase decision-making process and consumer engagement as consumers adopt AI chatbot technology for product search.</t>
  </si>
  <si>
    <t>MAY 5</t>
  </si>
  <si>
    <t>10.3390/jtaer20020093</t>
  </si>
  <si>
    <t>WOS:001516772000001</t>
  </si>
  <si>
    <t>Pack, A; Barrett, A; Escalante, J</t>
  </si>
  <si>
    <t>Pack, Austin; Barrett, Alex; Escalante, Juan</t>
  </si>
  <si>
    <t>Large language models and automated essay scoring of English language learner writing: Insights into validity and reliability</t>
  </si>
  <si>
    <t>COMPUTERS AND EDUCATION: ARTIFICIAL INTELLIGENCE</t>
  </si>
  <si>
    <t>Automatic writing evaluation; Automatic essay scoring; Artificial intelligence; Generative AI; Large language model; ChatGPT</t>
  </si>
  <si>
    <t>Advancements in generative AI, such as large language models (LLMs), may serve as a potential solution to the burdensome task of essay grading often faced by language education teachers. Yet, the validity and reliability of leveraging LLMs for automatic essay scoring (AES) in language education is not well understood. To address this, we evaluated the cross-sectional and longitudinal validity and reliability of four prominent LLMs, Google's PaLM 2, Anthropic's Claude 2, and OpenAI's GPT-3.5 and GPT-4, for the AES of English language learners' writing. 119 essays taken from an English language placement test were assessed twice by each LLM, on two separate occasions, as well as by a pair of human raters. GPT-4 performed the best, demonstrating excellent intrarater reliability and good validity. All models, with the exception of GPT-3.5, improved over time in their intrarater reliability. The interrater reliability of GPT-3.5 and GPT-4, however, decreased slightly over time. These findings indicate that some models perform better than others in AES and that all models are subject to fluctuations in their performance. We discuss potential reasons for such variability, and offer suggestions for prospective avenues of research.</t>
  </si>
  <si>
    <t>2666-920X</t>
  </si>
  <si>
    <t>10.1016/j.caeai.2024.100234</t>
  </si>
  <si>
    <t>Computer Science; Education &amp; Educational Research</t>
  </si>
  <si>
    <t>WOS:001651770700024</t>
  </si>
  <si>
    <t>Ben Yaala, S; Bouallegue, R</t>
  </si>
  <si>
    <t>Ben Yaala, Sahar; Bouallegue, Ridha</t>
  </si>
  <si>
    <t>Vulnerability Detection in Large Language Models: Addressing Security Concerns</t>
  </si>
  <si>
    <t>JOURNAL OF CYBERSECURITY AND PRIVACY</t>
  </si>
  <si>
    <t>LLMs; security; vulnerabilities; prompts; threats</t>
  </si>
  <si>
    <t>Large language models (LLMs) have become essential in various use cases, such as code generation, reasoning, or translation. Applications vary from language understanding to decision making. Despite this rapid evolution, significant concerns appear regarding the security of these models and the vulnerabilities they present. In this research, we present an overview of the common LLM models, and their design components and architectures. Moreover, we present their domains of applications. Following that, we present the main security concerns associated with LLMs as defined in different security referentials and standards such as OWASP, MITRE, and NIST. Moreover, we present prior research that focuses on the security concerns in LLMs. Finally, we conduct a comparative study of the performance and robustness of several models against various attack scenarios. We highlight the behavior differences of these models, which prove the importance of giving more attention for the security aspect when using or designing LLMs.</t>
  </si>
  <si>
    <t>2624-800X</t>
  </si>
  <si>
    <t>SEP 7</t>
  </si>
  <si>
    <t>10.3390/jcp5030071</t>
  </si>
  <si>
    <t>WOS:001580184900001</t>
  </si>
  <si>
    <t>Wu, ZH; Chu, JZ; Xiao, Y; Kumar, S; Feng, J; Wu, JMT; Pei, QQ</t>
  </si>
  <si>
    <t>Wu, Zhihui; Chu, Jinzhao; Xiao, Yang; Kumar, Sachin; Feng, Jie; Wu, Jimmy Ming-Tai; Pei, Qingqi</t>
  </si>
  <si>
    <t>A sustainable urban optimization framework driven by a large language model based on multi-party trusted collaboration</t>
  </si>
  <si>
    <t>Sustainable cities; Large language models; Multi-party trusted collaboration; Verifiable computing; Multi-party homomorphic encryption</t>
  </si>
  <si>
    <t>COMPUTATION</t>
  </si>
  <si>
    <t>Multi-party data fusion and cross-institutional collaboration can empower large language models (LLMs) to unlock their full potential in sustainable urban data analytics. However, this approach faces critical challenges, including data privacy concerns and a lack of trust among stakeholders. While homomorphic encryption addresses privacy preservation by enabling computations on encrypted data, its inherent cryptographic properties hinder public verification of both the computation process and results, thereby exacerbating trust deficits between collaborating parties and data consumers. To tackle these issues, this paper proposes a large language model-driven urban optimization framework based on multi-party trusted collaboration, which enhances trust in weakly trusted environments and improves LLM performance in urban decision-making. Our framework introduces a publicly verifiable computation protocol based on multi-party homomorphic encryption, which can verify the correctness of ciphertext-based computations while protecting data privacy. This protocol ensures transparent validation of both computational workflows and outputs, establishing trust in multi-party interactions without exposing sensitive information. After completing the joint computation, the encrypted parameter set is decrypted and converted into structured descriptive text using predefined templates, which serves as input to LLMs for urban scenario analysis. Judging from the experimental results, compared to a single data source, the RMSE of this scheme is reduced by 66.25 %, indicating that this scheme can effectively improve the prediction accuracy of LLMs. In addition, this scheme can realize efficient and reliable verification of the process and results of multi-party homomorphic encryption calculations under weak trust environment, solving the problem of security verification of multi-party collaboration in a weak trust environment.</t>
  </si>
  <si>
    <t>10.1016/j.asoc.2025.114255</t>
  </si>
  <si>
    <t>WOS:001622623900002</t>
  </si>
  <si>
    <t>Choutri, K; Fadloun, S; Khettabi, A; Lagha, M; Meshoul, S; Fareh, R</t>
  </si>
  <si>
    <t>Choutri, Kheireddine; Fadloun, Samiha; Khettabi, Ayoub; Lagha, Mohand; Meshoul, Souham; Fareh, Raouf</t>
  </si>
  <si>
    <t>Leveraging Large Language Models for Real-Time UAV Control</t>
  </si>
  <si>
    <t>multilingual control; speech-to-text; large language models; human drone interaction; natural language processing</t>
  </si>
  <si>
    <t>As drones become increasingly integrated into civilian and industrial domains, the demand for natural and accessible control interfaces continues to grow. Conventional manual controllers require technical expertise and impose cognitive overhead, limiting their usability in dynamic and time-critical scenarios. To address these limitations, this paper presents a multilingual voice-driven control framework for quadrotor drones, enabling real-time operation in both English and Arabic. The proposed architecture combines offline Speech-to-Text (STT) processing with large language models (LLMs) to interpret spoken commands and translate them into executable control code. Specifically, Vosk is employed for bilingual STT, while Google Gemini provides semantic disambiguation, contextual inference, and code generation. The system is designed for continuous, low-latency operation within an edge-cloud hybrid configuration, offering an intuitive and robust human-drone interface. While speech recognition and safety validation are processed entirely offline, high-level reasoning and code generation currently rely on cloud-based LLM inference. Experimental evaluation demonstrates an average speech recognition accuracy of 95% and end-to-end command execution latency between 300 and 500 ms, validating the feasibility of reliable, multilingual, voice-based UAV control. This research advances multimodal human-robot interaction by showcasing the integration of offline speech recognition and LLMs for adaptive, safe, and scalable aerial autonomy.</t>
  </si>
  <si>
    <t>10.3390/electronics14214312</t>
  </si>
  <si>
    <t>WOS:001612499800001</t>
  </si>
  <si>
    <t>Kim, KA; Hong, S; Yoo, S; Kang, Y; Shim, HS</t>
  </si>
  <si>
    <t>Kim, Kyung A.; Hong, Sungman; Yoo, Sehwan; Kang, Yousun; Shim, Hyo Sup</t>
  </si>
  <si>
    <t>Enhancing Structured Pathology Report Generation With Foundation Model and Modular Design</t>
  </si>
  <si>
    <t>Pathology; Feature extraction; Computational modeling; Accuracy; Transformers; Analytical models; Biological system modeling; Foundation models; Complexity theory; Attention mechanisms; Knowledge distillation; multiple instance learning; report generation; text-to-text transfer transformer; whole slide image</t>
  </si>
  <si>
    <t>Pathology report generation, which requires analyzing giga-pixel Whole Slide Images (WSIs), is a complex and labor-intensive task. Despite this, it is crucial for clinical decision-making. An AI-driven report generation system can assist in producing accurate and concise reports. To address these needs, we designed a two-stage framework consisting of image analysis and text generation. This framework improves diagnostic performance and optimizes it for real-world clinical application. In the first stage, using 752 high resolution WSIs from bladder tumor tissue samples collected at Korea University Medical Center, we leveraged foundation models to extract robust features. Then, we built a multi-label classification based on key diagnostic elements to achieve high performance with an Attention-based Multi-Instance Learning (MIL) model and a Transformer-based MIL with Knowledge Distillation. For the report generation stage, we designed a T5-based text-to-text model, simplifying input representations while integrating data augmentation to improve stability and generalization. The proposed model achieved a ROUGE score of 0.87, a BLEU-4 score of 0.94, a Jaccard score of 0.89 and a BioLLM score of 0.97. An additional evaluation conducted by the institution maintaining the exclusive K-MEDICON test datasets confirmed a consistent performance yielding an overall score of 0.88, calculated as a weighted sum of aforementioned metrics. Its consistency validated through a Mean Opinion Score (MOS) evaluation by pathologists. By systematically integrating foundation models and modular structure, the benchmark results demonstrate that the task can be effectively solved with limited data and computational resources, indicating promising potential for real-world clinical adaptation.</t>
  </si>
  <si>
    <t>10.1109/ACCESS.2025.3588121</t>
  </si>
  <si>
    <t>WOS:001531861100046</t>
  </si>
  <si>
    <t>Khaokaew, Y; Xue, H; Salim, FD</t>
  </si>
  <si>
    <t>Khaokaew, Yonchanok; Xue, Hao; Salim, Flora D.</t>
  </si>
  <si>
    <t>MAPLE: Mobile App Prediction Leveraging Large Language Model Embeddings</t>
  </si>
  <si>
    <t>PROCEEDINGS OF THE ACM ON INTERACTIVE MOBILE WEARABLE AND UBIQUITOUS TECHNOLOGIES-IMWUT</t>
  </si>
  <si>
    <t>Mobile user behaviour modelling; App usage prediction; Large language model</t>
  </si>
  <si>
    <t>USAGE PREDICTION</t>
  </si>
  <si>
    <t>In recent years, predicting mobile app usage has become increasingly important for areas like app recommendation, user behaviour analysis, and mobile resource management. Existing models, however, struggle with the heterogeneous nature of contextual data and the user cold start problem. This study introduces a novel prediction model, Mobile App Prediction Leveraging Large Language Model Embeddings (MAPLE), which employs Large Language Models (LLMs) and installed app similarity to overcome these challenges. MAPLE utilises the power of LLMs to process contextual data and discern intricate relationships within it effectively. Additionally, we explore the use of installed app similarity to address the cold start problem, facilitating the modelling of user preferences and habits, even for new users with limited historical data. In essence, our research presents MAPLE as a novel, potent, and practical approach to app usage prediction, making significant strides in resolving issues faced by existing models. MAPLE stands out as a comprehensive and effective solution, setting a new benchmark for more precise and personalised app usage predictions. In tests on two real-world datasets, MAPLE surpasses contemporary models in both standard and cold start scenarios. These outcomes validate MAPLE's capacity for precise app usage predictions and its resilience against the cold start problem. This enhanced performance stems from the model's proficiency in capturing complex temporal patterns and leveraging contextual information. As a result, MAPLE can potentially improve personalised mobile app usage predictions and user experiences markedly.</t>
  </si>
  <si>
    <t>2474-9567</t>
  </si>
  <si>
    <t>10.1145/3643514</t>
  </si>
  <si>
    <t>WOS:001207594200010</t>
  </si>
  <si>
    <t>Shaikh, TA; Rasool, T; Veningston, K; Yaseen, SM</t>
  </si>
  <si>
    <t>Shaikh, Tawseef Ayoub; Rasool, Tabasum; Veningston, K.; Yaseen, Syed Mufassir</t>
  </si>
  <si>
    <t>The role of large language models in agriculture: harvesting the future with LLM intelligence</t>
  </si>
  <si>
    <t>PROGRESS IN ARTIFICIAL INTELLIGENCE</t>
  </si>
  <si>
    <t>Language models (LM); Multimodal large language models (MLLM); Large vision models (LVM); Agricultural text classification; Generative pre-trained transformer (GPT); ChatGPT; Natural language processing (NLP); Semantic matching (SM)</t>
  </si>
  <si>
    <t>Significant accomplishments in many agricultural applications during the past decade attest to the fast progress and use of deep learning and machine learning methods in agricultural systems. However, these conventional models have a few drawbacks: They are not generalizable since they are trained on large, costly labeled datasets, require expert expertise to create and maintain, and are often built for specific applications. Significant accomplishments in language, vision, and decision-making tasks across several domains have been shown recently by massive pre-trained models, also known as large models (LMs). Recent years have seen large language models (LLMs) demonstrate remarkable competence in a variety of fields, including natural language processing (NLP), by encompassing different advancements in terms of architecture, training methods, context duration, fine-tuning, multi-modality, datasets, efficiency, benchmarking, and many other. The massive amounts of data used to train these models span many domains and modalities. After training, they can handle a wide range of tasks with less tweaking and less task-specific labeled data. Despite its effectiveness and promising future, agricultural artificial intelligence (AAI) has received less attention than other applications of LLMs. To better understand the problem area and open up new research pathways in this sector, this work aims to examine the possibilities of LLMs in smart agriculture by offering conceptual tools and a technical base. Herein, we delve into the potential applications of large models in agriculture, primarily categorizing them into four categories: Agricultural applications of large language models (LLMs), large vision models (LVMs) for precise agricultural applications, multimodal large language models (MLLMs) and model assessment, and intelligent and precise agriculture using reinforcement learning large models (RLLMs). Further, we review some of the most prominent LLMs, including three famous LLM families (GPT, LLaMA, PaLM), and discuss their characteristics, contributions, and limitations. Next, we evaluate famous LLM evaluation metrics and look at datasets for training, fine-tuning, and evaluation. Finally, we focus our discussion on issues and possible future research directions of LLMs in the agricultural sector. This review article aims to provide academics and practitioners with a panoramic perspective of the field and a quick reference to help them draw out relevant ideas from the extensive summaries of prior publications to broaden their LLM research.</t>
  </si>
  <si>
    <t>2192-6352</t>
  </si>
  <si>
    <t>2192-6360</t>
  </si>
  <si>
    <t>10.1007/s13748-024-00359-4</t>
  </si>
  <si>
    <t>WOS:001380024300001</t>
  </si>
  <si>
    <t>Cisneros-González, J; Gordo-Herrera, N; Barcia-Santos, I; Sánchez-Soriano, J</t>
  </si>
  <si>
    <t>Cisneros-Gonzalez, Jorge; Gordo-Herrera, Natalia; Barcia-Santos, Ivan; Sanchez-Soriano, Javier</t>
  </si>
  <si>
    <t>JorGPT: Instructor-Aided Grading of Programming Assignments with Large Language Models (LLMs)</t>
  </si>
  <si>
    <t>academic assessment; automated assessment; generative artificial intelligence; large language models; automated code assessment; AI-helped feedback; code grading</t>
  </si>
  <si>
    <t>This paper explores the application of large language models (LLMs) to automate the evaluation of programming assignments in an undergraduate Introduction to Programming course. This study addresses the challenges of manual grading, including time constraints and potential inconsistencies, by proposing a system that integrates several LLMs to streamline the assessment process. The system utilizes a graphic interface to process student submissions, allowing instructors to select an LLM and customize the grading rubric. A comparative analysis, using LLMs from OpenAI, Google, DeepSeek and ALIBABA to evaluate student code submissions, revealed a strong correlation between LLM-generated grades and those assigned by human instructors. Specifically, the reduced model using statistically significant variables demonstrates a high explanatory power, with an adjusted R2 of 0.9156 and a Mean Absolute Error of 0.4579, indicating that LLMs can effectively replicate human grading. The findings suggest that LLMs can automate grading when paired with human oversight, drastically reducing the instructor workload, transforming a task estimated to take more than 300 h of manual work into less than 15 min of automated processing and improving the efficiency and consistency of assessment in computer science education.</t>
  </si>
  <si>
    <t>JUN 18</t>
  </si>
  <si>
    <t>10.3390/fi17060265</t>
  </si>
  <si>
    <t>WOS:001515585700001</t>
  </si>
  <si>
    <t>Zambrano, G</t>
  </si>
  <si>
    <t>Zambrano, Guillaume</t>
  </si>
  <si>
    <t>Case Law as Data: Prompt Engineering Strategies for Case Outcome Extraction with Large Language Models in a Zero-Shot Setting</t>
  </si>
  <si>
    <t>LAW TECHNOLOGY AND HUMANS</t>
  </si>
  <si>
    <t>Natural Language Processing; Large Language Models; LLMs; prompt engineering; data extraction; Legal Judgment Prediction</t>
  </si>
  <si>
    <t>This study evaluates the effectiveness of Large Language Models (LLMs) for automated legal outcome extraction in a zero-shot setting. Two open-source LLMs were used- Meta-Llama3 (70B) which is considered state-of-the-art and a less performant Mixtral (8x7B)- comparing the accurracy of the data extracted. These models were selected for their accessibility using consumer-grade hardware, ensuring reproducibility of our research. The experiment utilized a dataset of 400 manually annotated decisions from French Courts of Appeal, spanning four categories: psychiatric commitment, undocumented immigrant detention, wrongful termination damages, and workplace harassment damages. For each decision, we extracted two critical data points: the trial court outcome and the appellate court ruling. Results demonstrate that Llama3 achieves exceptional accuracy (1 error in 100 documents) in data extraction when provided with domain- specific prompts in JSON format. Prompt engineering can yield highly accurate legal data extraction without requiring expensive model fine-tuning or access to proprietary state-of-the-art models. This research contributes to the growing body of evidence supporting LLMs as reliable tools for legal information extraction and offers practical insights for researchers to craft effective instructions for their specific needs.</t>
  </si>
  <si>
    <t>2652-4074</t>
  </si>
  <si>
    <t>10.5204/lthj.3623</t>
  </si>
  <si>
    <t>Government &amp; Law; Social Sciences - Other Topics</t>
  </si>
  <si>
    <t>WOS:001367732400001</t>
  </si>
  <si>
    <t>Qiao, ST; Zhou, W; Wen, JH; Gao, C; Luo, Q; Chen, PX; Li, Y</t>
  </si>
  <si>
    <t>Qiao, Shutong; Zhou, Wei; Wen, Junhao; Gao, Chen; Luo, Qun; Chen, Peixuan; Li, Yong</t>
  </si>
  <si>
    <t>Multi-view Intent Learning and Alignment with Large Language Models for Session-based Recommendation</t>
  </si>
  <si>
    <t>ACM TRANSACTIONS ON INFORMATION SYSTEMS</t>
  </si>
  <si>
    <t>Recommender System; Session-based Recommendation; Large Language Models; Data Augmentation</t>
  </si>
  <si>
    <t>NETWORK</t>
  </si>
  <si>
    <t>Session-based recommendation (SBR) methods often rely on user behavior data, which can struggle with the sparsity of session data, limiting performance. Researchers have identified that beyond behavioral signals, rich semantic information in item descriptions is crucial for capturing hidden user intent. While Large Language Models (LLMs) offer new ways to leverage this semantic data, the challenges of session anonymity, short-sequence nature, and high LLM training costs have hindered the development of a lightweight, efficient LLM framework for SBR. To address the above challenges, we propose an LLM-enhanced SBR framework that integrates semantic and behavioral signals from multiple views. This two-stage framework leverages the strengths of both LLMs and traditional SBR models while minimizing training costs. In the first stage, we use multi-view prompts to infer latent user intentions at the session semantic level, supported by an intent localization module to alleviate LLM hallucinations. In the second stage, we align and unify these semantic inferences with behavioral representations, effectively merging insights from both large and small models. Extensive experiments on two real datasets demonstrate that the LLM4SBR framework can effectively improve model performance. We release our codes along with the baselines at https://github.com/tsinghua-fib-lab/LLM4SBR.</t>
  </si>
  <si>
    <t>1046-8188</t>
  </si>
  <si>
    <t>1558-2868</t>
  </si>
  <si>
    <t>10.1145/3719344</t>
  </si>
  <si>
    <t>WOS:001536379700002</t>
  </si>
  <si>
    <t>Guo, ZT; Yang, GF; Wu, WJ</t>
  </si>
  <si>
    <t>Guo, Zitong; Yang, Guangfei; Wu, Wenjun</t>
  </si>
  <si>
    <t>Automatic synthesis of econometric empirical research results using large language model: A case study of digitalization-greening relationships</t>
  </si>
  <si>
    <t>TECHNOLOGICAL FORECASTING AND SOCIAL CHANGE</t>
  </si>
  <si>
    <t>Large language model; Econometrics; Systematic literature review; Prompt engineering; Neo4j</t>
  </si>
  <si>
    <t>INNOVATION; HYPERNETWORKS; KNOWLEDGE</t>
  </si>
  <si>
    <t>Econometrics is widely used in economics and social sciences research, generating abundant research results. While meta-analysis, systematic literature review (SLR) and bibliometrics are widely used in hotspot identification and knowledge synthesizing, deeper knowledge extraction, integration and utilization, a broader range of topics, a higher degree of automation and labor demands are expected. To maximize the utility of empirical findings and meet the above expectations, a Large Language Model (LLM)-assisted protocol is proposed in this paper. This protocol utilizes LLM to screen literature records, discriminate econometric empirical studies, and extract structured information from abstracts. Neo4j is used for storage, visualization, and subsequent utilization and mining of the extracted structured information. An empirical case of relationships between digitalization and greening is used to validate the feasibility of the protocol. The findings indicate the protocol accomplishes the verification of the mediating paths in existing research, the exploration of potential mediating paths, and the identification of collider factors, which offer valuable insights for future empirical studies related to digitalization-greening relationships. Future research directions of LLM-driven econometric modeling and knowledge hypernetworks construction via SLR methodologies are finally proposed based on this protocol.</t>
  </si>
  <si>
    <t>0040-1625</t>
  </si>
  <si>
    <t>1873-5509</t>
  </si>
  <si>
    <t>10.1016/j.techfore.2025.124370</t>
  </si>
  <si>
    <t>Business &amp; Economics; Public Administration</t>
  </si>
  <si>
    <t>WOS:001597792800001</t>
  </si>
  <si>
    <t>Hu, QQ; Li, CH; Zhang, MH; Liu, F</t>
  </si>
  <si>
    <t>Hu, Qianqian; Li, Chuhan; Zhang, Mohan; Liu, Fang</t>
  </si>
  <si>
    <t>CAPGen: An MLLM-Based Framework Integrated with Iterative Optimization Mechanism for Cultural Artifacts Poster Generation</t>
  </si>
  <si>
    <t>Aesthetic poster generation; prompt engineering; multimodal large language models; iterative optimization; design principles</t>
  </si>
  <si>
    <t>Due to the digital transformation tendency among cultural institutions and the substantial influence of the social media platform, the demands of visual communication keep increasing for promoting traditional cultural artifacts online. As an effective medium, posters serve to attract public attention and facilitate broader engagement with cultural artifacts. However, existing poster generation methods mainly rely on fixed templates and manual design, which limits their scalability and adaptability to the diverse visual and semantic features of the artifacts. Therefore, we propose CAPGen, an automated aesthetic Cultural Artifacts Poster Generation framework built on a Multimodal Large Language Model (MLLM) with integrated iterative optimization. During our research, we collaborated with designers to define principles of graphic design for cultural artifact posters, to guide the MLLM in generating layout parameters. Later, we generated these parameters into posters. Finally, we refined the posters using an MLLM integrated with a multi-round iterative optimization mechanism. Qualitative results show that CAPGen consistently outperforms baseline methods in both visual quality and aesthetic performance. Furthermore, ablation studies indicate that the prompt, iterative optimization mechanism, and design principles significantly enhance the effectiveness of poster generation.</t>
  </si>
  <si>
    <t>10.32604/cmc.2025.068225</t>
  </si>
  <si>
    <t>WOS:001621370900001</t>
  </si>
  <si>
    <t>Wu, HY; Shen, ZX; Hou, SY; Liang, JY; Jiao, HY; Qing, YX; Zhang, XP; Li, X; Gui, ZP; Guan, XF; Xiang, LG</t>
  </si>
  <si>
    <t>Wu, Huayi; Shen, Zhangxiao; Hou, Shuyang; Liang, Jianyuan; Jiao, Haoyue; Qing, Yaxian; Zhang, Xiaopu; Li, Xu; Gui, Zhipeng; Guan, Xuefeng; Xiang, Longgang</t>
  </si>
  <si>
    <t>AutoGEEval: A Multimodal and Automated Evaluation Framework for Geospatial Code Generation on GEE with Large Language Models</t>
  </si>
  <si>
    <t>ISPRS INTERNATIONAL JOURNAL OF GEO-INFORMATION</t>
  </si>
  <si>
    <t>geospatial code generation; large language models; Google Earth Engine; automated evaluation; unit test benchmark</t>
  </si>
  <si>
    <t>Geospatial code generation is emerging as a key direction in the integration of artificial intelligence and geoscientific analysis. However, there remains a lack of standardized tools for automatic evaluation in this domain. To address this gap, we propose AutoGEEval, the first multimodal, unit-level automated evaluation framework for geospatial code generation tasks on the Google Earth Engine (GEE) platform powered by large language models (LLMs). Built upon the GEE Python API, AutoGEEval establishes a benchmark suite (AutoGEEval-Bench) comprising 1325 test cases that span 26 GEE data types. The framework integrates both question generation and answer verification components to enable an end-to-end automated evaluation pipeline-from function invocation to execution validation. AutoGEEval supports multidimensional quantitative analysis of model outputs in terms of accuracy, resource consumption, execution efficiency, and error types. We evaluate 18 state-of-the-art LLMs-including general-purpose, reasoning-augmented, code-centric, and geoscience-specialized models-revealing their performance characteristics and potential optimization pathways in GEE code generation. This work provides a unified protocol and foundational resource for the development and assessment of geospatial code generation models, advancing the frontier of automated natural language to domain-specific code translation.</t>
  </si>
  <si>
    <t>2220-9964</t>
  </si>
  <si>
    <t>JUN 30</t>
  </si>
  <si>
    <t>10.3390/ijgi14070256</t>
  </si>
  <si>
    <t>Computer Science; Physical Geography; Remote Sensing</t>
  </si>
  <si>
    <t>WOS:001535353600001</t>
  </si>
  <si>
    <t>Sánchez-Berriel, I; Pérez-Nava, F; Pérez-Rosario, L</t>
  </si>
  <si>
    <t>Sanchez-Berriel, Isabel; Perez-Nava, Fernando; Perez-Rosario, Lucas</t>
  </si>
  <si>
    <t>Natural Interaction in Virtual Heritage: Enhancing User Experience with Large Language Models</t>
  </si>
  <si>
    <t>natural interaction; virtual humans; user experience; virtual reality; prompt engineering; Large Language Models; cultural heritage</t>
  </si>
  <si>
    <t>SAMPLE-SIZES; USABILITY</t>
  </si>
  <si>
    <t>In recent years, Virtual Reality (VR) has emerged as a powerful tool for disseminating Cultural Heritage (CH), often incorporating Virtual Humans (VHs) to guide users through historical recreations. The advent of Large Language Models (LLMs) now enables natural, unscripted communication with these VHs, even on limited devices. This paper details a natural interaction system for VHs within a VR application of San Crist &amp; oacute;bal de La Laguna, a UNESCO World Heritage Site. Our system integrates Speech-to-Text, LLM-based dialogue generation, and Text-to-Speech synthesis. Adhering to user-centered design (UCD) principles, we conducted two studies: a preliminary study revealing user interest in historically adapted language, and a qualitative test that identified key user experience improvements, such as incorporating feedback mechanisms and gender selection for VHs. The project successfully developed a prioritized user experience, focusing on usability evaluation, immersion, and dialogue quality. We propose a generalist methodology and recommendations for integrating unscripted VH dialogue in VR. However, limitations include dialogue generation latency and reduced quality in non-English languages. While a formative usability test evaluated the process, the small sample size restricts broad generalizations about user behavior.</t>
  </si>
  <si>
    <t>10.3390/electronics14122478</t>
  </si>
  <si>
    <t>WOS:001515491200001</t>
  </si>
  <si>
    <t>Zhao, XK; Huang, H; Yang, T; Lu, YX; Zhang, L; Wang, RY; Liu, ZL; Zhong, TY; Liu, TM</t>
  </si>
  <si>
    <t>Zhao, Xukai; Huang, He; Yang, Tao; Lu, Yuxing; Zhang, Lu; Wang, Ruoyu; Liu, Zhengliang; Zhong, Tianyang; Liu, Tianming</t>
  </si>
  <si>
    <t>Urban planning in the age of large language models: Assessing OpenAI o1's performance and capabilities across 556 tasks</t>
  </si>
  <si>
    <t>COMPUTERS ENVIRONMENT AND URBAN SYSTEMS</t>
  </si>
  <si>
    <t>Urban planning; Large Language Model (LLM); Artificial intelligence; Performance evaluation</t>
  </si>
  <si>
    <t>Integrating Large Language Models (LLMs) into urban planning presents significant opportunities to enhance efficiency and support data-driven city development strategies. Despite their potential, the specific capabilities of LLMs within the urban planning context remain underexplored, and the field lacks standardized benchmarks for systematic evaluation. This study presents the first comprehensive evaluation focused on OpenAI o1's performance and capabilities in urban planning, systematically benchmarking it against GPT-3.5 and GPT-4o using an original open-source benchmark comprising 556 tasks across five critical categories: urban planning documentation, examinations, routine data analysis, AI algorithm support, and thesis writing. Through rigorous testing and manual analysis of 170,627 words of generated output, OpenAI o1 consistently outperformed its counterparts, achieving an average performance score of 84.08 % compared to 69.30 % for GPT-4o and 45.27 % for GPT3.5. Our findings highlight o1's strengths in domain knowledge mastery, basic operational competence, and coding capabilities, demonstrating its potential applications in information retrieval, urban data analytics, planning decision support, educational assistance, and LLM-based agent development. However, significant limitations were identified, including inability in urban design, susceptibility to fabricating information, moderate academic writing quality, challenges in high-level professional examinations, and spatial reasoning, and limited support for specialized or emerging AI algorithms. Future optimizations should prioritize enhancing multimodal integration, implementing robust validation mechanisms, adopting adaptive learning strategies, and enabling domain-specific fine-tuning to meet urban planners' specialized needs. These advancements would enable LLMs to better support the evolving demands of urban planning, allowing professionals to focus more on strategic decision-making and the creative aspects of the field.</t>
  </si>
  <si>
    <t>0198-9715</t>
  </si>
  <si>
    <t>1873-7587</t>
  </si>
  <si>
    <t>10.1016/j.compenvurbsys.2025.102332</t>
  </si>
  <si>
    <t>Computer Science; Engineering; Environmental Sciences &amp; Ecology; Geography; Operations Research &amp; Management Science; Public Administration</t>
  </si>
  <si>
    <t>WOS:001544850500001</t>
  </si>
  <si>
    <t>Wang, XZ; Xu, ZP; Sui, XF</t>
  </si>
  <si>
    <t>Wang, Xuanzheng; Xu, Zhipeng; Sui, Xingfei</t>
  </si>
  <si>
    <t>Intelligent data analysis in edge computing with large language models: applications, challenges, and future directions</t>
  </si>
  <si>
    <t>edge computing; large language models; intelligent data analysis; resource-constrained devices; edge-friendly architectures</t>
  </si>
  <si>
    <t>FEDERATED LEARNING FRAMEWORK; PRIVACY PRESERVATION; DATA-SECURITY; BEHAVIOR; CLOUD</t>
  </si>
  <si>
    <t>Edge computing has emerged as a vital paradigm for processing data near its source, significantly reducing latency and improving data privacy. Simultaneously, large language models (LLMs) such as GPT-4 and BERT have showcased impressive capabilities in data analysis, natural language processing, and decision-making. This survey explores the intersection of these two domains, specifically focusing on the adaptation and optimization of LLMs for data analysis tasks in edge computing environments. We examine the challenges faced by resource-constrained edge devices, including limited computational power, energy efficiency, and network reliability. Additionally, we discuss how recent advancements in model compression, distributed learning, and edge-friendly architectures are addressing these challenges. Through a comprehensive review of the current research, we analyze the applications, challenges, and future directions of deploying LLMs in edge computing. This analysis aims to facilitate intelligent data analysis across various industries, including healthcare, smart cities, and the internet of things.</t>
  </si>
  <si>
    <t>MAY 14</t>
  </si>
  <si>
    <t>10.3389/fcomp.2025.1538277</t>
  </si>
  <si>
    <t>WOS:001497179600001</t>
  </si>
  <si>
    <t>Rita, L; Southern, J; Laponogov, I; Higgins, K; Veselkov, K</t>
  </si>
  <si>
    <t>Rita, Luis; Southern, Joshua; Laponogov, Ivan; Higgins, Kyle; Veselkov, Kirill</t>
  </si>
  <si>
    <t>Optimizing Ingredient Substitution Using Large Language Models to Enhance Phytochemical Content in Recipes</t>
  </si>
  <si>
    <t>ingredient substitution; nutritional optimization; large language models</t>
  </si>
  <si>
    <t>In the emerging field of computational gastronomy, aligning culinary practices with scientifically supported nutritional goals is increasingly important. This study explores how large language models (LLMs) can be applied to optimize ingredient substitutions in recipes, specifically to enhance the phytochemical content of meals. Phytochemicals are bioactive compounds found in plants, which, based on preclinical studies, may offer potential health benefits. We fine-tuned models, including OpenAI's GPT-3.5-Turbo, DaVinci-002, and Meta's TinyLlama-1.1B, using an ingredient substitution dataset. These models were used to predict substitutions that enhance the phytochemical content and to create a corresponding enriched recipe dataset. Our approach improved the top ingredient prediction accuracy on substitution tasks, from the baseline 34.53 +/- 0.10% to 38.03 +/- 0.28% on the original substitution dataset and from 40.24 +/- 0.36% to 54.46 +/- 0.29% on a refined version of the same dataset. These substitutions led to the creation of 1951 phytochemically enriched ingredient pairings and 1639 unique recipes. While this approach demonstrates potential in optimizing ingredient substitutions, caution must be taken when drawing conclusions about health benefits, as the claims are based on preclinical evidence. This research represents a step forward in using AI to promote healthier eating practices, providing potential pathways for integrating computational methods with nutritional science.</t>
  </si>
  <si>
    <t>10.3390/make6040131</t>
  </si>
  <si>
    <t>WOS:001384634900001</t>
  </si>
  <si>
    <t>Shen, BY; Li, QM; Chen, B; Li, Z</t>
  </si>
  <si>
    <t>Shen, Boyuan; Li, Qingmao; Chen, Bo; Li, Zian</t>
  </si>
  <si>
    <t>Large Language Model-Based Security Situation Awareness for Smart Grid: Framework and Approaches</t>
  </si>
  <si>
    <t>Situation awareness; smart grid; smart grid; LLMs; LLMs; LLMs</t>
  </si>
  <si>
    <t>The smart grid integrates power generation, communications, and computation to improve efficiency and reliability, but its heterogeneity enlarges the attack surface. This study introduces GridSense, a novel security situational awareness framework leveraging large language models to address the limitations of traditional methods and enhance predictive accuracy that has transformed electrical, meteorological, and social data into structured text prompts for large language models, leveraging their advanced reasoning capabilities. By employing prompt engineering and meta-learning techniques, GridSense has achieved robust performance. Experiments on real-world grid data in both full-shot and few-shot scenarios have demonstrated a multimodal load forecasting RMSE of 0.15 and an anomaly detection accuracy of 90.25% with an F1 score of 0.43 using combined data modalities. Even with limited training data, GridSense has maintained effective forecasting performance, showcasing its adaptability. Error analysis shows high precision but missed rare anomalies; recall can be improved via recall-oriented thresholds and class-imbalance remedies. GridSense demonstrates that LLMs can unify heterogeneous smart grid signals into an interpretable pipeline. These results indicate a practical path for integrating LLMs reasoning with grid operations to enhance awareness and resilience.</t>
  </si>
  <si>
    <t>10.1109/ACCESS.2025.3618094</t>
  </si>
  <si>
    <t>WOS:001591695900018</t>
  </si>
  <si>
    <t>Almutairi, W; Almatrodi, I</t>
  </si>
  <si>
    <t>Almutairi, Waleed; Almatrodi, Ibrahim</t>
  </si>
  <si>
    <t>Trust Under Bounded Rationality: Exploring Human-AI Interaction in Decision-Making Through Large Language Models</t>
  </si>
  <si>
    <t>SAGE OPEN</t>
  </si>
  <si>
    <t>artificial intelligence; large language models; decision-making; bounded rationality; trust; human-computer interaction</t>
  </si>
  <si>
    <t>PERSUASION</t>
  </si>
  <si>
    <t>This study investigates the role of artificial intelligence (AI) and large language models (LLMs) within Simon's bounded rationality framework, focusing on factors such as preferences, competence, learning, and persuasion that influence decision-makers' trust in AI outcomes. Data were collected using mixed methods, including surveys and interviews, followed by descriptive and thematic analyses to explore the trust dynamics in human-AI interactions under bounded rationality. Participants highlighted the effectiveness of AI systems in decision-making constrained by bounded rationality and discussed how AI systems might mitigate these limitations. The findings emphasize the critical role of trust in facilitating effective human-AI interactions, indicating that AI-provided explanations not only support decision-making but also enhance users' trust in these systems. This study identifies trust as a multifaceted and dynamic aspect of human-AI interactions, suggesting that AI developers can improve trustworthiness through transparency, demonstrated competence, and continuous learning. Enhancing these factors is expected to drive widespread adoption and improve the overall user experience with AI systems.</t>
  </si>
  <si>
    <t>2158-2440</t>
  </si>
  <si>
    <t>10.1177/21582440251380135</t>
  </si>
  <si>
    <t>WOS:001589315300001</t>
  </si>
  <si>
    <t>Rehman, A; Awan, KA; Hassan, MU; Shaikh, A; Alqazzaz, A; Cengiz, K</t>
  </si>
  <si>
    <t>Rehman, Abdul; Awan, Kamran Ahmad; Hassan, Mahmood Ul; Shaikh, Asadullah; Alqazzaz, Ali; Cengiz, Korhan</t>
  </si>
  <si>
    <t>CLAF-IoT: Context-Aware LLMs-Enhanced Authentication Framework for Internet of Things</t>
  </si>
  <si>
    <t>IEEE INTERNET OF THINGS JOURNAL</t>
  </si>
  <si>
    <t>Internet of Things; Authentication; Security; Protocols; Real-time systems; Biometrics; Measurement; Sensors; Training; Privacy; federated learning; Internet of Things (IoT); large language models (LLMs); privacy; security</t>
  </si>
  <si>
    <t>The significant increase in the number of Internet of Things (IoT) devices in various domains requires robust and adaptive authentication mechanisms. Existing methods often fail to address the dynamic and heterogeneous nature of the IoT ecosystem, resulting in significant security vulnerabilities. This article presents a context-aware LLM-enhanced authentication framework (CLAF-IoT) that dynamically adjusts authentication protocols based on real-time environmental and user-specific contexts. Using the advanced contextual understanding and generation capabilities of large language models (LLMs), the proposed framework enhances both security and usability in highly dynamic IoT environments. Key components include environmental context sensing, user behavior analysis, adaptive authentication protocols, real-time threat detection, and federated learning integration for continuous improvement and privacy preservation. Experimental evaluations demonstrate that CLAF-IoT achieves higher authentication accuracy in different scenarios, 11.11% false acceptance rate and 9.09% false rejection rate.</t>
  </si>
  <si>
    <t>2327-4662</t>
  </si>
  <si>
    <t>10.1109/JIOT.2025.3567634</t>
  </si>
  <si>
    <t>WOS:001525552000026</t>
  </si>
  <si>
    <t>Li, Y; Li, ZH; Han, ZH; Zhang, QL; Ma, XB</t>
  </si>
  <si>
    <t>Li, Yang; Li, Zhenhua; Han, Zhenhua; Zhang, Quanlu; Ma, Xiaobo</t>
  </si>
  <si>
    <t>Automating Cloud Deployment for Real-Time Online Foundation Model Inference</t>
  </si>
  <si>
    <t>IEEE-ACM TRANSACTIONS ON NETWORKING</t>
  </si>
  <si>
    <t>Automating; cloud configuration; deep learning inference; real-time services</t>
  </si>
  <si>
    <t>OPTIMIZATION</t>
  </si>
  <si>
    <t>Deep neural network (DNN) foundation models are currently exhibiting high prediction accuracy and strong adaptability to broad tasks with remarkably large model scales. They are increasingly becoming the backend support of DNN-driven real-time online services, e.g., Siri and Instagram. Such services require low-latency and cost-efficiency for quality-of-service and commercial competitiveness. When deployed in a cloud environment, these services call for an appropriate selection of cloud configurations (i.e., specific types of VM instances), as well as a considerate device placement plan that places the operations of the model to multiple GPUs via model parallelism for cost-efficiency. Currently, the deployment mainly relies on service providers' manual efforts, which is not only onerous but also far from satisfactory oftentimes due to the huge joint search space of cloud configurations and device placement plans (for a same service, a poor deployment can incur significantly more costs by tens of times). In this paper, we attempt to efficiently automate the cloud deployment for real-time foundation model inference with minimum costs under the constraint of acceptably low latency. This attempt is enabled by 1) jointly leveraging the Bayesian Optimization and Deep Reinforcement Learning to adaptively unearth the (nearly) optimal cloud configuration and device placement with limited search time, and 2) enhancing the cost-efficiency of the deployment based on the probing-informed block multiplexing mechanism and Tensor Algebra SuperOptimizer. We implement a prototype system based on TensorFlow, conduct extensive experiments on top of Microsoft Azure, and demonstrate the generality and scalability of our solution. Results show that for lightweight DNN models and foundation models, our solution essentially saves inference costs by up to 15% and 47% with 57% and 38% lower search overheads respectively, compared with non-trivial baselines.</t>
  </si>
  <si>
    <t>1063-6692</t>
  </si>
  <si>
    <t>1558-2566</t>
  </si>
  <si>
    <t>10.1109/TNET.2023.3321967</t>
  </si>
  <si>
    <t>WOS:001088315700002</t>
  </si>
  <si>
    <t>Cui, YD; Huang, SC; Zhong, JM; Liu, ZN; Wang, YT; Sun, C; Li, B; Wang, X; Khajepour, A</t>
  </si>
  <si>
    <t>Cui, Yaodong; Huang, Shucheng; Zhong, Jiaming; Liu, Zhenan; Wang, Yutong; Sun, Chen; Li, Bai; Wang, Xiao; Khajepour, Amir</t>
  </si>
  <si>
    <t>DriveLLM: Charting the Path Toward Full Autonomous Driving With Large Language Models</t>
  </si>
  <si>
    <t>Decision making; Cognition; Autonomous vehicles; Task analysis; Roads; Real-time systems; Training; Autonomous driving; computer vision; decision-making; large language models</t>
  </si>
  <si>
    <t>INTELLIGENCE</t>
  </si>
  <si>
    <t>Human drivers instinctively reason with commonsense knowledge to predict hazards in unfamiliar scenarios and to understand the intentions of other road users. However, this essential capability is entirely missing from traditional decision-making systems in autonomous driving. In response, this paper presents DriveLLM, a decision-making framework that integrates large language models (LLMs) with existing autonomous driving stacks. This integration allows for commonsense reasoning in decision-making. DriveLLM also features a unique cyber-physical feedback system, allowing it to learn and improve from its mistakes. In real-world case studies, the proposed framework outperforms traditional decision-making methods in complex scenarios, including difficult edge cases. Furthermore, we propose a novel approach that allows the decision-making system to interact with human inputs while guarding against adversarial attacks. Empirical evaluations demonstrate that this framework responds correctly to complex human instructions.</t>
  </si>
  <si>
    <t>10.1109/TIV.2023.3327715</t>
  </si>
  <si>
    <t>WOS:001173317800124</t>
  </si>
  <si>
    <t>Liu, H; Liang, Y; Wang, L; Feng, X; Guan, R</t>
  </si>
  <si>
    <t>Liu, H.; Liang, Y.; Wang, L.; Feng, X.; Guan, R.</t>
  </si>
  <si>
    <t>BioNMT: A Biomedical Neural Machine Translation System</t>
  </si>
  <si>
    <t>INTERNATIONAL JOURNAL OF COMPUTERS COMMUNICATIONS &amp; CONTROL</t>
  </si>
  <si>
    <t>neural machine translation; Transformer; self-attention; semantic disambiguation</t>
  </si>
  <si>
    <t>To solve the problem of translation of professional vocabulary in the biomedical field and help biological researchers to translate and understand foreign language documents, we proposed a semantic disambiguation model and external dictionaries to build a novel translation model for biomedical texts based on the transformer model. The proposed biomedical neural machine translation system (BioNMT) adopts the sequence-to-sequence translation framework, which is based on deep neural networks. To construct the specialized vocabulary of biology and medicine, a hybrid corpus was obtained using a crawler system extracting from universal corpus and biomedical corpus. The experimental results showed that BioNMT which composed by professional biological dictionary and Transformer model increased the bilingual evaluation understudy (BLEU) value by 14.14%, and the perplexity was reduced by 40%. And compared with Google Translation System and Baidu Translation System, BioNMT achieved better translations about paragraphs and resolve the ambiguity of biomedical name entities to greatly improved.</t>
  </si>
  <si>
    <t>1841-9836</t>
  </si>
  <si>
    <t>1841-9844</t>
  </si>
  <si>
    <t>10.15837/ijccc.2020.6.3988</t>
  </si>
  <si>
    <t>WOS:000592697100006</t>
  </si>
  <si>
    <t>Shakeel, M; Nawab, RMA</t>
  </si>
  <si>
    <t>Shakeel, Muhammad; Nawab, Rao Muhammad Adeel</t>
  </si>
  <si>
    <t>Open-Domain Factoid Question-Answering in Urdu: Data and Methods</t>
  </si>
  <si>
    <t>Internet; Encyclopedias; Online services; Benchmark testing; Translation; Context modeling; Cultural differences; Corpus; factoid; GPT; large language models; multilingual; open-domain; question-answering; RAG; transformers; Urdu; RAG; transformers; Urdu</t>
  </si>
  <si>
    <t>BENCHMARK</t>
  </si>
  <si>
    <t>Open-domain factoid question-answering (ODFQA) aims to answer questions posed in natural language by retrieving and extracting relevant information from large, unstructured text sources. A range of applications have benefited from ODFQA including improved search relevancy in search engines and information retrieval, enable semantic searches, interactive and personalized learning systems, and the creation of large language models. Although significant research on ODFQA for English and other languages has been done, Urdu-specific research in this area remains limited. This is due to the lack of high-quality datasets and the challenges associated with processing Urdu text. To address the unavailability of Urdu-specific resources for the ODFQA task, we developed a benchmark corpus, comprising 3,985 Urdu questions and corresponding Urdu Wikipedia articles, with 1,006 answerable and 2,979 unanswerable questions. Each question in our proposed corpus was manually annotated by three independent annotators. As a secondary contribution, we carried out extensive experimentation using a range of state- of-the-art models, including retrievers (BM25 and Sentence-BERT), multilingual transformers (mBERT, XLM-RoBERTa-Large, XLM-RoBERTa-Large-Squad2), and large language models (GPT-3.5-Turbo-0125, GPT-4o-mini-2024-07-18) on our proposed corpus. Best results were obtained using the XLM-RoBERTa-Large-Squad2 model with F-1 = 0.61 and EM = 0.41@k = 20 . While the finetuned GPT-4o-mini model was the best model, with F-1 = 0.81 and EM = 0.81 @k=1. To foster research in the Urdu ODFQA, our proposed corpus is freely available under the Creative Commons license.</t>
  </si>
  <si>
    <t>10.1109/ACCESS.2025.3540939</t>
  </si>
  <si>
    <t>WOS:001425899700001</t>
  </si>
  <si>
    <t>Khan, MA; Ayub, U; Naqvi, SAA; Khakwani, KZR; Sipra, ZB; Raina, A; Zhou, SH; He, H; Saeidi, A; Hasan, B; Rumble, RB; Bitterman, DS; Warner, JL; Zou, J; Tevaarwerk, AJ; Leventakos, K; Kehl, KL; Palmer, JM; Murad, MH; Baral, C; bin Riaz, I</t>
  </si>
  <si>
    <t>Khan, Muhammad Ali; Ayub, Umair; Naqvi, Syed Arsalan Ahmed; Khakwani, Kaneez Zahra Rubab; Sipra, Zaryab bin Riaz; Raina, Ammad; Zhou, Sihan; He, Huan; Saeidi, Amir; Hasan, Bashar; Rumble, Robert Bryan; Bitterman, Danielle S.; Warner, Jeremy L.; Zou, Jia; Tevaarwerk, Amye J.; Leventakos, Konstantinos; Kehl, Kenneth L.; Palmer, Jeanne M.; Murad, Mohammad Hassan; Baral, Chitta; bin Riaz, Irbaz</t>
  </si>
  <si>
    <t>Collaborative large language models for automated data extraction in living systematic reviews</t>
  </si>
  <si>
    <t>systematic review; meta-analysis; large language models; data extraction; natural language processing</t>
  </si>
  <si>
    <t>SENSITIVE PROSTATE-CANCER</t>
  </si>
  <si>
    <t>Objective Data extraction from the published literature is the most laborious step in conducting living systematic reviews (LSRs). We aim to build a generalizable, automated data extraction workflow leveraging large language models (LLMs) that mimics the real-world 2-reviewer process.Materials and Methods A dataset of 10 trials (22 publications) from a published LSR was used, focusing on 23 variables related to trial, population, and outcomes data. The dataset was split into prompt development (n = 5) and held-out test sets (n = 17). GPT-4-turbo and Claude-3-Opus were used for data extraction. Responses from the 2 LLMs were considered concordant if they were the same for a given variable. The discordant responses from each LLM were provided to the other LLM for cross-critique. Accuracy, ie, the total number of correct responses divided by the total number of responses, was computed to assess performance.Results In the prompt development set, 110 (96%) responses were concordant, achieving an accuracy of 0.99 against the gold standard. In the test set, 342 (87%) responses were concordant. The accuracy of the concordant responses was 0.94. The accuracy of the discordant responses was 0.41 for GPT-4-turbo and 0.50 for Claude-3-Opus. Of the 49 discordant responses, 25 (51%) became concordant after cross-critique, increasing accuracy to 0.76.Discussion Concordant responses by the LLMs are likely to be accurate. In instances of discordant responses, cross-critique can further increase the accuracy.Conclusion Large language models, when simulated in a collaborative, 2-reviewer workflow, can extract data with reasonable performance, enabling truly living systematic reviews.</t>
  </si>
  <si>
    <t>10.1093/jamia/ocae325</t>
  </si>
  <si>
    <t>WOS:001400909800001</t>
  </si>
  <si>
    <t>Chen, ZL; Zhong, RJ; Long, WN; Tanga, H; Wang, AJ; Liu, ZM; Yang, XL; Ren, B; Littlefield, J; Koyejo, S; Masnadi, MS; Brandt, AR</t>
  </si>
  <si>
    <t>Chen, Zhenlin; Zhong, Roujia; Long, Wennan; Tanga, Haoyu; Wang, Anjing; Liu, Zemin; Yang, Xuelin; Ren, Bo; Littlefield, James; Koyejo, Sanmi; Masnadi, Mohammad S.; Brandt, Adam R.</t>
  </si>
  <si>
    <t>Advancing oil and gas emissions assessment through large language model data extraction</t>
  </si>
  <si>
    <t>Artificial intelligence; Large language models; Carbon intensity; Supervised learning; Oil and gas field; Greenhouse gas emissions</t>
  </si>
  <si>
    <t>FIELD; RESERVOIR; PRESSURE</t>
  </si>
  <si>
    <t>The oil and gas industry strives to improve environmental stewardship and reduce its carbon footprint, but lacks comprehensive global operational data for accurate environmental assessment and decision-making. This challenge is compounded by dispersed information sources and the high costs of accessing proprietary databases. This paper presents an innovative framework using Large Language Models (LLMs) - specifically GPT-4 and GPT-4o - to extract critical oil and gas asset information from diverse literature sources. Our framework employs iterative comparisons between GPT-4's output and a dataset of 129 ground truth documents labeled by domain experts. Through 11 training and testing iterations, we fine-tuned prompts to optimize information extraction. The evaluation process assessed performance using true positive rate, precision, and F1 score metrics. The framework achieved strong results, with a true positive rate of 83.74% and an F1 score of 78.16% on the testing dataset. The system demonstrated remarkable efficiency, processing 32 documents in 61.41 min with GPT-4o, averaging 7.09 s per extraction- a substantial improvement over the manual method. Cost-effectiveness was also achieved, with GPT-4o reducing extraction costs by a factor of 10 compared to GPT-4. This research has significant implications for the oil and gas industry. By creating an organized, transparent, and accessible database, we aim to democratize access to critical information. The framework supports more accurate climate modeling efforts, enhances decision-making processes for operations and investments, contributes to the sector's ability to meet environmental commitments. These improvements particularly impact emissions reduction and energy transition strategies, potentially transforming how data is extracted and utilized in this field and beyond.</t>
  </si>
  <si>
    <t>10.1016/j.egyai.2025.100481</t>
  </si>
  <si>
    <t>WOS:001437342500001</t>
  </si>
  <si>
    <t>Han, S; Choi, W</t>
  </si>
  <si>
    <t>Han, Seungjun; Choi, Wongyung</t>
  </si>
  <si>
    <t>Development of a Large Language Model-based Multi-Agent Clinical Decision Support System for Korean Triage and Acuity Scale (KTAS)-Based Triage and Treatment Planning in Emergency Departments</t>
  </si>
  <si>
    <t>Clinical decision support system; Emergency department overcrowding; Large Language Model; Multi-Agent system</t>
  </si>
  <si>
    <t>Emergency department (ED) overcrowding and the complexity of rapid decision-making in critical care settings pose significant challenges to healthcare systems worldwide. While clinical decision support systems (CDSS) have shown promise, the integration of large language models (LLMs) offers new possibilities for enhancing triage accuracy and clinical decision-making. This study presents an LLM-driven CDSS designed to assist ED physicians and nurses in patient triage, treatment planning, and overall emergency care management. We developed a multi-agent CDSS utilizing Llama-3-70b as the base LLM, orchestrated by CrewAI and Langchain. The system comprises four AI agents emulating key ED roles: Triage Nurse, Emergency Physician, Pharmacist, and ED Coordinator. It incorporates the Korean Triage and Acuity Scale (KTAS) for triage assessment and integrates with the RxNorm API for medication management. The model was evaluated using the Asclepius dataset, with performance assessed by a clinical emergency medicine specialist. The CDSS demonstrated high accuracy in triage decision-making compared to the baseline of a single-agent system. Furthermore, the system exhibited strong performance in critical areas, including primary diagnosis, critical findings identification, disposition decision-making, treatment planning, and resource allocation. Our multi-agent CDSS demonstrates significant potential for supporting comprehensive emergency care management. By leveraging state-of-the-art AI technologies, this system offers a scalable and adaptable tool that could enhance emergency medical care delivery, potentially alleviating ED overcrowding and improving patient outcomes. This work contributes to the growing field of AI applications in emergency medicine and offers a promising direction for future research and clinical implementation.</t>
  </si>
  <si>
    <t>WOS:001487617900004</t>
  </si>
  <si>
    <t>Chen, XH; Wen, DX; Zuo, DC</t>
  </si>
  <si>
    <t>Chen, Xinhao; Wen, Dongxin; Zuo, Decheng</t>
  </si>
  <si>
    <t>Towards Detecting Chinese Harmful Memes with Fine-Grained Explanatory Augmentation</t>
  </si>
  <si>
    <t>Chinese harmful meme detection; Multimodal Large Language Model; content moderation system; explainable artificial intelligence</t>
  </si>
  <si>
    <t>The rapid proliferation of social media and generative large language models has increased multimodal harmful content, making harmful meme detection and explanation generation crucial for content moderation. In Chinese social media, meme harmfulness relies on implicit visual-textual interactions in cultural contexts, but existing research lacks a comprehensive understanding of such cultural specificity. This neglect of the social background knowledge and metaphorical expressions inherent in memes results in limited detection performance. To address this challenge, we propose a novel fine-grained explanation-enhanced Chinese harmful meme detection framework (FG-E2HMD), a framework using Multimodal Large Language Models (MLLMs) with a culturally aware explanation generation module to produce structured explanations, which integrate with multimodal features for decision-making. Comprehensive quantitative experiments and qualitative analyses were conducted on ToxiCN MM, the first large-scale dataset dedicated to Chinese harmful meme detection. The experimental results reveal that existing methods still have significant limitations in detecting Chinese harmful memes. Concurrently, our framework improves detection accuracy and decision transparency by incorporating explicit Chinese cultural background knowledge, paving the way for more intelligent, culturally adaptive content moderation systems.</t>
  </si>
  <si>
    <t>SEP 1</t>
  </si>
  <si>
    <t>10.3390/electronics14173504</t>
  </si>
  <si>
    <t>WOS:001569650800001</t>
  </si>
  <si>
    <t>Umer, MM</t>
  </si>
  <si>
    <t>Umer, Malik Muhammad</t>
  </si>
  <si>
    <t>Comparative Analysis of the Code Generated by Popular Large Language Models (LLMs) for MISRA C plus plus Compliance</t>
  </si>
  <si>
    <t>Codes; C plus plus languages; Standards; Chatbots; Software; Source coding; Internet; Static analysis; Software development management; Large language models; MISRA C plus plus; safety-critical systems; automated code generation; large language models (LLMs)</t>
  </si>
  <si>
    <t>Safety-critical systems are engineered systems whose failure or malfunction could result in catastrophic consequences. The software development for safety-critical systems necessitates rigorous engineering practices and adherence to certification standards like DO-178C for avionics. DO-178C is a guidance document which requires compliance to well-defined software coding standards like MISRA C++ to enforce coding guidelines that prevent the use of ambiguous, unsafe, or undefined constructs. Large Language Models (LLMs) have demonstrated significant capabilities in automatic code generation across a wide range of programming languages, including C++. Despite their impressive performance, code generated by LLMs in safety-critical domains must be carefully analyzed for conformance to MISRA C++ coding standards. In this paper, I have conducted a comparative analysis of the C++ code generated by popular LLMs including: OpenAI ChatGPT, Google Gemini, DeepSeek, Meta AI, and Microsoft Copilot for compliance with MISRA C++. The study revealed that none of the evaluated LLMs generated MISRA-compliant code despite clear prompts, with DeepSeek showing the fewest violations and Meta AI the most. While all models could correct individual violations when explicitly instructed, only ChatGPT consistently identified and resolved all targeted rule violations across complete code snippets, whereas others achieved partial success. Overall, LLMs show promise as aids for initial code generation, but they are not yet dependable for producing fully MISRA-compliant code required in safety-critical domains.</t>
  </si>
  <si>
    <t>10.1109/ACCESS.2025.3633086</t>
  </si>
  <si>
    <t>WOS:001620765800028</t>
  </si>
  <si>
    <t>Zhang, ZH; Nezhad, MJM; Hosseini, SMB; Zolnour, A; Zonour, Z; Hosseini, SM; Topaz, M; Zolnoori, M</t>
  </si>
  <si>
    <t>Zhang, Zhihong; Nezhad, Mohamad Javad Momeni; Hosseini, Seyed Mohammad Bagher; Zolnour, Ali; Zonour, Zahra; Hosseini, Seyedeh Mahdis; Topaz, Maxim; Zolnoori, Maryam</t>
  </si>
  <si>
    <t>Advancing healthcare with large language models: A scoping review of applications and future directions</t>
  </si>
  <si>
    <t>INTERNATIONAL JOURNAL OF MEDICAL INFORMATICS</t>
  </si>
  <si>
    <t>Large language model; Healthcare; Nature langue processing; Biomedicine</t>
  </si>
  <si>
    <t>AI; CHATGPT</t>
  </si>
  <si>
    <t>Background: The release of ChatGPT has spurred the widespread adoption of generative large language models (LLMs) in healthcare. This scoping review systematically examines their use in healthcare. Methods: A systematic search was conducted using PubMed, a comprehensive and representative database on biomedical and health science, to identify studies published between January 1, 2023, and July 30, 2024. Studies were included if they assessed the performance of generative LLMs in healthcare applications; review or perspective articles were excluded. Results: A total of 415 studies were included, with a significant increase in publications observed after April 2023. Generative LLMs were applied across various medical specialties, primarily supporting clinical decision-making (26.7%) and providing patient information (23.9%). Smaller proportions were focused on professional education and training (18.1%), research (16.1%), and workflow support (12.5%). These applications were mainly supported by three key NLP tasks: question answering (36.1%), text classification (27.5%), and text generation (26.3%). Public datasets appeared in 20% of studies, and 15% used clinical patient data. Of the 98 LLMs used, GPT-4 (51.3%), GPT-3.5 (36.6%), and ChatGPT (22.4%) were the most common. Direct prompting was the most common adaptation method (92.5%), with reinforcement learning rarely utilized (1.4%). Accuracy was the most frequently assessed metric, while errors and safety (9.4%) and time efficiency (7.0%) were less commonly evaluated. Conclusion: LLMs hold promise across healthcare applications. Expanding their use in workflow optimization, trainee education, and research tools could enhance healthcare delivery and innovation. Comprehensive evaluation using standardized criteria is essential for LLMs integration into healthcare.</t>
  </si>
  <si>
    <t>1386-5056</t>
  </si>
  <si>
    <t>1872-8243</t>
  </si>
  <si>
    <t>MAR 15</t>
  </si>
  <si>
    <t>10.1016/j.ijmedinf.2025.106231</t>
  </si>
  <si>
    <t>WOS:001651325800001</t>
  </si>
  <si>
    <t>Jiang, WY; Hu, FW</t>
  </si>
  <si>
    <t>Jiang, Wenyu; Hu, Fuwen</t>
  </si>
  <si>
    <t>Artificial Intelligence Agent-Enabled Predictive Maintenance: Conceptual Proposal and Basic Framework</t>
  </si>
  <si>
    <t>predictive maintenance; agentic artificial intelligence; large language models; large language model operations</t>
  </si>
  <si>
    <t>Predictive maintenance (PdM) represents a significant evolution in maintenance strategies. However, challenges such as system integration complexity, data quality, and data availability are intricately intertwined, collectively impacting the successful deployment of PdM systems. Recently, large model-based agents, or agentic artificial intelligence (AI), have evolved from simple task automation to active problem-solving and strategic decision-making. As such, we propose an AI agent-enabled PdM method that leverages an agentic AI development platform to streamline the development of a multimodal data-based fault detection agent, a RAG (retrieval-augmented generation)-based fault classification agent, a large model-based fault diagnosis agent, and a digital twin-based fault handling simulation agent. This approach breaks through the limitations of traditional PdM, which relies heavily on single models. This combination of AI workflow + large reasoning models + operational knowledge base + digital twin integrates the concepts of BaaS (backend as a service) and LLMOps (large language model operations), constructing an end-to-end intelligent closed loop from data perception to decision execution. Furthermore, a tentative prototype is demonstrated to show the technology stack and the system integration methods of the agentic AI-based PdM.</t>
  </si>
  <si>
    <t>AUG 15</t>
  </si>
  <si>
    <t>10.3390/computers14080329</t>
  </si>
  <si>
    <t>WOS:001557331500001</t>
  </si>
  <si>
    <t>Smajic, A; Karlovic, R; Dasko, MB; Lorencin, I</t>
  </si>
  <si>
    <t>Smajic, Alma; Karlovic, Ratomir; Dasko, Mieta Bobanovic; Lorencin, Ivan</t>
  </si>
  <si>
    <t>Large Language Models for Structured and Semi-Structured Data, Recommender Systems and Knowledge Base Engineering: A Survey of Recent Techniques and Architectures</t>
  </si>
  <si>
    <t>information extraction; large language models (LLMs); prompt engineering; recommender systems; Retrieval-Augmented Generation (RAG); vector databases</t>
  </si>
  <si>
    <t>Large Language Models (LLMs) are reshaping recommendation systems through enhanced language understanding, reasoning, and integration with structured data. This systematic review analyzes 88 studies published between 2023 and 2025, categorized into three thematic areas: data processing, technical identification, and LLM-based recommendation architectures. Following the Preferred Reporting Items for Systematic Reviews and Meta-Analyses (PRISMA) guidelines, the review highlights key trends such as the use of knowledge graphs, Retrieval-Augmented Generation (RAG), domain-specific fine-tuning, and robustness improvements. Findings reveal that while LLMs significantly advance semantic reasoning and personalization, challenges remain in hallucination mitigation, fairness, and domain adaptation. Technical innovations, including graph-augmented retrieval methods and human-in-the-loop validation, show promise in addressing these limitations. The review also considers the broader macroeconomic implications associated with the deployment of LLM-based systems, particularly as they relate to scalability, labor dynamics, and resource-intensive implementation in real-world recommendation contexts, emphasizing both productivity gains and potential labor market shifts. This work provides a structured overview of current methods and outlines future directions for developing reliable and efficient LLM-based recommendation systems.</t>
  </si>
  <si>
    <t>AUG 7</t>
  </si>
  <si>
    <t>10.3390/electronics14153153</t>
  </si>
  <si>
    <t>WOS:001551231800001</t>
  </si>
  <si>
    <t>Heersmink, R; de Rooij, B; Vazquez, MJC; Colombo, M</t>
  </si>
  <si>
    <t>Heersmink, Richard; de Rooij, Barend; Vazquez, Maria Jimena Clavel; Colombo, Matteo</t>
  </si>
  <si>
    <t>A phenomenology and epistemology of large language models: transparency, trust, and trustworthiness</t>
  </si>
  <si>
    <t>ETHICS AND INFORMATION TECHNOLOGY</t>
  </si>
  <si>
    <t>ChatGPT; Bard; Large language models; Transparency; Cognitive artifacts; Generative AI; Conversational AI; Algorithms; Knowledge; Trust; Big data</t>
  </si>
  <si>
    <t>KNOWLEDGE; ARTIFACTS; TALKING; BELIEF</t>
  </si>
  <si>
    <t>This paper analyses the phenomenology and epistemology of chatbots such as ChatGPT and Bard. The computational architecture underpinning these chatbots are large language models (LLMs), which are generative artificial intelligence (AI) systems trained on a massive dataset of text extracted from the Web. We conceptualise these LLMs as multifunctional computational cognitive artifacts, used for various cognitive tasks such as translating, summarizing, answering questions, information-seeking, and much more. Phenomenologically, LLMs can be experienced as a quasi-other; when that happens, users anthropomorphise them. For most users, current LLMs are black boxes, i.e., for the most part, they lack data transparency and algorithmic transparency. They can, however, be phenomenologically and informationally transparent, in which case there is an interactional flow. Anthropomorphising and interactional flow can, in some users, create an attitude of (unwarranted) trust towards the output LLMs generate. We conclude this paper by drawing on the epistemology of trust and testimony to examine the epistemic implications of these dimensions. Whilst LLMs generally generate accurate responses, we observe two epistemic pitfalls. Ideally, users should be able to match the level of trust that they place in LLMs to the degree that LLMs are trustworthy. However, both their data and algorithmic opacity and their phenomenological and informational transparency can make it difficult for users to calibrate their trust correctly. The effects of these limitations are twofold: users may adopt unwarranted attitudes of trust towards the outputs of LLMs (which is particularly problematic when LLMs hallucinate), and the trustworthiness of LLMs may be undermined.</t>
  </si>
  <si>
    <t>1388-1957</t>
  </si>
  <si>
    <t>1572-8439</t>
  </si>
  <si>
    <t>10.1007/s10676-024-09777-3</t>
  </si>
  <si>
    <t>Social Sciences - Other Topics; Information Science &amp; Library Science; Philosophy</t>
  </si>
  <si>
    <t>WOS:001249725800001</t>
  </si>
  <si>
    <t>Li, HZ; Wang, JY; Jiang, ZX; Su, GR; Yan, CW; Su, H; Wang, ZC</t>
  </si>
  <si>
    <t>Li, Houzhi; Wang, Jinyu; Jiang, Zixin; Su, Guorui; Yan, Chaowen; Su, Hao; Wang, Zhichun</t>
  </si>
  <si>
    <t>EVCharging-GPT: Predicting Electric Vehicle User Charging Behavior Using Large Language Models</t>
  </si>
  <si>
    <t>DATA INTELLIGENCE</t>
  </si>
  <si>
    <t>Large language models; Electric vehicle charging; Charging behavior prediction; Sequence prediction; Multi-task prediction</t>
  </si>
  <si>
    <t>With the rapid growth of the electric vehicle (EV) market, accurately predicting user charging behavior has become particularly important. This not only guides power distribution and charging station planning but is also crucial for improving user satisfaction and operational efficiency. This study aims to predict the charging behavior of EV users using Large Language Models (LLMs). Unlike traditional methods such as Long Short-Term Memory (LSTM) and XGBoost, or single-task prediction models, our proposed model, EVCharging-GPT, is the first to integrate the text generation capabilities of LLMs with a multi-task learning framework for EV user behavior prediction. We construct an EV user charging data processing flow and create a dataset of real scenarios for fine-tuning and testing the model. By carefully designing prompt templates, we transform the charging behavior prediction task into a text-to-text format, allowing the model to leverage its rich pre-trained knowledge base to make effective predictions. Additionally, we integrate temporal and static categorical features through natural language prompts and employ LoRA (Low-Rank Adaptation) technology to achieve efficient domain adaptation. To verify the effectiveness of the EVCharging-GPT model, we conduct extensive comparative experiments with various LLMs and traditional models. The results demonstrate the potential of the LLM-based approach for predicting user behavior in EVs and provide a solid foundation for future research and applications.</t>
  </si>
  <si>
    <t>2641-435X</t>
  </si>
  <si>
    <t>10.3724/2096-7004.di.2025.0002</t>
  </si>
  <si>
    <t>WOS:001539022300004</t>
  </si>
  <si>
    <t>Shahsavari, M; Hussain, OK; Saberi, M; Sharma, P</t>
  </si>
  <si>
    <t>Shahsavari, Maryam; Hussain, Omar Khadeer; Saberi, Morteza; Sharma, Pankaj</t>
  </si>
  <si>
    <t>Event Identification for Supply Chain Risk Management Through News Analysis by Using Large Language Models</t>
  </si>
  <si>
    <t>REVIEW OF SOCIONETWORK STRATEGIES</t>
  </si>
  <si>
    <t>Supply chain risk management; Event identification; Risk identification; Large language models; Bayesian network; Natural language processing; Information retrieval</t>
  </si>
  <si>
    <t>Event identification is important in many areas of the business world. In the supply chain risk management domain, the timely identification of risk events is vital to ensure the success of supply chain operations. One of the important sources of real-time information from across the world is news sources. However, the analysis of large amounts of daily news cannot be done manually by humans. On the other hand, extracting related news depends on the query or the keyword used in the search engine and the news content. Recent advancements in artificial intelligence have opened up opportunities to leverage intelligent techniques to automate this analysis. This paper introduces the LUEI framework, a lightweight framework that, with only the event's name as input, can autonomously learn all the related phrases associated with that event. It then employs these phrases to search for relevant news and presents the search engine results with a label indicating their relevance. Hence, by conducting this analysis, the LUEI framework is able to identify the occurrence of the event in the real world. The framework's novel contribution lies in its ability to identify those events (termed as the Contributing Events (CEs)) that contribute to the occurrence of a risk event, offering a proactive approach to risk management in supply chains. Pinpointing CEs from vast news data gives supply chain managers actionable insights to mitigate risks before they escalate.</t>
  </si>
  <si>
    <t>2523-3173</t>
  </si>
  <si>
    <t>1867-3236</t>
  </si>
  <si>
    <t>10.1007/s12626-024-00169-z</t>
  </si>
  <si>
    <t>WOS:001271161400001</t>
  </si>
  <si>
    <t>Zhao, L; Chen, X; Chen, EZ; Liu, YK; Chen, TRC; Sun, SH</t>
  </si>
  <si>
    <t>Zhao, Lin; Chen, Xiao; Chen, Eric Z.; Liu, Yikang; Chen, Terrence; Sun, Shanhui</t>
  </si>
  <si>
    <t>Retrieval-Augmented Few-Shot Medical Image Segmentation With Foundation Models</t>
  </si>
  <si>
    <t>Image segmentation; Medical diagnostic imaging; Foundation models; Training; Annotations; Adaptation models; Accuracy; Prototypes; Retrieval augmented generation; Semantics; Few-shot segmentation (FSS); foundation models; medical image; retrieval-augmented</t>
  </si>
  <si>
    <t>Medical image segmentation is crucial for clinical decision-making, but the scarcity of annotated data presents significant challenges. Few-shot segmentation (FSS) methods show promise but often require training on the target domain and struggle to generalize across different modalities. Similarly, adapting foundation models such as the segment anything model (SAM) for medical imaging has limitations, including the need for fine-tuning and domain-specific adaptation. To address these issues, we propose a novel method that adapts DINOv2 and SAM2 for retrieval-augmented few-shot medical image segmentation. Our approach uses DINOv2's feature as query to retrieve similar samples from limited annotated data, which are then encoded as memories and stored in memory bank. With the memory attention mechanism of SAM 2, the model leverages these memories as conditions to generate accurate segmentation of the target image. We evaluated our framework on three medical image segmentation tasks, demonstrating superior performance and generalizability across various modalities without the need for any retraining or fine-tuning. Overall, this method offers a practical and effective solution for few-shot medical image segmentation and holds significant potential as a valuable annotation tool in clinical applications.</t>
  </si>
  <si>
    <t>10.1109/TNNLS.2025.3568479</t>
  </si>
  <si>
    <t>WOS:001504173000001</t>
  </si>
  <si>
    <t>Qi, H; Yang, HC; Zhang, QS; Yang, ZR</t>
  </si>
  <si>
    <t>Qi, Han; Yang, Haochen; Zhang, Qiaosheng; Yang, Zhuoran</t>
  </si>
  <si>
    <t>Sample-Efficient Reinforcement Learning From Human Feedback via Information-Directed Sampling</t>
  </si>
  <si>
    <t>IEEE TRANSACTIONS ON INFORMATION THEORY</t>
  </si>
  <si>
    <t>Bayes methods; Reinforcement learning; Approximation algorithms; Standards; Mutual information; Trajectory; Training; Random variables; Optimization; Large language models; reinforcement learning from human feedback; information-directed sampling; large language models</t>
  </si>
  <si>
    <t>We study the problem of reinforcement learning from human feedback (RLHF), a critical problem in training large language models, from a theoretical perspective. Our main contribution is the design of novel sample-efficient RLHF algorithms based on information-directed sampling (IDS), an online decision-making principle inspired by information theory. Our algorithms maximize the sum of the value function and a mutual information term that encourages exploration of the unknown environment (which quantifies the information gained about the environment through observed human feedback data). To tackle the challenge of large state spaces and improve sample efficiency, we construct a simplified surrogate environment and introduce a novel distance measure (named the l(g)-distance), enabling our IDS-based algorithm to achieve a Bayesian regret upper bound of order O(H-3/2 root log (K(epsilon))T) , where H is the episode length, T is the number of episode and K(epsilon) is related to the covering number of the environment. Specializing to the tabular settings, this regret bound is of order(sic)(H-2 root SAT) , where S and A are the numbers of states and actions. Finally, we propose an Approximate-IDS algorithm that is computationally more efficient while maintaining nearly the same sample efficiency. The design principle of this approximate algorithm is not only effective in RLHF settings but also applicable to the standard RL framework. Moreover, our work showcases the value of information theory in reinforcement learning and in the training of large language models.</t>
  </si>
  <si>
    <t>0018-9448</t>
  </si>
  <si>
    <t>1557-9654</t>
  </si>
  <si>
    <t>10.1109/TIT.2025.3598296</t>
  </si>
  <si>
    <t>Computer Science; Engineering; Mathematics</t>
  </si>
  <si>
    <t>WOS:001582064500038</t>
  </si>
  <si>
    <t>Praseed, A; Rodrigues, J; Thilagam, PS</t>
  </si>
  <si>
    <t>Praseed, Amit; Rodrigues, Jelwin; Thilagam, P. Santhi</t>
  </si>
  <si>
    <t>Hindi fake news detection using transformer ensembles</t>
  </si>
  <si>
    <t>Fake news; Transformer; Hindi fake news; mBERT; ELECTRA; XLM-RoBERTa; Ensemble</t>
  </si>
  <si>
    <t>In the past few decades, due to the growth of social networking sites such as Whatsapp and Facebook, information distribution has been at a level never seen before. Knowing the integrity of information has been a long-standing problem, even more so for the regional languages. Regional languages, such as Hindi, raise challenging problems for fake news detection as they tend to be resource constrained. This limits the amount of data available to efficiently train models for these languages. Most of the existing techniques to detect fake news is targeted towards the English language or involves the manual translation of the language to the English language and then proceeding with Deep Learning methods. Pre-trained transformer based models such as BERT are fine-tuned for the task of fake news detection and are commonly employed for detecting fake news. Other pre-trained transformer models, such as ELECTRA and RoBERTa have also been shown to be able to detect fake news in multiple languages after suitable fine-tuning. In this work, we propose a method for detecting fake news in resource constrained languages such as Hindi more efficiently by using an ensemble of pre-trained transformer models, all of which are individually fine-tuned for the task of fake news detection. We demonstrate that the use of such a transformer ensemble consisting of XLM-RoBERTa, mBERT and ELECTRA is able to improve the efficiency of fake news detection in Hindi by overcoming the drawbacks of individual transformer models.</t>
  </si>
  <si>
    <t>10.1016/j.engappai.2022.105731</t>
  </si>
  <si>
    <t>DEC 2022</t>
  </si>
  <si>
    <t>WOS:000909702400001</t>
  </si>
  <si>
    <t>Kim, JK; Rickard, M; Dangle, P; Batra, N; Chua, ME; Khondker, A; Szymanski, KM; Misseri, R; Lorenzo, AJ</t>
  </si>
  <si>
    <t>Kim, Jin Kyu; Rickard, Mandy; Dangle, Pankaj; Batra, Nikhil; Chua, Michael E.; Khondker, Adree; Szymanski, Korand M.; Misseri, Rosalia; Lorenzo, Armando J.</t>
  </si>
  <si>
    <t>Evaluating large language models for title/abstract screening: a systematic review and meta-analysis &amp; development of new tool</t>
  </si>
  <si>
    <t>JOURNAL OF MEDICAL ARTIFICIAL INTELLIGENCE</t>
  </si>
  <si>
    <t>Large language model (LLM); systematic review (SR); abstract screening; title screening; automation</t>
  </si>
  <si>
    <t>Background: Screening titles and abstracts for systematic reviews (SRs) is a labor-intensive and errorprone process. With the advent of large language models (LLMs), there is potential to automate and improve the efficiency of this process. This study aims to develop an LLM-based screening tool and compare its performance with existing LLM models in terms of sensitivity, specificity, and precision. Methods: A SR was conducted in August 2024, searching the MEDLINE, Embase, and Scopus databases for studies reporting performance metrics (sensitivity, specificity, precision) of LLM models for automatic title/abstract screening. Studies were included if they reported sufficient data to create a confusion matrix, while those requiring human intervention were excluded. Data extraction followed PRISMA guidelines, and performance metrics were pooled and summarized using forest plots and summary receiver operating characteristic (SROC) curves. Risk of bias was assessed using the Quality Assessment of Diagnostic Accuracy Studies 2 (QUADAS-2) tool. The authors created a screening tool utilizing GPT-4o-mini model and tested their utility using existing SRs. Results: The SR identified 14 LLM-based models, with varying performance metrics. The SROC analysis indicated overall excellent performance with sensitivity and specificity approaching 90%, with overall low risk of bias. In comparison, our developed model achieved 100% sensitivity but lower specificity (81%) and precision (14%). It processed entries at a speed of 1.7 seconds per entry with minimal cost. Conclusions: LLM-based models offer a promising, cost-effective alternative to manual SR screening. Although these models achieve high sensitivity, the trade-off in specificity requires careful consideration. The integration of LLMs in SR processes could enhance efficiency while maintaining reliability in academic research.</t>
  </si>
  <si>
    <t>2617-2496</t>
  </si>
  <si>
    <t>DEC 30</t>
  </si>
  <si>
    <t>10.21037/jmai-24-408</t>
  </si>
  <si>
    <t>WOS:001586976400001</t>
  </si>
  <si>
    <t>Alfirevic, N; Rendulic, D; Fosner, M; Fosner, A</t>
  </si>
  <si>
    <t>Alfirevic, Niksa; Rendulic, Darko; Fosner, Maja; Fosner, Ajda</t>
  </si>
  <si>
    <t>Educational Roles and Scenarios for Large Language Models: An Ethnographic Research Study of Artificial Intelligence</t>
  </si>
  <si>
    <t>INFORMATICS-BASEL</t>
  </si>
  <si>
    <t>Large Language Models; artificial intelligence; educational roles; educational scenarios; ethnographic research</t>
  </si>
  <si>
    <t>TECHNOLOGIES</t>
  </si>
  <si>
    <t>This paper reviews the theoretical background and potential applications of Large Language Models (LLMs) in educational processes and academic research. Utilizing a novel digital ethnographic approach, we engaged in iterative research with OpenAI's ChatGPT-4 and Google's Gemini Ultra-two advanced commercial LLMs. The methodology treated LLMs as research participants, emphasizing the AI-guided perspectives and their envisioned roles in educational settings. Our findings identified the potential LLM roles in educational and research processes and we discussed the AI challenges, which included potential biases in decision-making and AI as a potential source of discrimination and conflict of interest. In addition to practical implications, we used the qualitative research results to advise on the relevant topics for future research.</t>
  </si>
  <si>
    <t>2227-9709</t>
  </si>
  <si>
    <t>10.3390/informatics11040078</t>
  </si>
  <si>
    <t>WOS:001384720300001</t>
  </si>
  <si>
    <t>Liu, JY; Hao, WN; Cheng, K; Jin, DW</t>
  </si>
  <si>
    <t>Liu, Junyang; Hao, Wenning; Cheng, Kai; Jin, Dawei</t>
  </si>
  <si>
    <t>Large language model-based planning agent with generative memory strengthens performance in textualized world</t>
  </si>
  <si>
    <t>Large language model; Textualized task planning; Autonomous agents; Generative memory; Embodied intelligence planning; Reinforcement Learning from Human Feedback</t>
  </si>
  <si>
    <t>This paper constructs a planning agent with generative memory (GM-Agent) based on Large Language Models (LLM) to address the complex planning problems in textualized world. GM-Agent perceives and makes decisions by representing the world as a quintuple, constructing a textualized world model (TWM), and generating memory. Its generative rewards and strategies can optimize the decision-making performance. Baseline results demonstrate that under the LandWar benchmark, compared with prompt-based generative agents and the traditional Reinforcement Learning from Human Feedback (RLHF) framework, GM-Agent can exhibit stronger continuous planning capabilities. The degree to which GM-Agent follows instructions has increased by 137.25%, and the degree to which its decisions are aligned with human experience has increased by 51.69%. The execution ability of mainline tasks and the convergence performance of the model demonstrate state- of-the-arts (SOTA). In comparisons with various benchmark artificial intelligences (AIs), GM-Agent performs excellently, especially showing obvious advantages in adversarial tasks, with a maximum 96.08% improvement in the performance of mainline tasks. Orthogonal experiments prove the effectiveness of the proposed reward scoring and advantage function. We have demonstrated the framework portability and application scenario generalization capabilities of GM-Agent in different LLM frameworks and benchmarks in different fields. It shows excellent performance in the complex field of embodied intelligence planning. However, there is still a certain gap compared with advanced technologies in scientific common sense and logical reasoning tasks. We have demonstrated the application potential of GM-Agent in multiple application scenarios, and found its deficiencies in terms of stability, observation subjectivity, feedback ability, and flexibility.</t>
  </si>
  <si>
    <t>MAY 15</t>
  </si>
  <si>
    <t>10.1016/j.engappai.2025.110319</t>
  </si>
  <si>
    <t>WOS:001442158400001</t>
  </si>
  <si>
    <t>Lassche, H; Overeem, M; Rastogi, A</t>
  </si>
  <si>
    <t>Lassche, Herman; Overeem, Michiel; Rastogi, Ayushi</t>
  </si>
  <si>
    <t>Is our chatbot telling lies? Assessing correctness of an LLM-based Dutch support chatbot</t>
  </si>
  <si>
    <t>JOURNAL OF SYSTEMS AND SOFTWARE</t>
  </si>
  <si>
    <t>Trustworthy AI; Validation of AI-based system; Correctness; Chatbot; Large language models</t>
  </si>
  <si>
    <t>SEMANTIC SIMILARITY</t>
  </si>
  <si>
    <t>Companies support their customers using live chats and chatbots to gain their loyalty. AFAS is a Dutch company aiming to leverage the opportunity large language models (LLMs) offer to answer customer queries with minimal to no input from its customer support team. Adding to its complexity, it is unclear what makes a response correct, and that too in Dutch. Further, with minimal data available for training, the challenge is to identify whether an answer generated by a large language model is correct and do it on the fly. This study is the first to define the correctness of a response based on how the support team at AFAS makes decisions. It leverages literature on natural language generation and automated answer grading systems to automate the decision-making of the customer support team. We investigated questions requiring a binary response (e.g., Would it be possible to adjust tax rates manually?) or instructions (e.g., How would I adjust tax rate manually?) to test how close our automated approach reaches support rating. Our approach can identify wrong messages in 55 % of the cases. This work demonstrates the potential for automatically assessing when our chatbot may provide incorrect or misleading answers. Specifically, we contribute (1) a definition and metrics for assessing correctness, and (2) suggestions to improve correctness with respect to regional language and question type.</t>
  </si>
  <si>
    <t>0164-1212</t>
  </si>
  <si>
    <t>1873-1228</t>
  </si>
  <si>
    <t>10.1016/j.jss.2025.112699</t>
  </si>
  <si>
    <t>WOS:001637446000001</t>
  </si>
  <si>
    <t>Ran, H; Gao, XY; Li, LS; Li, WJ; Tian, SS; Wang, G; Shi, HL; Ning, X</t>
  </si>
  <si>
    <t>Ran, Hang; Gao, Xingyu; Li, Lusi; Li, Weijun; Tian, Songsong; Wang, Gang; Shi, Hailong; Ning, Xin</t>
  </si>
  <si>
    <t>Brain-Inspired Fast-and Slow-Update Prompt Tuning for Few-Shot Class-Incremental Learning</t>
  </si>
  <si>
    <t>Power capacitors; Tuning; Training; Brain modeling; Metalearning; Visualization; Adaptation models; Brain-inspired; few-shot class-incremental learning (FSCIL); foundation models; meta-learning; prompt tuning</t>
  </si>
  <si>
    <t>Few-shot class-incremental learning (FSCIL) aims to learn new classes incrementally with a limited number of samples per class. Foundation models combined with prompt tuning showcase robust generalization and zero-shot learning (ZSL) capabilities, endowing them with potential advantages in transfer capabilities for FSCIL. However, existing prompt tuning methods excel in optimizing for stationary datasets, diverging from the inherent sequential nature in the FSCIL paradigm. To address this issue, taking inspiration from the fast and slow mechanism of the complementary learning systems (CLSs) in the brain, we present fast-and slow-update prompt tuning FSCIL (FSPT-FSCIL), a brain-inspired prompt tuning method for transferring foundation models to the FSCIL task. We categorize the prompts into two groups: fast-update prompts and slow-update prompts, which are interactively trained through meta-learning. Fast-update prompts aim to learn new knowledge within a limited number of iterations, while slow-update prompts serve as meta-knowledge and aim to strike a balance between rapid learning and avoiding catastrophic forgetting. Through experiments on multiple benchmark tests, we demonstrate the effectiveness and superiority of FSPT-FSCIL.</t>
  </si>
  <si>
    <t>10.1109/TNNLS.2024.3454237</t>
  </si>
  <si>
    <t>WOS:001317693800001</t>
  </si>
  <si>
    <t>Zhang, L; Yue, D; Hancke, GP; Dou, CX; Yu, L; Chen, ZQ</t>
  </si>
  <si>
    <t>Zhang, Liang; Yue, Dong; Hancke, Gerhard P.; Dou, Chunxia; Yu, Liang; Chen, Zhiqiang</t>
  </si>
  <si>
    <t>Optimization of Energy and Carbon Emissions in Integrated Energy System Based on Deep Reinforcement Learning Assisted by Large Language Model</t>
  </si>
  <si>
    <t>Optimization; Hydrogen; Electricity; Resistance heating; Optimal scheduling; Costs; Emissions trading; Job shop scheduling; Decision making; State of charge; Deep reinforcement learning (DRL); energy and carbon trading; integrated energy system (IES); large language model (LLM); price mechanisms; trading strategies</t>
  </si>
  <si>
    <t>Integrated energy system (IES) facilitates efficient energy conversion and utilization. However, the joint optimization of energy use and carbon emissions (CEs) remains a significant and widely recognized challenge in this field. In this article, to solve the problem, a novel decision-making framework is proposed with leveraging a large language model (LLM) to assist deep reinforcement learning (DRL). First, a dynamic priority trading strategy is designed based on real-time supply and demand, which is adjusted dynamically through a trading matrix. Furthermore, a bidirectional equilibrium pricing mechanism is designed to determine reasonable prices that balance the interests of trading parties. Finally, the powerful inference and analysis capabilities of the LLM are leveraged to optimize DRL algorithms through interactive iterations and feedback loops, thereby enhancing decision-making performance. The experimental results demonstrate that the improved algorithm outperforms the baseline algorithm in terms of cost control, CE limitation.</t>
  </si>
  <si>
    <t>10.1109/TII.2025.3578123</t>
  </si>
  <si>
    <t>WOS:001547006500001</t>
  </si>
  <si>
    <t>Loubet, R; Zittlau, P; Vollmer, L; Hoffmann, M; Fellenz, S; Jirasek, F; Leitte, H; Hasse, H</t>
  </si>
  <si>
    <t>Loubet, Rebecca; Zittlau, Pascal; Vollmer, Luisa; Hoffmann, Marco; Fellenz, Sophie; Jirasek, Fabian; Leitte, Heike; Hasse, Hans</t>
  </si>
  <si>
    <t>Using large language models for solving textbook-style thermodynamic problems</t>
  </si>
  <si>
    <t>Large Language Models (LLMs); GPT; Llama 3.1; le Chat; Thermodynamics; Benchmark problems; Test set; LLM grading; LLM performance; Knowledge-based systems; KnowTD</t>
  </si>
  <si>
    <t>Large Language Models (LLMs) have made significant progress in reasoning, demonstrating their capability to generate human-like responses. This study analyzes the problem-solving capabilities of LLMs in the domain of thermodynamics. A benchmark of 22 textbook-style thermodynamic problems to evaluate LLMs is presented that contains both simple and advanced problems. Five different LLMs are assessed: GPT-3.5, GPT-4, and GPT-4o from OpenAI, Llama 3.1 from Meta, and le Chat from MistralAI. The answers of these LLMs were evaluated by trained human experts, following a methodology akin to the grading of academic exam responses. The scores and the consistency of the answers are discussed, together with the analytical skills of the LLMs. Both strengths and weaknesses of the LLMs become evident. They generally yield good results for the simple problems, but also limitations become clear: The LLMs do not provide consistent results, they often fail to fully comprehend the context and make wrong assumptions. Given the complexity and domain-specific nature of the problems, the statistical language modeling approach of the LLMs struggles with the accurate interpretation and the required reasoning. The present results highlight the need for more systematic integration of thermodynamic knowledge with LLMs, for example, by using knowledge-based methods.</t>
  </si>
  <si>
    <t>10.1016/j.compchemeng.2025.109333</t>
  </si>
  <si>
    <t>WOS:001604870200001</t>
  </si>
  <si>
    <t>Kong, YX; Nie, YQ; Dong, XW; Mulvey, JM; Poor, HV; Wen, QS; Zohren, S</t>
  </si>
  <si>
    <t>Kong, Yaxuan; Nie, Yuqi; Dong, Xiaowen; Mulvey, John M.; Poor, H. Vincent; Wen, Qingsong; Zohren, Stefan</t>
  </si>
  <si>
    <t>Large Language Models for Financial and Investment Management: Models, Opportunities, and Challenges</t>
  </si>
  <si>
    <t>JOURNAL OF PORTFOLIO MANAGEMENT</t>
  </si>
  <si>
    <t>The intersection of artificial intelligence (AI) and financial management has gained significant attention, particularly with the rise of large language models (LLMs). These models process vast amounts of unstructured data, offering powerful tools for financial analysis and investment decision-making. This article explores the use of LLMs in finance, focusing on recent advancements, models, and technologies, while addressing the opportunities and challenges they present. It highlights the strengths and limitations of finance-specific models in handling complex tasks and identifies key challenges such as data issues, modeling complexities, and ethical concerns, which also present opportunities for innovation. The article provides a comprehensive overview of LLMs in finance, underscoring their potential to transform the field while emphasizing the need to carefully consider their limitations and risks. The integration of LLMs into financial decision making holds significant promise, offering new possibilities for research and practical applications.</t>
  </si>
  <si>
    <t>0095-4918</t>
  </si>
  <si>
    <t>2168-8656</t>
  </si>
  <si>
    <t>10.3905/jpm.2024.1.645</t>
  </si>
  <si>
    <t>WOS:001388459900001</t>
  </si>
  <si>
    <t>Lin, ZY; Chen, YR; Liu, ZY</t>
  </si>
  <si>
    <t>Lin, Zhenyang; Chen, Yurou; Liu, Zhiyong</t>
  </si>
  <si>
    <t>AutoSkill: Hierarchical Open-Ended Skill Acquisition for Long-Horizon Manipulation Tasks via Language-Modulated Rewards</t>
  </si>
  <si>
    <t>IEEE TRANSACTIONS ON COGNITIVE AND DEVELOPMENTAL SYSTEMS</t>
  </si>
  <si>
    <t>Robots; Libraries; Switches; Robot kinematics; Planning; Large language models; Grounding; Visualization; Training; Semantics; Hierarchical policy learning; large language model (LLM); long-horizon manipulation tasks</t>
  </si>
  <si>
    <t>A desirable property of generalist robots is the ability to both bootstrap diverse skills and solve new long-horizon tasks in open-ended environments without human intervention. Recent advancements have shown that large language models (LLMs) encapsulate vast-scale semantic knowledge about the world to enable long-horizon robot planning. However, they are typically restricted to reasoning high-level instructions and lack world grounding, which makes it difficult for them to coordinately bootstrap and acquire new skills in unstructured environments. To this end, we propose AutoSkill, a hierarchical system that empowers the physical robot to automatically learn to cope with new long-horizon tasks by growing an open-ended skill library without hand-crafted rewards. AutoSkill consists of two key components: 1) an in-context skill chain generation and new skill bootstrapping guided by LLMs that inform the robot of discrete and interpretable skill instructions for skill retrieval and augmentation within the skill library; and 2) a zero-shot language-modulated reward scheme in conjunction with a meta prompter facilitates online new skill acquisition via expert-free supervision aligned with proposed skill directives. Extensive experiments conducted in both simulated and realistic environments demonstrate AutoSkill's superiority over other LLM-based planners as well as hierarchical methods in expediting online learning for novel manipulation tasks.</t>
  </si>
  <si>
    <t>2379-8920</t>
  </si>
  <si>
    <t>2379-8939</t>
  </si>
  <si>
    <t>10.1109/TCDS.2025.3551298</t>
  </si>
  <si>
    <t>Computer Science; Robotics; Neurosciences &amp; Neurology</t>
  </si>
  <si>
    <t>WOS:001592218900017</t>
  </si>
  <si>
    <t>Li, SR; Wong, KW; Wang, GJ; Duong, TT</t>
  </si>
  <si>
    <t>Li, Sirui; Wong, Kok Wai; Wang, Guanjin; Duong, Thach-Thao</t>
  </si>
  <si>
    <t>A systematic review of multi-modal large language models on domain-specific applications</t>
  </si>
  <si>
    <t>Multi-modal large language model; Domain-specific applications; Systematic review</t>
  </si>
  <si>
    <t>While Large Language Models (LLMs) have shown remarkable proficiency in text-based tasks, they struggle to interact effectively with the more realistic world without the perceptions of other modalities such as visual and audio. Multi-modal LLMs, which integrate these additional modalities, have become increasingly important across various domains. Despite the significant advancements and potential of multi-modal LLMs, there has been no comprehensive PRISMA-based systematic review that examines their applications across different domains. The objective of this work is to fill this gap by systematically reviewing and synthesising the quantitative research literature on domain-specific applications of multi-modal LLMs. This systematic review follows the PRISMA guidelines to analyse research literature published after 2022, the release of OpenAI's ChatGPT\documentclass[12pt]{minimal} \usepackage{amsmath} \usepackage{wasysym} \usepackage{amsfonts} \usepackage{amssymb} \usepackage{amsbsy} \usepackage{mathrsfs} \usepackage{upgreek} \setlength{\oddsidemargin}{-69pt} \begin{document}$$-$$\end{document}3.5. The literature search was conducted across several online databases, including Nature, Scopus, and Google Scholar. A total of 22 studies were identified, with 11 focusing on the medical domain, 3 on autonomous driving, and 2 on geometric analysis. The remaining studies covered a range of topics, with one each on climate, music, e-commerce, sentiment analysis, human-robot interaction, and construction. This review provides a comprehensive overview of the current state of multi-modal LLMs, highlights their domain-specific applications, and identifies gaps and future research directions.</t>
  </si>
  <si>
    <t>OCT 17</t>
  </si>
  <si>
    <t>10.1007/s10462-025-11398-1</t>
  </si>
  <si>
    <t>WOS:001595347400006</t>
  </si>
  <si>
    <t>Oprea, SV; Bara, A</t>
  </si>
  <si>
    <t>Oprea, Simona-Vasilica; Bara, Adela</t>
  </si>
  <si>
    <t>Fake news in elections: leveraging large language models using semantic analyses to extract insights from academic research</t>
  </si>
  <si>
    <t>CONNECTION SCIENCE</t>
  </si>
  <si>
    <t>Fake news; semantic analysis; social media; latent topics; large language models</t>
  </si>
  <si>
    <t>This paper examines the delicate balance between fake news and freedom of speech by analyzing academic research at the intersection of fake news and election. Using 568 publications from the Web of Science database, the research applies data analytics and natural language processing (NLP) methods to uncover geographical patterns, thematic trends and sentiment in the scholarly discourse. Named Entity Recognition identifies the most studied countries and platforms, while topic modeling reveals recurring themes such as political misinformation, media influence and the role of artificial intelligence in fake news detection. The originality of this work lies in its integration of bibliometric analysis with advanced NLP-driven semantic, large language models and sentiment approaches, offering a multidimensional view of how fake news is framed in academic contexts. Unlike prior studies, it quantifies emerging trends using Compound Annual Growth Rate (CAGR), identifies propagation mechanisms like sharing and engagement, and bridges computational and social science perspectives. Findings show a strong research focus on misinformation during elections since 2016, with Brazil, Spain and the United States as leading contributors, and Twitter (R) and Facebook (R) as the most frequently studied platforms. Our research contributes to a deeper understanding of how misinformation and freedom of speech are debated in scholarly literature and underscores the need for interdisciplinary approaches to safeguard democratic integrity in the digital era.</t>
  </si>
  <si>
    <t>0954-0091</t>
  </si>
  <si>
    <t>1360-0494</t>
  </si>
  <si>
    <t>DEC 31</t>
  </si>
  <si>
    <t>10.1080/09540091.2025.2587447</t>
  </si>
  <si>
    <t>WOS:001619992100001</t>
  </si>
  <si>
    <t>Tutar, H; Bilan, S; Sentürk, Ü</t>
  </si>
  <si>
    <t>Tutar, Hasan; Bilan, Svitlana; Senturk, Umit</t>
  </si>
  <si>
    <t>IS THERE CONSISTENCY IN ETHICAL SENSITIVITY IN ARTIFICIAL INTELLIGENCE? A REVIEW OF LANGUAGE MODELS</t>
  </si>
  <si>
    <t>HUMAN TECHNOLOGY</t>
  </si>
  <si>
    <t>ethical consistency; large language models (LLM); thematic analysis; empathy pattern; contextual variation</t>
  </si>
  <si>
    <t>This study examines the structural and content consistency of large language models (LLMs) in ethical decision making with a qualitative approach. Responses to basic ethical themes such as justice, non-maleficence, autonomy, impartiality, and goodness were evaluated using the thematic analysis method of Braun and Clarke (2006). The three-stage coding process analyzed empathy patterns, contextual transitions, and relationships between themes. The findings, supported by Pythonsupported frequency and variation analyses, revealed that the models exhibited high empathy and solution determination in the themes of inclusiveness and communication but low structural consistency in the themes of religion and disability. The responses to the same ethical theme in different contexts were determined to carry semantic shifts. This original study emphasizes that ethical sensitivity should be evaluated based on patterns.</t>
  </si>
  <si>
    <t>1795-6889</t>
  </si>
  <si>
    <t>10.14254/1795-6889.2025.21-2.4</t>
  </si>
  <si>
    <t>Information Science &amp; Library Science; Social Sciences - Other Topics</t>
  </si>
  <si>
    <t>WOS:001606067800001</t>
  </si>
  <si>
    <t>Yan, YF; Hou, Y; Xiao, YK; Zhang, R; Wang, QW</t>
  </si>
  <si>
    <t>Yan, Youfu; Hou, Yu; Xiao, Yongkang; Zhang, Rui; Wang, Qianwen</t>
  </si>
  <si>
    <t>KNowNEt:Guided Health Information Seeking from LLMs via Knowledge Graph Integration</t>
  </si>
  <si>
    <t>Knowledge graphs; Visualization; Alzheimer's disease; Accuracy; Data visualization; Large language models; Electronic mail; Human-AI interactions; knowledge graph; conversational agent; large language model; progressive visualization</t>
  </si>
  <si>
    <t>VISUAL ANALYSIS</t>
  </si>
  <si>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t>
  </si>
  <si>
    <t>10.1109/TVCG.2024.3456364</t>
  </si>
  <si>
    <t>WOS:001370107500005</t>
  </si>
  <si>
    <t>Sun, LS; Liu, DD; Wang, MX; Han, YY; Zhang, YQ; Zhou, BW; Ren, Y; Zhu, P</t>
  </si>
  <si>
    <t>Sun, Lianshan; Liu, Diandong; Wang, Maoxue; Han, Yongyi; Zhang, Yanqing; Zhou, Biwei; Ren, Yi; Zhu, Peng</t>
  </si>
  <si>
    <t>Taming Unleashed Large Language Models With Blockchain for Massive Personalized Reliable Healthcare</t>
  </si>
  <si>
    <t>IEEE JOURNAL OF BIOMEDICAL AND HEALTH INFORMATICS</t>
  </si>
  <si>
    <t>Medical services; Reliability; Blockchains; Medical diagnostic imaging; Retrieval augmented generation; Hospitals; History; Electronic healthcare; Collaboration; Cognition; Agent; blockchain; digital health; large language model; reliability</t>
  </si>
  <si>
    <t>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t>
  </si>
  <si>
    <t>2168-2194</t>
  </si>
  <si>
    <t>2168-2208</t>
  </si>
  <si>
    <t>10.1109/JBHI.2025.3528526</t>
  </si>
  <si>
    <t>Computer Science; Mathematical &amp; Computational Biology; Medical Informatics</t>
  </si>
  <si>
    <t>WOS:001504143000048</t>
  </si>
  <si>
    <t>Liu, SX; Cheng, HX; Wang, YF; He, Y; Fan, CJ; Liu, Z</t>
  </si>
  <si>
    <t>Liu, Shixuan; Cheng, Haoxiang; Wang, Yunfei; He, Yue; Fan, Changjun; Liu, Zhong</t>
  </si>
  <si>
    <t>EvoPath: Evolutionary meta-path discovery with large language models for complex heterogeneous information networks</t>
  </si>
  <si>
    <t>INFORMATION PROCESSING &amp; MANAGEMENT</t>
  </si>
  <si>
    <t>Meta-path discovery; Large language models; Heterogeneous information networks</t>
  </si>
  <si>
    <t>Heterogeneous Information Networks (HINs) encapsulate diverse entity and relation types, with meta-paths providing essential meta-level semantics for knowledge reasoning, although their utility is constrained by discovery challenges. While Large Language Models (LLMs) offer new prospects for meta-path discovery due to their extensive knowledge encoding and efficiency, their adaptation faces challenges such as corpora bias, lexical discrepancies, and hallucination. This paper pioneers the mitigation of these challenges by presenting EvoPath, an innovative framework that leverages LLMs to efficiently identify high-quality meta-paths. EvoPath is carefully designed, with each component aimed at addressing issues that could lead to potential knowledge conflicts. With a minimal subset of HIN facts, EvoPath iteratively generates and evolves meta-paths by dynamically replaying meta-paths in the buffer with prioritization based on their scores. Comprehensive experiments on three large, complex HINs with hundreds of relations demonstrate that our framework, EvoPath, enables LLMs to generate high-quality meta-paths through effective prompting, confirming its superior performance in HIN reasoning tasks. Further ablation studies validate the effectiveness of each module within the framework.</t>
  </si>
  <si>
    <t>0306-4573</t>
  </si>
  <si>
    <t>1873-5371</t>
  </si>
  <si>
    <t>10.1016/j.ipm.2024.103920</t>
  </si>
  <si>
    <t>Computer Science; Information Science &amp; Library Science</t>
  </si>
  <si>
    <t>WOS:001339419600001</t>
  </si>
  <si>
    <t>Hendrik, H; Fauziati, S; Permanasari, AE</t>
  </si>
  <si>
    <t>Hendrik, Hendrik; Fauziati, Silmi; Permanasari, Adhistya Erna</t>
  </si>
  <si>
    <t>Enhancing Knowledge Graph Construction with Automated Source Evaluation Using Large Language Models</t>
  </si>
  <si>
    <t>JOURNAL OF UNIVERSAL COMPUTER SCIENCE</t>
  </si>
  <si>
    <t>Knowledge Graphs; Large Language Models; Automated Evaluation; Quality Control System; Halal Tourism</t>
  </si>
  <si>
    <t>Knowledge graphs are a powerful way to represent and organize complex knowledge. They are used in many fields, like healthcare and finance. They allow for more insightful decision-making and discoveries. However, the quality of knowledge graphs depends heavily on their sources. Current methods for evaluating these sources are often slow and not scalable. They struggle to keep up with the large amount of online information. We created a new tool to address this problem. Our tool uses Large Language Models (LLMs) to assess online sources quickly. It evaluates websites based on credibility, relevance, content quality, coverage, comprehensiveness, and accessibility. We tested our tool on Halal tourism websites in Japan. We compared LLM evaluations with human expert judgments. Our comprehensive analysis revealed that certain LLM models, particularly GPT-3.5-turbo, GPT-4, and Mixtral-8x7B-Instruct-v0.1, showed strong correlation with human evaluations. Using a temperature setting of 0.4, these models demonstrated consistent and reliable performance across multiple evaluation runs. Our structured evaluation framework, incorporating weighted criteria validated through both expert input and statistical analysis, provides a robust foundation for automated source assessment. While some models showed varying performance across different criteria, our findings suggest that careful model selection and potential ensemble approaches could optimize evaluation accuracy. Our work contributes significantly to improving knowledge graph construction by demonstrating the viability of LLM-based source evaluation, while also identifying key areas for future research in scalability, cross-domain validation, and automated optimization.</t>
  </si>
  <si>
    <t>0948-695X</t>
  </si>
  <si>
    <t>0948-6968</t>
  </si>
  <si>
    <t>10.3897/jucs.137103</t>
  </si>
  <si>
    <t>WOS:001490477100005</t>
  </si>
  <si>
    <t>Harris, N; Butani, A; Hashmy, S</t>
  </si>
  <si>
    <t>Harris, Nicholas; Butani, Anand; Hashmy, Syed</t>
  </si>
  <si>
    <t>Enhancing Embedding Performance through Large Language Model-based Text Enrichment and Rewriting</t>
  </si>
  <si>
    <t>Large language models; Natural language processing; ChatGPT 3.5</t>
  </si>
  <si>
    <t>Embedding models are crucial for various natural language processing tasks but can be limited by factors such as limited vocabulary, lack of context, and grammatical errors. This paper proposes a novel approach to improve embedding performance by leveraging Large Language Models (LLMs) to enrich and rewrite input text before the embedding process. By utilizing ChatGPT 3.5 to provide additional context, correct inaccuracies, and incorporate metadata, the proposed method aims to enhance the utility and accuracy of embedding models. The effectiveness of this approach is evaluated on three datasets: Banking77Classification, TwitterSemEval 2015, and Amazon Counter-factual Classification. The results demonstrate significant improvements over the baseline model on the TwitterSemEval 2015 dataset, with the best-performing prompt achieving an average precision based on cosine similarity score of 85.34 compared to the previous best of 81.52 on the Massive Text Embedding Benchmark (MTEB) Leaderboard. However, performance on the other two datasets i.e. Banking77Classification and Amazon Counter Factual was less impressive. The findings suggest that LLM-based text enrichment has shown promising results to improve embedding performance, particularly in certain domains. Hence, numerous limitations in the process of embedding can be avoided.</t>
  </si>
  <si>
    <t>WOS:001305393000015</t>
  </si>
  <si>
    <t>Wang, R; Ding, Y; Shen, YJ; Liu, HY; Wang, P; Gao, ZX</t>
  </si>
  <si>
    <t>Wang, Rong; Ding, Yue; Shen, Yajun; Liu, Haiyong; Wang, Ping; Gao, Zhixiang</t>
  </si>
  <si>
    <t>Comparative Evaluation of Teaching Plans on Prostate Cancer Generated by Various Large Language Models and a Human Expert</t>
  </si>
  <si>
    <t>ENGINEERING REPORTS</t>
  </si>
  <si>
    <t>artificial intelligence; large language models; medical education; prostate cancer; teaching plans</t>
  </si>
  <si>
    <t>Prostate cancer remains one of the most common malignancies affecting men globally, characterized by high morbidity and mortality rates. The complexity and variability of the disease necessitate diverse treatment strategies, ranging from active surveillance to more aggressive interventions such as radical prostatectomy, radiation therapy, and androgen deprivation therapy. This study investigates the potential of large language models (LLMs) in generating educational content for prostate cancer, focusing on the creation of teaching plans in both Chinese and English. Four LLMs-GPT-4 (OpenAI), Gemini 1.5 Pro (Google), Kimi AI (Microsoft), and Douban (ByteDance)-were evaluated against teaching plans developed by an experienced urology professor. A double-blind assessment by 25 urology faculty members using a standardized 10-point scale was employed to compare the quality of curriculum content, learning objectives, and outcomes. The results revealed that GPT-4 and Gemini 1.5 Pro outperformed Kimi AI and Douban, yet still lagged behind human-generated plans, particularly in Chinese. Statistical analyses indicated significant differences in the quality scores among the LLMs and the human experts, underscoring the necessity of integrating domain-specific knowledge into AI-generated content. This research highlights the promise and limitations of LLMs in medical education, suggesting that future developments should focus on hybrid models that combine artificial intelligence with human expertise to enhance educational efficacy.</t>
  </si>
  <si>
    <t>2577-8196</t>
  </si>
  <si>
    <t>e70303</t>
  </si>
  <si>
    <t>10.1002/eng2.70303</t>
  </si>
  <si>
    <t>Computer Science; Engineering; Materials Science</t>
  </si>
  <si>
    <t>WOS:001561325800026</t>
  </si>
  <si>
    <t>Arakawa, R; Lehman, JF; Goel, M</t>
  </si>
  <si>
    <t>Arakawa, Riku; Lehman, Jill Fain; Goel, Mayank</t>
  </si>
  <si>
    <t>PrISM-Q&amp;A: Step-Aware Voice Assistant on a Smartwatch Enabled by Multimodal Procedure Tracking and Large Language Models</t>
  </si>
  <si>
    <t>context-aware; procedure tracking; task assistance; large language models; question answering</t>
  </si>
  <si>
    <t>Voice assistants capable of answering user queries during various physical tasks have shown promise in guiding users through complex procedures. However, users often find it challenging to articulate their queries precisely, especially when unfamiliar with the specific terminologies required for machine-oriented tasks. We introduce PrISM-Q&amp;A, a novel question- answering (Q&amp;A) interaction termed step-aware Q&amp;A, which enhances the functionality of voice assistants on smartwatches by incorporating Human Activity Recognition (HAR) and providing the system with user context. It continuously monitors user behavior during procedural tasks via audio and motion sensors on the watch and estimates which step the user is performing. When a question is posed, this contextual information is supplied to Large Language Models (LLMs) as part of the context used to generate a response, even in the case of inherently vague questions like What should I do next with this? Our studies confirmed that users preferred the convenience of our approach compared to existing voice assistants. Our real-time assistant represents the first Q&amp;A system that provides contextually situated support during tasks without camera use, paving the way for the ubiquitous, intelligent assistant.</t>
  </si>
  <si>
    <t>10.1145/3699759</t>
  </si>
  <si>
    <t>WOS:001386381000004</t>
  </si>
  <si>
    <t>Aksoy, M; Adem, A; Dagdeviren, M</t>
  </si>
  <si>
    <t>Aksoy, Meltem; Adem, Aylin; Dagdeviren, Metin</t>
  </si>
  <si>
    <t>Trustworthiness Evaluation of Large Language Models Using Multi-Criteria Decision Making</t>
  </si>
  <si>
    <t>MCDM; Biological system modeling; Robustness; Safety; Measurement; Chatbots; Adaptation models; Uncertainty; Systematics; Large language models; Fuzzy AHP; expert evaluation; multi-criteria decision making; large language models; trustworthiness</t>
  </si>
  <si>
    <t>ANALYTIC HIERARCHY PROCESS; FUZZY; TOPSIS; AHP</t>
  </si>
  <si>
    <t>As Large language models (LLMs) become increasingly integrated into high-stakes applications, ensuring their trustworthiness has emerged as a critical research concern. This study proposes a novel evaluation framework that applies a multi-criteria decision making (MCDM) methodology, specifically the hesitant fuzzy analytic hierarchy process (AHP), to assess and rank LLMs based on five key trust dimensions: fairness, robustness, integrity, explainability, and safety. Drawing from expert evaluations, the framework systematically determines the relative importance of each criterion and applies a weighted scoring approach to compare seven leading LLMs, including both proprietary models such as GPT-3.5, GPT-4o, Claude 3.5 Sonnet, Gemini 1.5 and open-source models such as Llama 3.1, Mistral Large 2 and DeepSeek V3. Results reveal GPT-4o as the most trustworthy model, significantly outperforming its peers, particularly in robustness and fairness. Open-source models showed lower scores, especially in safety and explainability, highlighting persistent gaps in their alignment with trust expectations. The findings demonstrate the effectiveness of MCDM in capturing expert uncertainty and prioritizing trust criteria, offering a robust and adaptable framework for evaluating LLMs in dynamic and sensitive domains.</t>
  </si>
  <si>
    <t>10.1109/ACCESS.2025.3612568</t>
  </si>
  <si>
    <t>WOS:001586193100049</t>
  </si>
  <si>
    <t>Hu, JZ; Bi, WJ; Zhou, YT; Zheng, JH; Zhang, S; Chu, H; Wang, L; Li, QS</t>
  </si>
  <si>
    <t>Hu, Jingzhao; Bi, Wenjing; Zhou, Yangtao; Zheng, Jiahui; Zhang, Shuai; Chu, Hua; Wang, Lu; Li, Qingshan</t>
  </si>
  <si>
    <t>Plang: Efficient prompt engineering language for blending natural language and control flow in large language models</t>
  </si>
  <si>
    <t>Large language models; Prompt engineering; Prompting programming languages; Control flow guidance</t>
  </si>
  <si>
    <t>The advent of instruction-following large language models (LLMs), exemplified by ChatGPT, has significantly enhanced the performance of generative autoregressive natural language models on general tasks, marking a crucial milestone toward artificial general intelligence. While research has shown that LLM performance critically depends on prompt effectiveness, existing prompt construction approaches-including prompt string templates, prompt programming frameworks, and prompt programming syntactic sugar-suffer from limitations in imprecise generation control and deviation from natural language syntax, thereby impeding prompt engineering advancement. To address these challenges, we introduce PromptLanguage (Plang), a string-first programming language designed specifically for LLM prompt engineering. Our key innovation lies in utilizing font styles as syntax keywords to seamlessly integrate natural language prompt text with control flow code, enabling precise intervention in the generation process while maintaining the natural language affinity of prompt programs. Notably, Plang pioneers the concept of meta-prompt programming. Extensive experimental results across prompt engineering cases and quantitative analyses demonstrate that Plang-written prompt programs offer superior read/writability, intervention precision and up to 89.55 % efficiency improvements. The Plang implementation is available as open-source software at https://github.com/HJZ-XDU/plang.</t>
  </si>
  <si>
    <t>10.1016/j.eswa.2025.130118</t>
  </si>
  <si>
    <t>WOS:001621690000001</t>
  </si>
  <si>
    <t>Zhang, DL; Ma, G; Qu, TM; Wang, XD; Zhou, W; Wang, XM</t>
  </si>
  <si>
    <t>Zhang, Dongliang; Ma, Gang; Qu, Tongming; Wang, Xudong; Zhou, Wei; Wang, Xiaomao</t>
  </si>
  <si>
    <t>A knowledge graph-enhanced large language model for question answering of hydraulic structure safety management</t>
  </si>
  <si>
    <t>ADVANCED ENGINEERING INFORMATICS</t>
  </si>
  <si>
    <t>Hydraulic structure safety management; Domain knowledge QA; Intent parsing; Knowledge graph; Large language model</t>
  </si>
  <si>
    <t>Early detection and mitigation of hazards in hydraulic structures are crucial for effectively reducing economic and life losses. However, traditional hydraulic structure safety management methods rely on error-prone individual experience and emergency manuals, which are insufficient for making timely, scientifically informed decisions during crises. To address this challenge, this study presents an AI-driven framework for hydraulic structure safety management based on knowledge-based question answering. First, an ontology model was developed through a detailed analysis of safety management texts. Next, a partition fusion Kolmogorov-arnold network (PFKAN) enhanced with attention mechanisms was designed to jointly extract entities and relational knowledge. A safety management knowledge graph (KG) was then constructed from this knowledge. Subsequently, a large language model (LLM) was employed with a voting strategy to interpret query intent and extract relevant domain-specific knowledge from the KG. Finally, domain knowledge was integrated into the LLM to generate professional responses. Experimental results show that the F1 scores for entity and relation extraction with PFKAN reached 0.91 and 0.90, respectively, and the F1 score for query intent parsing with the voting strategy was 0.95, demonstrating competitive performance. The KG-enhanced LLM significantly improves decision-making in hydraulic structure safety management, providing an accurate and scalable tool for engineering safety managers.</t>
  </si>
  <si>
    <t>1474-0346</t>
  </si>
  <si>
    <t>1873-5320</t>
  </si>
  <si>
    <t>10.1016/j.aei.2025.103468</t>
  </si>
  <si>
    <t>WOS:001497664800001</t>
  </si>
  <si>
    <t>Wang, HL; Wu, CH; Huang, YF; Qi, T</t>
  </si>
  <si>
    <t>Wang, Huili; Wu, Chuhan; Huang, Yongfeng; Qi, Tao</t>
  </si>
  <si>
    <t>Learning Human Feedback from Large Language Models for Content Quality-aware Recommendation</t>
  </si>
  <si>
    <t>Human Feedback Alignment; Quality-aware Recommendation; Large Language Model; Knowledge Transfer</t>
  </si>
  <si>
    <t>NEWS</t>
  </si>
  <si>
    <t>Recommender systems are widely employed to mitigate information overload by tailoring online content to individual preferences. Existing recommendation methods typically focus on optimizing the relevance between candidate item content and user historical behaviors. However, these methods often neglect the quality of recommended content, which can negatively affect user experience and hinder the long-term growth of platforms. In fact, addressing this issue is particularly challenging, as signal on content quality feedback is typically sparse in the user interaction data (e.g., clicks) commonly used for model training. In this article, we propose a human feedback alignment framework for recommender system (HFAR), which leverages wellaligned large language models to simulate human feedback on content quality to enhance recommendation. Specifically, we propose a multi-task learning-based knowledge transfer framework to infuse recommendation models with an awareness of fine-grained feedback on content quality from targeted perspectives. Furthermore, we develop a contrastive learning-based feedback integration mechanism to embed targeted human feedback into the ranking strategy to enable quality-aware recommendation decision-making. Besides, we propose a multi-objective joint training framework to optimize the model jointly under utility and quality objectives. Experiments show that HFAR achieves a maximum improvement of 84.78% in recommendation quality, while maintaining both recommendation accuracy and efficiency.</t>
  </si>
  <si>
    <t>10.1145/3727144</t>
  </si>
  <si>
    <t>WOS:001536380200002</t>
  </si>
  <si>
    <t>Scherbakov, D; Hubig, N; Jansari, V; Bakumenko, A; Lenert, LA</t>
  </si>
  <si>
    <t>Scherbakov, Dmitry; Hubig, Nina; Jansari, Vinita; Bakumenko, Alexander; Lenert, Leslie A.</t>
  </si>
  <si>
    <t>The emergence of large language models as tools in literature reviews: a large language model-assisted systematic review</t>
  </si>
  <si>
    <t>large language models; review automation; systematic review; scoping review; Covidence</t>
  </si>
  <si>
    <t>ARTIFICIAL-INTELLIGENCE; CHATGPT; AI; CHALLENGES; BIAS</t>
  </si>
  <si>
    <t>Objectives This study aims to summarize the usage of large language models (LLMs) in the process of creating a scientific review by looking at the methodological papers that describe the use of LLMs in review automation and the review papers that mention they were made with the support of LLMs.Materials and Methods The search was conducted in June 2024 in PubMed, Scopus, Dimensions, and Google Scholar by human reviewers. Screening and extraction process took place in Covidence with the help of LLM add-on based on the OpenAI GPT-4o model. ChatGPT and Scite.ai were used in cleaning the data, generating the code for figures, and drafting the manuscript.Results Of the 3788 articles retrieved, 172 studies were deemed eligible for the final review. ChatGPT and GPT-based LLM emerged as the most dominant architecture for review automation (n = 126, 73.2%). A significant number of review automation projects were found, but only a limited number of papers (n = 26, 15.1%) were actual reviews that acknowledged LLM usage. Most citations focused on the automation of a particular stage of review, such as Searching for publications (n = 60, 34.9%) and Data extraction (n = 54, 31.4%). When comparing the pooled performance of GPT-based and BERT-based models, the former was better in data extraction with a mean precision of 83.0% (SD = 10.4) and a recall of 86.0% (SD = 9.8).Discussion and Conclusion Our LLM-assisted systematic review revealed a significant number of research projects related to review automation using LLMs. Despite limitations, such as lower accuracy of extraction for numeric data, we anticipate that LLMs will soon change the way scientific reviews are conducted.</t>
  </si>
  <si>
    <t>10.1093/jamia/ocaf063</t>
  </si>
  <si>
    <t>WOS:001482703800001</t>
  </si>
  <si>
    <t>Aggarwal, T; Salatino, A; Osborne, F; Motta, E</t>
  </si>
  <si>
    <t>Aggarwal, Tanay; Salatino, Angelo; Osborne, Francesco; Motta, Enrico</t>
  </si>
  <si>
    <t>Large language models for scholarly ontology generation: An extensive analysis in the engineering field</t>
  </si>
  <si>
    <t>Large language models; Zero-shot learning; Ontology generation; Research topics; Scholarly knowledge; Scientific knowledge graphs</t>
  </si>
  <si>
    <t>Ontologies of research topics are crucial for structuring scientific knowledge, enabling scientists to navigate vast amounts of research, and forming the backbone of intelligent systems such as search engines and recommendation systems. However, manual creation of these ontologies is expensive, slow, and often results in outdated and overly general representations. As a solution, researchers have been investigating ways to automate or semi-automate the process of generating these ontologies. One of the key challenges in this domain is accurately assessing the semantic relationships between pairs of research topics. This paper presents an analysis of the capabilities of large language models (LLMs) in identifying such relationships, with a specific focus on the field of engineering. To this end, we introduce a novel benchmark based on the IEEE Thesaurus for evaluating the task of identifying three types of semantic relations between pairs of topics: broader, narrower, and same-as. Our study evaluates the performance of seventeen LLMs, which differ in scale, accessibility (open vs. proprietary), and model type (full vs. quantised), while also assessing four zero-shot reasoning strategies. Several models with varying architectures and sizes have achieved excellent results on this task, including Mixtral-8x 7B, Dolphin-Mistral-7B, and Claude 3 Sonnet, with F1-scores of 0.847, 0.920, and 0.967, respectively. Furthermore, our findings demonstrate that smaller, quantised models, when optimised through prompt engineering, can achieve strong performance while requiring very limited computational resources.</t>
  </si>
  <si>
    <t>10.1016/j.ipm.2025.104262</t>
  </si>
  <si>
    <t>WOS:001546394400001</t>
  </si>
  <si>
    <t>Xu, ZY; Zhao, D; Zou, QS; Xiao, JY; Jiang, Y; Yuan, ZH; Li, Q</t>
  </si>
  <si>
    <t>Xu, Zhiyao; Zhao, Dan; Zou, Qingsong; Xiao, Jingyu; Jiang, Yong; Yuan, Zhenhui; Li, Qing</t>
  </si>
  <si>
    <t>Synthetic User Behavior Sequence Generation With Large Language Models for Smart Homes</t>
  </si>
  <si>
    <t>IEEE INTERNET OF THINGS MAGAZINE</t>
  </si>
  <si>
    <t>Smart homes; Internet of Things; Adaptation models; Synthetic data; Large language models; Data models; Security; Hidden Markov models; Anomaly detection; Training; large language models; data synthesis</t>
  </si>
  <si>
    <t>In recent years, as smart home systems have become more widespread, security concerns within these environments have become a growing threat. Currently, most smart home security solutions, such as anomaly detection and behavior prediction models, are trained using fixed datasets that are pre-collected. However, the process of dataset collection is time-consuming and lacks the flexibility needed to adapt to the constantly evolving smart home environment. Additionally, the collection of personal data raises significant privacy concerns for users. Lately, large language models (LLMs) have emerged as a powerful tool for a wide range of tasks across diverse application domains, thanks to their strong capabilities in natural language processing, reasoning, and problem-solving. In this paper, we propose an LLM-based synthetic dataset generation IoTGen framework to enhance the generalization of downstream smart home intelligent models. By generating new synthetic datasets that reflect changes in the environment, smart home intelligent models can be retrained to overcome the limitations of fixed and outdated data, allowing them to better align with the dynamic nature of real-world home environments. Specifically, we first propose a Structure Pattern Perception Compression (SPPC) method tailored for IoT behavior data, which preserves the most informative content in the data while significantly reducing token consumption. Then, we propose a systematic approach to create prompts and implement data generation to automatically generate IoT synthetic data with normative and reasonable properties, assisting task models in adaptive training to improve generalization and real-world performance.</t>
  </si>
  <si>
    <t>2576-3180</t>
  </si>
  <si>
    <t>2576-3199</t>
  </si>
  <si>
    <t>10.1109/MIOT.2025.3575803</t>
  </si>
  <si>
    <t>WOS:001635051700002</t>
  </si>
  <si>
    <t>Ibáñez, MB; Barrón-Estrada, ML; Zatarain-Cabada, R</t>
  </si>
  <si>
    <t>Ibanez, Maria Blanca; Barron-Estrada, Maria Lucia; Zatarain-Cabada, Ramon</t>
  </si>
  <si>
    <t>Can Multimodal Large Language Models Grade Like an Expert? A Study on UML Class Diagram Assessment Accuracy</t>
  </si>
  <si>
    <t>COMPUTER APPLICATIONS IN ENGINEERING EDUCATION</t>
  </si>
  <si>
    <t>AI in software engineering education; automated evaluation; educational technology; multimodal AI</t>
  </si>
  <si>
    <t>EDUCATION</t>
  </si>
  <si>
    <t>This study investigates the potential of Multimodal Large Language Models to evaluate the quality of Unified Modelling Language (UML) class diagrams, with a focus on their ability to assess class structures and attribute information in alignment with object-oriented design principles. Thirty-four engineering students completed a design task involving the application of five object-oriented design principles known collectively as the S.O.L.I.D. principles (Single Responsibility, Open/Closed, Liskov Substitution, Interface Segregation, and Dependency Inversion). Their solutions were independently assessed by three expert instructors and four Multimodal Large Language Models: ChatGPTChatGPT-4, Gemini, Amazon AI, and Claude 3.5 Sonnet. Quantitative analysis compared AI-generated scores to instructor consensus ratings using inter-rater reliability metrics, while a grounded theory approach was used to qualitatively identify and classify AI evaluation errors. Results indicate that while MLLMs demonstrate promising partial scoring alignment with experts, they consistently exhibit significant limitations in semantic interpretation and evaluative reasoning, often leading to inconsistencies. These findings highlight that despite their potential, MLLMs are not yet reliable replacements for human expertise and underscore the critical need for improved model alignment with domain-specific assessment practices. They also suggest future directions for carefully integrated hybrid instructor-AI evaluation workflows in educational settings.</t>
  </si>
  <si>
    <t>1061-3773</t>
  </si>
  <si>
    <t>1099-0542</t>
  </si>
  <si>
    <t>SEP 22</t>
  </si>
  <si>
    <t>e70080</t>
  </si>
  <si>
    <t>10.1002/cae.70080</t>
  </si>
  <si>
    <t>Computer Science; Education &amp; Educational Research; Engineering</t>
  </si>
  <si>
    <t>WOS:001576619600001</t>
  </si>
  <si>
    <t>Shah, UZ; Alzubaidi, M; Agus, M; Cali, C; Magistretti, PJ; Househ, M</t>
  </si>
  <si>
    <t>Shah, Uzair; Alzubaidi, Mahmood; Agus, Marco; Cali, Corrado; Magistretti, Pierre J.; Househ, Mowafa</t>
  </si>
  <si>
    <t>Deep learning for brain electron microscopy segmentation: Advances, challenges, and future directions in connectomics and ultrastructure analysis</t>
  </si>
  <si>
    <t>COMPUTERS &amp; GRAPHICS-UK</t>
  </si>
  <si>
    <t>Deep learning; Electron microscopy; Brain segmentation; Connectomics; Neural circuits; Convolutional neural networks; Transformers; Meta-analysis</t>
  </si>
  <si>
    <t>This systematic review and meta-analysis comprehensively analyzes deep learning approaches for brain electron microscopy (EM) segmentation, addressing the critical challenge of extracting neuroanatomical information at nanometer resolution. Following PRISMA guidelines, we identified 60 studies through structured database searches, with quantitative meta-analysis of 27 studies (46 experiments) across 10 datasets providing the first unified benchmark comparison in this domain. Our analysis reveals a field transitioning from traditional CNN approaches toward foundation models and hybrid architectures. The meta-analysis demonstrates that foundation models outperform traditional CNNs by 13%-35% across key metrics, with the 3D Transformer + U-Net achieving the highest composite score (0.954) across five datasets. Meta-analysis confirms significant advantages for foundation models in instance-based metrics (Cohen's d = -6.44), while only 26% of experiments validate across multiple datasets. Four key evolutionary trends emerge: (1) transition from 2D to 3D architectures optimized for ultrastructural complexity; (2) development of topology-preserving loss functions and evaluation metrics (clDice, ERL) that prioritize neural connectivity over pixel-wise accuracy; (3) emergence of self-supervised and foundation model adaptation techniques reducing annotation dependency; and (4) evolution toward specialized architectures capturing long-range dependencies critical for neural structures. Performance analysis reveals that mitochondria segmentation achieves highest accuracy (Jaccard scores 87.2-90.5%), while computational requirements vary from single-GPU implementations to distributed systems with 48 GPUs for teravoxel-scale volumes. Despite progress, reproducibility challenges persist with only 54% of studies providing public code repositories. These advances drive innovation in 3D computer vision, establish new benchmarks for volumetric instance segmentation, and address fundamental challenges in processing massive biological datasets. Our unified benchmarks and comprehensive analysis provide a foundation for systematic progress tracking and evidence-based method selection, positioning brain EM segmentation to enable large-scale connectomics studies and detailed neuroanatomical mapping across scales.</t>
  </si>
  <si>
    <t>0097-8493</t>
  </si>
  <si>
    <t>1873-7684</t>
  </si>
  <si>
    <t>10.1016/j.cag.2025.104391</t>
  </si>
  <si>
    <t>WOS:001582533200001</t>
  </si>
  <si>
    <t>Yildirim, M; Dagda, B; Asodia, V; Fallah, S</t>
  </si>
  <si>
    <t>Yildirim, Mustafa; Dagda, Barkin; Asodia, Vinal; Fallah, Saber</t>
  </si>
  <si>
    <t>HighwayLLM: Decision-making and navigation in highway driving with RL-informed language model</t>
  </si>
  <si>
    <t>ROBOTICS AND AUTONOMOUS SYSTEMS</t>
  </si>
  <si>
    <t>Autonomous driving; Reinforcement learning; Large language model</t>
  </si>
  <si>
    <t>Autonomous driving is a complex task which requires advanced decision making and control algorithms. Understanding the rationale behind the autonomous vehicles' decision is crucial to ensure their safe and effective operation on highway driving. This study presents a novel approach, HighwayLLM, which harnesses the reasoning capabilities of large language models (LLMs) to predict the future waypoints for ego-vehicle's navigation. Our approach also utilizes a pre-trained Reinforcement Learning (RL) model to serve as a high-level planner, making decisions on appropriate meta-level actions. The HighwayLLM combines the output from RL model and the current state information to make safe, collision-free, and explainable predictions for next states, thereby constructing a trajectory for the ego-vehicle. Subsequently, a PID-based controller guides the vehicle to the waypoints predicted by the LLM agent. This integration of LLM with RL and PID enhances decision-making process, provides interpretability for highway autonomous driving and reduces the number of collisions compared to the baseline method.</t>
  </si>
  <si>
    <t>0921-8890</t>
  </si>
  <si>
    <t>1872-793X</t>
  </si>
  <si>
    <t>10.1016/j.robot.2025.105114</t>
  </si>
  <si>
    <t>Automation &amp; Control Systems; Computer Science; Robotics</t>
  </si>
  <si>
    <t>WOS:001524074400001</t>
  </si>
  <si>
    <t>Bhangale, S; Roy, PK</t>
  </si>
  <si>
    <t>Bhangale, Siddharth; Roy, Pradeep Kumar</t>
  </si>
  <si>
    <t>Is It genuine or fake? Analyzing e-commerce reviews using large language models</t>
  </si>
  <si>
    <t>Deceptive reviews; Deep learning; Opinion spam detection; E-commerce; Large language models</t>
  </si>
  <si>
    <t>NEURAL-NETWORKS; FRAMEWORK</t>
  </si>
  <si>
    <t>The widespread acceptance of online platforms has brought user-generated reviews to the forefront as a determinant of consumer decision-making, particularly in sectors such as hospitality and e-commerce. However, the growing prevalence of fake and misleading reviews poses significant challenges, often confusing consumers and undermining the credibility of online platforms. This research proposes a transformer-based framework for fake review detection using Large Language Models, achieving an overall classification accuracy of 90.50%. The contextual capacity of transformer-based architectures enables the model to effectively resolve ambiguity between genuine and deceptive user reviews. The objective of this research is twofold: to strengthen consumer trust and to preserve the reputation of online businesses. Performance benchmarks were established through comprehensive evaluations against multiple baseline algorithms on real-world e-commerce review datasets. Finally, the effects of deceptive reviews on strategic customer experience management are discussed, and directions toward scalable and real-time review verification systems are suggested. The obtained results show how well LLMs successfully capture the fine-grained linguistic patterns behind opinion spam and provide a strong method for automatic review authenticity verification in intelligent decision support systems. The datasets and experimental framework are available in the GitHub Repository.</t>
  </si>
  <si>
    <t>NOV 25</t>
  </si>
  <si>
    <t>10.1016/j.knosys.2025.114556</t>
  </si>
  <si>
    <t>WOS:001595296500001</t>
  </si>
  <si>
    <t>Feng, X; Cao, YP</t>
  </si>
  <si>
    <t>Feng, Xin; Cao, Yuanpei</t>
  </si>
  <si>
    <t>Enhancing the accessibility of regionalization techniques through large language models: a case study in conversational agent guidance</t>
  </si>
  <si>
    <t>INTERNATIONAL JOURNAL OF GEOGRAPHICAL INFORMATION SCIENCE</t>
  </si>
  <si>
    <t>Large language models; conversational virtual agent; spatial optimization; regionalization</t>
  </si>
  <si>
    <t>REGIONS; PACKAGE</t>
  </si>
  <si>
    <t>The concept of regions has long been crucial for understanding and managing Earth's phenomena, leading to regionalization, aggregating smaller areas into larger, contiguous, and homogeneous regions to achieve specific goals. Open-source regionalization is gaining traction because it reduces dependence on commercial software and fosters wider adoption in analysis and decision-making. However, these packages, often designed by experts for specialized tasks, can be challenging to understand and utilize due to domain-specific jargon and functionalities, especially for unfamiliar users. A prevalent disconnect must be addressed: How can we make a complex optimization approach available to a broad audience with various backgrounds? This study introduces RegionDefiner, a Large Language Modeling (LLM)-powered conversational agent, to comprehensively understand the functionality, inputs, outputs, and potential applications of regionalization problems. We selected it as an illustrative example due to its wide-ranging potential for delineating study regions in various applications. RegionDefiner is designed to guide users in framing their problems, collecting necessary data, and implementing solution approaches in a straightforward and user-centric manner. The experiments demonstrate that RegionDefiner interprets and presents the results in an understandable way for all audiences, thus bridging the gap between intricate computations and practical problem-solving needs.</t>
  </si>
  <si>
    <t>1365-8816</t>
  </si>
  <si>
    <t>1362-3087</t>
  </si>
  <si>
    <t>SEP 2</t>
  </si>
  <si>
    <t>10.1080/13658816.2024.2415439</t>
  </si>
  <si>
    <t>Computer Science; Geography; Physical Geography; Information Science &amp; Library Science</t>
  </si>
  <si>
    <t>WOS:001334801900001</t>
  </si>
  <si>
    <t>Babaei, G; Giudici, P</t>
  </si>
  <si>
    <t>Babaei, Golnoosh; Giudici, Paolo</t>
  </si>
  <si>
    <t>GPT classifications, with application to credit lending</t>
  </si>
  <si>
    <t>MACHINE LEARNING WITH APPLICATIONS</t>
  </si>
  <si>
    <t>Artificial intelligence; Large language models; Credit decisions</t>
  </si>
  <si>
    <t>Generative Pre-trained Transformers (GPT) and Large language models (LLMs) have made significant advancements in natural language processing in recent years. The practical applications of LLMs are undeniable, rendering moot any debate about their impending influence. The power of LLMs has made them similar to machine learning models for decision-making problems. In this paper, we focus on binary classification which is a common use of ML models, particularly in credit lending applications. We show how a GPT model can perform almost as accurately as a classical logistic machine learning model but with a much lower number of sample observations. In particular, we show how, in the context of credit lending, LLMs can be improved and reach performances similar to classical logistic regression models using only a small set of examples.</t>
  </si>
  <si>
    <t>2666-8270</t>
  </si>
  <si>
    <t>10.1016/j.mlwa.2024.100534</t>
  </si>
  <si>
    <t>FEB 2024</t>
  </si>
  <si>
    <t>WOS:001291555300001</t>
  </si>
  <si>
    <t>Kinder, A; Briese, FJ; Jacobs, M; Dern, N; Glodny, N; Jacobs, S; Lessmann, S</t>
  </si>
  <si>
    <t>Kinder, Annette; Briese, Fiona J.; Jacobs, Marius; Dern, Niclas; Glodny, Niels; Jacobs, Simon; Lessmann, Samuel</t>
  </si>
  <si>
    <t>Effects of adaptive feedback generated by a large language model: A case study in teacher education</t>
  </si>
  <si>
    <t>AI-Generated feedback; Diagnostic reasoning; Large language model (LLM); Higher education; Randomized controlled trial; Pre-service teachers</t>
  </si>
  <si>
    <t>LEARN</t>
  </si>
  <si>
    <t>This study investigates the effects of adaptive feedback generated by large language models (LLMs), specifically ChatGPT, on performance in a written diagnostic reasoning task among German pre-service teachers (n = 269). Additionally, the study analyzed user evaluations of the feedback and feedback processing time. Diagnostic reasoning, a critical skill for making informed pedagogical decisions, was assessed through a writing task integrated into a teacher preparation course. Participants were randomly assigned to receive either adaptive feedback generated by ChatGPT or static feedback prepared in advance by a human expert, which was identical for all participants in that condition, before completing a second writing task. The findings reveal that ChatGPTgenerated adaptive feedback significantly improved the quality of justification in the students' writing compared to the static feedback written by an expert. However, no significant difference was observed in decision accuracy between the two groups, suggesting that the type and source of feedback did not impact decision-making processes. Additionally, students who had received LLM-generated adaptive feedback spent more time processing the feedback and subsequently wrote longer texts, indicating longer engagement with the feedback and the task. Participants also rated adaptive feedback as more useful and interesting than static feedback, aligning with previous research on the motivational benefits of adaptive feedback. The study highlights the potential of LLMs like ChatGPT as valuable tools in educational settings, particularly in large courses where providing adaptive feedback is challenging.</t>
  </si>
  <si>
    <t>10.1016/j.caeai.2024.100349</t>
  </si>
  <si>
    <t>WOS:001651702500013</t>
  </si>
  <si>
    <t>Fragakis, N; Trichopoulos, G; Caridakis, G</t>
  </si>
  <si>
    <t>Fragakis, Nikos; Trichopoulos, Georgios; Caridakis, George</t>
  </si>
  <si>
    <t>Empowering Education with Intelligent Systems: Exploring Large Language Models and the NAO Robot for Information Retrieval</t>
  </si>
  <si>
    <t>education; LLM; NAO robot; intelligent systems; search engines</t>
  </si>
  <si>
    <t>To unlock more aspects of human cognitive structuring, human-AI and human-robot interactions require increasingly advanced communication skills on both the human and robot sides. This paper compares three methods of retrieving cultural heritage information in primary school education: search engines, large language models (LLMs), and the NAO humanoid robot, which serves as a facilitator with programmed answering capabilities for convergent questions. Human-robot interaction has become a critical aspect of modern education, with robots like the NAO providing new opportunities for engaging and personalized learning experiences. The NAO, with its anthropomorphic design and ability to interact with students, presents a unique approach to fostering deeper connections with educational content, particularly in the context of cultural heritage. The paper includes an introduction, extensive literature review, methodology, research results from student questionnaires, and conclusions. The findings highlight the potential of intelligent and embodied technologies for enhancing knowledge retrieval and engagement, demonstrating the NAO's ability to adapt to student needs and facilitate more dynamic learning interactions.</t>
  </si>
  <si>
    <t>MAR 19</t>
  </si>
  <si>
    <t>10.3390/electronics14061210</t>
  </si>
  <si>
    <t>WOS:001453851900001</t>
  </si>
  <si>
    <t>Hua, R; Dong, X; Wei, Y; Shu, ZX; Yang, PC; Hu, YH; Zhou, SP; Sun, H; Yan, KJ; Yan, XJ; Chang, K; Li, XD; Bai, YN; Zhang, RS; Wang, WJ; Zhou, XZ</t>
  </si>
  <si>
    <t>Hua, Rui; Dong, Xin; Wei, Yu; Shu, Zixin; Yang, Pengcheng; Hu, Yunhui; Zhou, Shuiping; Sun, He; Yan, Kaijing; Yan, Xijun; Chang, Kai; Li, Xiaodong; Bai, Yuning; Zhang, Runshun; Wang, Wenjia; Zhou, Xuezhong</t>
  </si>
  <si>
    <t>Lingdan: enhancing encoding of traditional Chinese medicine knowledge for clinical reasoning tasks with large language models</t>
  </si>
  <si>
    <t>traditional Chinese medicine; large language model; pre-training; clinical reasoning; prescription recommendation</t>
  </si>
  <si>
    <t>Objective The recent surge in large language models (LLMs) across various fields has yet to be fully realized in traditional Chinese medicine (TCM). This study aims to bridge this gap by developing a large language model tailored to TCM knowledge, enhancing its performance and accuracy in clinical reasoning tasks such as diagnosis, treatment, and prescription recommendations.Materials and Methods This study harnessed a wide array of TCM data resources, including TCM ancient books, textbooks, and clinical data, to create 3 key datasets: the TCM Pre-trained Dataset, the Traditional Chinese Patent Medicine (TCPM) Question Answering Dataset, and the Spleen and Stomach Herbal Prescription Recommendation Dataset. These datasets underpinned the development of the Lingdan Pre-trained LLM and 2 specialized models: the Lingdan-TCPM-Chat Model, which uses a Chain-of-Thought process for symptom analysis and TCPM recommendation, and a Lingdan Prescription Recommendation model (Lingdan-PR) that proposes herbal prescriptions based on electronic medical records.Results The Lingdan-TCPM-Chat and the Lingdan-PR Model, fine-tuned on the Lingdan Pre-trained LLM, demonstrated state-of-the art performances for the tasks of TCM clinical knowledge answering and herbal prescription recommendation. Notably, Lingdan-PR outperformed all state-of-the-art baseline models, achieving an improvement of 18.39% in the Top@20 F1-score compared with the best baseline.Conclusion This study marks a pivotal step in merging advanced LLMs with TCM, showcasing the potential of artificial intelligence to help improve clinical decision-making of medical diagnostics and treatment strategies. The success of the Lingdan Pre-trained LLM and its derivative models, Lingdan-TCPM-Chat and Lingdan-PR, not only revolutionizes TCM practices but also opens new avenues for the application of artificial intelligence in other specialized medical fields. Our project is available at https://github.com/TCMAI-BJTU/LingdanLLM.</t>
  </si>
  <si>
    <t>2024 JUL 22</t>
  </si>
  <si>
    <t>10.1093/jamia/ocae087</t>
  </si>
  <si>
    <t>WOS:001273695100001</t>
  </si>
  <si>
    <t>Afzal, MZ; Ali, SA; Stricker, D; Eisert, P; Hilsmann, A; Perez-Marcos, D; Bianchi, M; Crottaz-Herbette, S; De Ioris, R; Mangina, E; Sanguineti, M; Salaberria, A; de Lacalle, OL; García-Pablos, A; Cuadros, M</t>
  </si>
  <si>
    <t>Afzal, Muhamamd Zeshan; Ali, S. K. Aziz; Stricker, Didier; Eisert, Peter; Hilsmann, Anna; Perez-Marcos, Daniel; Bianchi, Marco; Crottaz-Herbette, Sonia; De Ioris, Roberto; Mangina, Eleni; Sanguineti, Mirco; Salaberria, Ander; de Lacalle, Oier Lopez; Garcia-Pablos, Aitor; Cuadros, Montse</t>
  </si>
  <si>
    <t>Next Generation XR Systems-Large Language Models Meet Augmented and Virtual Reality</t>
  </si>
  <si>
    <t>IEEE COMPUTER GRAPHICS AND APPLICATIONS</t>
  </si>
  <si>
    <t>Adaptation models; Cognition; Avatars; Training; Real-time systems; Computational modeling; Next generation networking; Decision making; Three-dimensional displays; Extended reality; Human computer interaction</t>
  </si>
  <si>
    <t>Extended reality (XR) is evolving rapidly, offering new paradigms for human-computer interaction. This position paper argues that integrating large language models (LLMs) with XR systems represents a fundamental shift toward more intelligent, context-aware, and adaptive mixed-reality experiences. We propose a structured framework built on three key pillars: first, perception and situational awareness, second, knowledge modeling and reasoning, and third, visualization and interaction. We believe leveraging LLMs within XR environments enables enhanced situational awareness, real-time knowledge retrieval, and dynamic user interaction, surpassing traditional XR capabilities. We highlight the potential of this integration in neurorehabilitation, safety training, and architectural design while underscoring ethical considerations, such as privacy, transparency, and inclusivity. This vision aims to spark discussion and drive research toward more intelligent, human-centric XR systems.</t>
  </si>
  <si>
    <t>0272-1716</t>
  </si>
  <si>
    <t>1558-1756</t>
  </si>
  <si>
    <t>10.1109/MCG.2025.3548554</t>
  </si>
  <si>
    <t>WOS:001470345300010</t>
  </si>
  <si>
    <t>Khadem, EA; Movaghar, A</t>
  </si>
  <si>
    <t>Khadem, Ehsan Azizi; Movaghar, Ali</t>
  </si>
  <si>
    <t>From challenges to metrics: An LLM-driven DevOps recommendation system grounded in evidence-based mappings</t>
  </si>
  <si>
    <t>DevOps; Large language models (LLMs); Recommendation systems; Evidence-based software engineering; Software process improvement</t>
  </si>
  <si>
    <t>MANAGEMENT; INFECTION; FRAMEWORK</t>
  </si>
  <si>
    <t>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t>
  </si>
  <si>
    <t>10.1016/j.array.2025.100547</t>
  </si>
  <si>
    <t>WOS:001605626900001</t>
  </si>
  <si>
    <t>Reisenbichler, M; Reutterer, T; Schweidel, DA</t>
  </si>
  <si>
    <t>Reisenbichler, Martin; Reutterer, Thomas; Schweidel, David A.</t>
  </si>
  <si>
    <t>Applying Large Language Models to Sponsored Search Advertising</t>
  </si>
  <si>
    <t>MARKETING SCIENCE</t>
  </si>
  <si>
    <t>content marketing; natural language generation; marketing automation; search engine advertising; machine learning</t>
  </si>
  <si>
    <t>COMPETITION; BEHAVIOR</t>
  </si>
  <si>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</si>
  <si>
    <t>0732-2399</t>
  </si>
  <si>
    <t>1526-548X</t>
  </si>
  <si>
    <t>JAN-FEB</t>
  </si>
  <si>
    <t>10.1287/mksc.2023.0611</t>
  </si>
  <si>
    <t>WOS:001611991300001</t>
  </si>
  <si>
    <t>Sun, KX; Han, YJ; Zhao, ZH; Huang, GQ</t>
  </si>
  <si>
    <t>Sun, Kexin; Han, Yujie; Zhao, Zhiheng; Huang, George Q.</t>
  </si>
  <si>
    <t>Enhancing Large Language Models for Fashion Smart Manufacturing via Dynamic Collaborative Routing-Based Retrieval Reranking</t>
  </si>
  <si>
    <t>IEEE TRANSACTIONS ON CYBERNETICS</t>
  </si>
  <si>
    <t>Manufacturing; Retrieval augmented generation; Semantics; Routing; Knowledge based systems; Optimization; Manufacturing processes; Large language models; Context modeling; Collaboration; Dynamic routing; fashion manufacturing; large language models (LLMs); retrieval reranking; retrieval-augmented generation (RAG)</t>
  </si>
  <si>
    <t>Enhancing large language models (LLMs) with external knowledge base retrieval in the fashion manufacturing industry can provide more reliable technical support and decision-making assistance, significantly improving process control and boosting intelligent production efficiency. However, the field of fashion manufacturing involves highly specialized terminology, logically complex technical knowledge, and intricate query tasks. Existing simple query-matching techniques often return a large number of contextually loose and redundant document chunks, severely impacting the model's understanding and response quality. To address this issue, this article proposes a retrieval optimization framework based on a dynamic capsule routing network with embedded semantic graph (SGDCR), which models semantic relations among multiple retrieved documents by simulating a team collaboration mechanism. Specifically, the framework consists of two steps: filtering and reranking. First, a capsule routing mechanism embedded in a semantic association graph dynamically captures complex contextual relationships among coarse-grained document blocks, learns contribution scores for multiple documents, and filters irrelevant or redundant documents based on ranking. Subsequently, the filtered documents are matched with the query through deep semantic similarity measurement, and the documents are reranked by integrating relevance scores and contribution scores and generating efficient, accurate, and contextually coherent document prompts. Experimental results on publicly available dense open-domain QA datasets and a constructed fashion manufacturing process QA dataset demonstrate the effectiveness and superiority of the proposed method over existing reranking approaches in the fashion manufacturing knowledge QA system.</t>
  </si>
  <si>
    <t>2168-2267</t>
  </si>
  <si>
    <t>2168-2275</t>
  </si>
  <si>
    <t>2025 OCT 30</t>
  </si>
  <si>
    <t>10.1109/TCYB.2025.3624234</t>
  </si>
  <si>
    <t>WOS:001606861800001</t>
  </si>
  <si>
    <t>Lin, K; Agia, C; Migimatsu, T; Pavone, M; Bohg, J</t>
  </si>
  <si>
    <t>Lin, Kevin; Agia, Christopher; Migimatsu, Toki; Pavone, Marco; Bohg, Jeannette</t>
  </si>
  <si>
    <t>Text2Motion: from natural language instructions to feasible plans</t>
  </si>
  <si>
    <t>Long-horizon planning; Robot manipulation; Large language models</t>
  </si>
  <si>
    <t>MOTION; TASK; SKILLS</t>
  </si>
  <si>
    <t>We propose Text2Motion, a language-based planning framework enabling robots to solve sequential manipulation tasks that require long-horizon reasoning. Given a natural language instruction, our framework constructs both a task- and motion-level plan that is verified to reach inferred symbolic goals. Text2Motion uses feasibility heuristics encoded in Q-functions of a library of skills to guide task planning with Large Language Models. Whereas previous language-based planners only consider the feasibility of individual skills, Text2Motion actively resolves geometric dependencies spanning skill sequences by performing geometric feasibility planning during its search. We evaluate our method on a suite of problems that require long-horizon reasoning, interpretation of abstract goals, and handling of partial affordance perception. Our experiments show that Text2Motion can solve these challenging problems with a success rate of 82%, while prior state-of-the-art language-based planning methods only achieve 13%. Text2Motion thus provides promising generalization characteristics to semantically diverse sequential manipulation tasks with geometric dependencies between skills. Qualitative results are made available at https://sites.google.com/stanford.edu/text2motion.</t>
  </si>
  <si>
    <t>10.1007/s10514-023-10131-7</t>
  </si>
  <si>
    <t>WOS:001281797200002</t>
  </si>
  <si>
    <t>Zhang, ZW; Li, SF; Zhang, LJ; Ye, JB; Hu, CD; Yan, LS</t>
  </si>
  <si>
    <t>Zhang, Zhiwei; Li, Saifei; Zhang, Lijie; Ye, Jianbin; Hu, Chunduo; Yan, Lianshan</t>
  </si>
  <si>
    <t>LLM-LADE: Large language model-based log anomaly detection with explanation</t>
  </si>
  <si>
    <t>Log anomaly detection; Log analysis; Large language model; Fine-tuning; Online optimization</t>
  </si>
  <si>
    <t>The increasing complexity of software systems and the exponential growth of log data have made anomaly detection and fault localization from massive logs a critical research area. However, existing log anomaly detection methods struggle to capture context-dependent semantic relationships present in unstructured logs and lack explainable decision-making mechanisms, substantially restricting their applicability in complex systems. The present study proposes LLM-LADE, a novel large language model (LLM)-based framework for log anomaly detection and explanation. LLM-LADE introduces a three-stage coordinated architecture encompassing 'data augmentation-parameter-efficient fine-tuning (PEFT)-online optimization', representing the first implementation of LLMs for simultaneous anomaly discrimination and explanation generation in log sequences. The framework overcomes the interpretability limitations of conventional approaches through a joint learning objective of label-cause pairs. An incrementally matched knowledge base mechanism is designed to enable zero-parameter-update online optimization via real-time capture of misjudged samples, ensuring continuous adaptability to dynamic logging environments. Experimental results on three benchmark datasets demonstrate that LLM-LADE outperforms current state-of-the-art algorithms in detection performance, with explanations generated exhibiting professional-grade usability in terms of both informativeness and readability.</t>
  </si>
  <si>
    <t>10.1016/j.knosys.2025.114064</t>
  </si>
  <si>
    <t>WOS:001539008300001</t>
  </si>
  <si>
    <t>de Curtò, J; de Zarzà, I; Roig, G; Cano, JC; Manzoni, P; Calafate, CT</t>
  </si>
  <si>
    <t>de Curto, J.; de Zarza, I.; Roig, Gemma; Cano, Juan Carlos; Manzoni, Pietro; Calafate, Carlos T.</t>
  </si>
  <si>
    <t>LLM-Informed Multi-Armed Bandit Strategies for Non-Stationary Environments</t>
  </si>
  <si>
    <t>multi-armed bandit; non-stationary environments; large language models; AI strategy optimization; GPT-3; 5-turbo; QLoRA</t>
  </si>
  <si>
    <t>In this paper, we introduce an innovative approach to handling the multi-armed bandit (MAB) problem in non-stationary environments, harnessing the predictive power of large language models (LLMs). With the realization that traditional bandit strategies, including epsilon-greedy and upper confidence bound (UCB), may struggle in the face of dynamic changes, we propose a strategy informed by LLMs that offers dynamic guidance on exploration versus exploitation, contingent on the current state of the bandits. We bring forward a new non-stationary bandit model with fluctuating reward distributions and illustrate how LLMs can be employed to guide the choice of bandit amid this variability. Experimental outcomes illustrate the potential of our LLM-informed strategy, demonstrating its adaptability to the fluctuating nature of the bandit problem, while maintaining competitive performance against conventional strategies. This study provides key insights into the capabilities of LLMs in enhancing decision-making processes in dynamic and uncertain scenarios.</t>
  </si>
  <si>
    <t>10.3390/electronics12132814</t>
  </si>
  <si>
    <t>WOS:001028580200001</t>
  </si>
  <si>
    <t>Liu, CY; Jin, YX; Guan, ZY; Li, TY; Qin, YM; Qian, B; Jiang, ZH; Wu, YL; Wang, XN; Zheng, YF; Zeng, D</t>
  </si>
  <si>
    <t>Liu, Chunyu; Jin, Yixiao; Guan, Zhouyu; Li, Tingyao; Qin, Yiming; Qian, Bo; Jiang, Zehua; Wu, Yilan; Wang, Xiangning; Zheng, Ying Feng; Zeng, Dian</t>
  </si>
  <si>
    <t>Visual-language foundation models in medicine</t>
  </si>
  <si>
    <t>VISUAL COMPUTER</t>
  </si>
  <si>
    <t>Foundation model; Multi-modality data; Deep learning; Computer vision; Natural language processing; Healthcare</t>
  </si>
  <si>
    <t>ARTIFICIAL-INTELLIGENCE; NEURAL-NETWORKS; DEEP; HEALTH; CLASSIFICATION; PREDICTION; DISEASE; AI</t>
  </si>
  <si>
    <t>By integrating visual and linguistic understanding, visual-language foundation models (VLFMs) have the great potential to advance the interpretation of medical data, thereby enhancing diagnostic precision, treatment planning, and patient management. We reviewed the developmental strategies of VLFMs, detailing the pretraining strategies, and subsequent application across various healthcare facets. The challenges inherent to VLFMs are described, including safeguarding data privacy amidst sensitive medical data usage, ensuring algorithmic transparency, and fostering explainability for trust in clinical decision-making. We underscored the significance of VLFMs in addressing the complexity of multimodal medical data, from visual to textual, and their potential in tasks like image-based disease diagnosis, medicine report synthesis, and longitudinal patient monitoring. It also examines the progress in VLFMs like Med-Flamingo, LLaVA-Med, and their zero-shot learning capabilities, and the exploration of parameter-efficient fine-tuning methods for efficient adaptation. This review concludes by encouraging the community to pursue these emergent and promising directions to strengthen the impact of artificial intelligence and deep learning on healthcare delivery and research.</t>
  </si>
  <si>
    <t>0178-2789</t>
  </si>
  <si>
    <t>1432-2315</t>
  </si>
  <si>
    <t>10.1007/s00371-024-03579-w</t>
  </si>
  <si>
    <t>WOS:001279191900001</t>
  </si>
  <si>
    <t>Ren, YZ; Zhang, HJ; Yu, FR; Li, W; Zhao, PC; He, Y</t>
  </si>
  <si>
    <t>Ren, Yuzheng; Zhang, Haijun; Yu, Fei Richard; Li, Wei; Zhao, Pincan; He, Ying</t>
  </si>
  <si>
    <t>Industrial Internet of Things With Large Language Models (LLMs): An Intelligence-Based Reinforcement Learning Approach</t>
  </si>
  <si>
    <t>Industrial Internet of Things (IIoT); intelligence; large language models (LLMs); large language models (LLMs); reinforcement learning; reinforcement learning; reinforcement learning</t>
  </si>
  <si>
    <t>BLOCKCHAIN</t>
  </si>
  <si>
    <t>Large Language Models (LLMs), as advanced AI technologies for processing and generating natural language text, bring substantial benefits to the Industrial Internet of Things (IIoT) by enhancing efficiency, decision-making, and automation. Nevertheless, their deployment faces significant obstacles due to high computational and energy demands, which often exceed the capabilities of many industrial devices. To overcome these challenges, edge-cloud collaboration has become increasingly essential, assisting in offloading LLMs tasks to reduce the computational load. However, traditional reinforcement learning (RL)-based strategies for LLMs task offloading encounter difficulties with generalization ability and defining explicit, appropriate reward functions. Therefore, in this paper, we propose a novel framework for offloading LLMs inference tasks in IIoT, utilizing a Decentralized Identifier (DID)-based identity management system for trusted task offloading. Furthermore, we introduce an intelligence-based RL (IRL) approach, which sidesteps the need for defining specific reward functions. Instead, it uses intelligence as a metric to evaluate cognitive improvements and adapt to varying environmental preferences, significantly improving generalizability. In our experiments, we employ the GPT-J-6B model and utilize the Human Eval dataset to assess its ability to tackle programming challenges, demonstrating the superior performance of our proposed solution compared to existing methods.</t>
  </si>
  <si>
    <t>10.1109/TMC.2024.3522130</t>
  </si>
  <si>
    <t>WOS:001459643400025</t>
  </si>
  <si>
    <t>Albahri, OS; Alsalem, MA; Albahri, AS; Mahmoud, MA; Alzubaidi, L; Alamoodi, AH; Sharaf, IM</t>
  </si>
  <si>
    <t>Albahri, O. S.; Alsalem, M. A.; Albahri, A. S.; Mahmoud, Moamin A.; Alzubaidi, Laith; Alamoodi, A. H.; Sharaf, Iman Mohamad</t>
  </si>
  <si>
    <t>An Improved Best-Worst Method Integrated With Combined Compromise Solution for Evaluating Large Language Models</t>
  </si>
  <si>
    <t>INTERNATIONAL JOURNAL OF INTELLIGENT SYSTEMS</t>
  </si>
  <si>
    <t>artificial intelligence; best-worst method; combined compromise solution; large language models; multicriteria decision-making</t>
  </si>
  <si>
    <t>DECISION-MAKING</t>
  </si>
  <si>
    <t>The emergence of large language models (LLMs) has substantially changed the artificial intelligence field, enabling its wide use over different domains. As various LLM alternatives have been developed, the current study proposes a novel decision-support framework for evaluating and benchmarking LLMs based on multicriteria decision-making (MCDM) techniques. In the proposed framework, an improved version of the best-worst method (BWM) is proposed to effectively reduce the computational complexity of assigning a critical weight for the evaluation criteria of LLMs. Then, the improved BWM is integrated with the combined compromise solution (CoCoSo) method for ranking LLM alternatives. Findings show that the improved BWM successfully computes the criteria weights with low computational complexity compared to the original BWM. According to the enhanced BWM, the 'factual errors' criterion received the highest significant weight (0.2681), while the 'logical inconsistencies' criteria obtained the lowest (0.0827). The rest of the criteria were distributed in between that range. Subsequently, CoCoSo ranked the involved LLM alternatives in two different runs based on the extracted weights. Sensitivity analysis was employed to evaluate the effect of the assessment criteria on LLMs' evaluation.</t>
  </si>
  <si>
    <t>0884-8173</t>
  </si>
  <si>
    <t>1098-111X</t>
  </si>
  <si>
    <t>10.1155/int/2376097</t>
  </si>
  <si>
    <t>WOS:001546697500001</t>
  </si>
  <si>
    <t>Giabbanelli, PJ; Daumas, C; Flandre, NY; Pitkar, A; Vazquez-Estrada, J</t>
  </si>
  <si>
    <t>Giabbanelli, Philippe J.; Daumas, Cedric; Flandre, Noe Y.; Pitkar, Ashutosh; Vazquez-Estrada, Jessica</t>
  </si>
  <si>
    <t>Promoting empathy in decision-making by turning agent-based models into stories using large-language models</t>
  </si>
  <si>
    <t>JOURNAL OF SIMULATION</t>
  </si>
  <si>
    <t>Agent-based Model; agent narratives; GPT-4; model-to-text; style transfer</t>
  </si>
  <si>
    <t>This study explores how empathy can be integrated into decision-making within three Agent-Based Models (ABMs) of disasters and migrations. We design, implement, and evaluate methods to translate the experiences of simulated agents into empathetic narratives through Large Language Models (LLMs), using GPT-4 as a guiding example. We compare two approaches: a direct method that prompts to create empathetic stories (thus leaving it to GPT's interpretation of empathy), and an indirect method using style transfer by adopting the voice of well-known empathetic figures. Using a Design of Experiments framework, we evaluate the impact of factors including text length and temperature on readability, sentence accuracy, and character authenticity. Results show the indirect method yields better quality narratives. Human readers generally agree that our generated stories show genuine emotions, although full empathy is limited by the extreme scenarios simulated. Our work is provided open-source to support researchers in transforming their ABMs into narratives.</t>
  </si>
  <si>
    <t>1747-7778</t>
  </si>
  <si>
    <t>1747-7786</t>
  </si>
  <si>
    <t>2025 SEP 3</t>
  </si>
  <si>
    <t>10.1080/17477778.2025.2536663</t>
  </si>
  <si>
    <t>Computer Science; Operations Research &amp; Management Science</t>
  </si>
  <si>
    <t>WOS:001562602400001</t>
  </si>
  <si>
    <t>Ubaid, A; Lie, A; Lin, XJ</t>
  </si>
  <si>
    <t>Ubaid, Ayesha; Lie, Adrian; Lin, Xiaojie</t>
  </si>
  <si>
    <t>SMART Restaurant ReCommender: A Context-Aware Restaurant Recommendation Engine</t>
  </si>
  <si>
    <t>large language models; LLMs; Open AI; ChatGPT; restaurant recommender system; Google API; recommender systems</t>
  </si>
  <si>
    <t>With the rise of e-commerce and web application usage, recommendation systems have become important to our daily tasks. They provide personalized suggestions to assist with any task under consideration. While various machine learning algorithms have been developed for recommendation tasks, existing systems still face limitations. This research focuses on advancing context-aware recommendation sytems by leveraging the capabilities of Large Language Models (LLMs) in conjunction with real-time data. The research exploits the integration of existing real-time data APIs with LLMs to enhance the capabilities of the recommendation systems already integrated into smart societies. The experimental results demonstrate that the hybrid approach significantly improves the user experience and recommendation quality, ensuring more relevant and dynamic suggestions.</t>
  </si>
  <si>
    <t>MAR 25</t>
  </si>
  <si>
    <t>10.3390/ai6040064</t>
  </si>
  <si>
    <t>WOS:001474697200001</t>
  </si>
  <si>
    <t>Mahmud, KR; Wang, LX; Hassan, S; Zhang, Z</t>
  </si>
  <si>
    <t>Mahmud, Khan Raqib; Wang, Lingxiao; Hassan, Sunzid; Zhang, Zheng</t>
  </si>
  <si>
    <t>A knowledge-driven framework for Robotic Odor Source Localization using large language models</t>
  </si>
  <si>
    <t>Robotic Odor Source Localization; Large Language Models (LLMs); Knowledge driven framework; Deep Q-Network (DQN)</t>
  </si>
  <si>
    <t>PLUME-TRACKING; ENVIRONMENTS; FLEXIBILITY; NAVIGATION; BEHAVIOR; MOTHS</t>
  </si>
  <si>
    <t>Robotic Odor Source Localization (OSL) technology enables mobile robots to detect and navigate unknown odor sources in diverse environments. Traditional OSL methods, including bio-inspired, engineering-based, and machine learning-based approaches, face limitations of lack of adaptability to varying environments, significant computational resource requirements, and dependence on historical data. To overcome these challenges, we present a knowledge-driven framework that leverages Large Language Models (LLMs) to improve the robot's navigation capabilities through contextual understanding and informed decision-making. A key feature of the proposed work is integrating an LLM agent with a memory module, which stores past experiences and recalls them during the decision-making process, allowing the robotic agent to make decisions based on current sensory inputs and previously acquired knowledge. Compared to traditional deep learning-based methods, such as Deep Q-Network (DQN), both simulation and real-world experiment results demonstrate that our framework significantly outperforms it in terms of accuracy, efficiency, and generalization across different environmental conditions.</t>
  </si>
  <si>
    <t>10.1016/j.robot.2025.104915</t>
  </si>
  <si>
    <t>WOS:001402736800001</t>
  </si>
  <si>
    <t>Galdino, M; Hamann, T; Abdelrazeq, A; Isenhardt, I</t>
  </si>
  <si>
    <t>Galdino, Marcos; Hamann, Tobias; Abdelrazeq, Anas; Isenhardt, Ingrid</t>
  </si>
  <si>
    <t>Large Language Model-Based Cognitive Assistants for Quality Management Systems in Manufacturing: A Requirement Analysis</t>
  </si>
  <si>
    <t>cognitive assistants; digital transformation; human-technology-organization; ISO 9001; large language models; manufacturing; quality management systems</t>
  </si>
  <si>
    <t>INDUSTRY 4.0</t>
  </si>
  <si>
    <t>The integration of large language model-based cognitive assistants (LLM-CAs) into manufacturing offers opportunities to enhance decision-making, quality, and efficiency. However, aligning LLM-CAs with quality management systems (QMS), such as ISO 9001:2015, remains a complex task. This study systematically reviewed 53 studies (2022-2024) to identify 84 literature-based requirements related to LLM-CAs deployment for QMS. We translated the identified challenges into 24 actionable requirements using thematic analysis. Grounded in the human, technology, and organization concept (HTO), we classified the requirements across HTO subsystems and their overlaps and mapped them to the seven ISO 9001:2015 clauses. Our analysis reveals strong alignment between LLM-CAs and QMS principles, particularly in areas such as support in decision-making processes and continuous improvement. Moreover, our findings highlight persistent challenges, such as transparency, compliance risks, and workforce adaptation. An illustrative case study of setup time optimization demonstrates the practical application of these findings. The results provide a structured foundation for QMS-compliant integration of LLM-CAs into manufacturing. Future research should extend these findings through stakeholder-driven validation, system architecture development, and real-world implementation studies. This extension would, therefore, support responsible and human-centered LLM-CA adoption in digitalized manufacturing environments.</t>
  </si>
  <si>
    <t>e70437</t>
  </si>
  <si>
    <t>10.1002/eng2.70437</t>
  </si>
  <si>
    <t>WOS:001606158100026</t>
  </si>
  <si>
    <t>Cherrez-Ojeda, I; Frye, BC; Hoheisel, A; Cortes-Telles, A; Robles-Velasco, K; Mateos-Toledo, HN; Figueiredo, RG; Ryerson, CJ; Rodas-Valero, G; Calderón, JC</t>
  </si>
  <si>
    <t>Cherrez-Ojeda, Ivan; Frye, Bjoern Christian; Hoheisel, Andreas; Cortes-Telles, Arturo; Robles-Velasco, Karla; Mateos-Toledo, Heidegger N.; Figueiredo, Ricardo G.; Ryerson, Christopher J.; Rodas-Valero, Gabriela; Calderon, Juan Carlos</t>
  </si>
  <si>
    <t>Evaluation of large language model-generated medical information on idiopathic pulmonary fibrosis</t>
  </si>
  <si>
    <t>idiopathic pulmonary fibrosis; artificial intelligence; natural language processing; machine learning; large language models; health information systems; quality of health care; clinical decision-making</t>
  </si>
  <si>
    <t>QUALITY; DISCERN</t>
  </si>
  <si>
    <t>Background: Idiopathic Pulmonary Fibrosis (IPF) information from AI-powered large language models (LLMs) like ChatGPT-4 and Gemini 1.5 Pro is unexplored for quality, reliability, readability, and concordance with clinical guidelines. Research question: What is the quality, reliability, readability, and concordance to clinical guidelines of LLMs in medical and clinically IPF-related content? Study design and methods: ChatGPT-4 and Gemini 1.5 Pro responses to 23 ATS/ERS/JRS/ALAT IPF guidelines questions were compared. Six independent raters evaluated responses for quality (DISCERN), reliability (JAMA Benchmark Criteria), readability (Flesch-Kincaid), and guideline concordance (0-4). Descriptive analysis, Intraclass Correlation Coefficient, Wilcoxon signed-rank test, and effect sizes (r) were calculated. Statistical significance was set at p &lt; 0.05. Results: According to JAMA Benchmark, ChatGPT-4 and Gemini 1.5 Pro provided partially reliable responses; however, readability evaluations showed that both models were difficult to understand. The Gemini 1.5 Pro provided significantly better treatment information (DISCERN score: 56 versus 43, p &lt; 0.001). Gemini had considerably higher international IPF guidelines concordance than ChatGPT-4 (median 3.0 [3.0-3.5] vs. 3.0 [2.5-3.0], p = 0.0029). Interpretation: Both models gave useful medical insights, but their reliability is limited. Gemini 1.5 Pro gave greater quality information than ChatGPT-4 and was more compliant with worldwide IPF guidelines. Readability analyses found that AI-generated medical information was difficult to understand, stressing the need to refine it. What is already known on this topic: Recent advancements in AI, especially large language models (LLMs) powered by natural language processing (NLP), have revolutionized the way medical information is retrieved and utilized. What this study adds: This study highlights the potential and limitations of ChatGPT-4 and Gemini 1.5 Pro in generating medical information on IPF. They provided partially reliable information in their responses; however, Gemini 1.5 Pro demonstrated superior quality in treatment-related content and greater concordance with clinical guidelines. Nevertheless, neither model provided answers in full concordance with established clinical guidelines, and their readability remained a major challenge. How this study might affect research, practice or policy: These findings highlight the need for AI model refinement as LLMs evolve as healthcare reference tools to help doctors and patients make evidence-based decisions.</t>
  </si>
  <si>
    <t>SEP 24</t>
  </si>
  <si>
    <t>10.3389/frai.2025.1618378</t>
  </si>
  <si>
    <t>WOS:001589626200001</t>
  </si>
  <si>
    <t>Jeong, S; Lee, S; Park, J</t>
  </si>
  <si>
    <t>Jeong, Sungjo; Lee, Sangjin; Park, Jungheum</t>
  </si>
  <si>
    <t>LangurTrace: Forensic analysis of local LLM applications</t>
  </si>
  <si>
    <t>FORENSIC SCIENCE INTERNATIONAL-DIGITAL INVESTIGATION</t>
  </si>
  <si>
    <t>Article; Proceedings Paper</t>
  </si>
  <si>
    <t>Digital forensics; Large language model (LLM); Local LLM; Forensic artifact; Forensic tool development</t>
  </si>
  <si>
    <t>A wide variety of applications have been developed to simplify the use of Large Language Models (LLMs), raising the importance of systematically analyzing their forensic artifacts. This study proposes a structured framework for LLM application environments, categorizing applications into backend runtime, client interface, and integrated platform components. Through experimental analysis of representative applications, we identify and classify artifacts such as chat records, uploaded fils, generated files, and model setup histories. These artifacts provide valuable insight into user behavior and intent. For instance, LLM-generated files can serve as direct evidence in criminal investigations, particularly in cases involving the creation or distribution of illicit media, such as CSAM. The structured environment model further enables investigators to anticipate artifacts even in applications not directly analyzed. This study lays a foundational methodology for LLM application forensics, offering practical guidance for forensic investigations. To support practical adoption and reproducibility, we also release LangurTrace, an open-source tool that automates the collection and analysis of these artifacts.</t>
  </si>
  <si>
    <t>2666-2817</t>
  </si>
  <si>
    <t>S</t>
  </si>
  <si>
    <t>10.1016/j.fsidi.2025.301987</t>
  </si>
  <si>
    <t>WOS:001619629200008</t>
  </si>
  <si>
    <t>Phan, THV; Do, P</t>
  </si>
  <si>
    <t>Phan, Truong H. V.; Do, Phuc</t>
  </si>
  <si>
    <t>QUERY2TREE: a reasoning model for answering logical queries based on knowledge graph embedding and large language model</t>
  </si>
  <si>
    <t>KNOWLEDGE AND INFORMATION SYSTEMS</t>
  </si>
  <si>
    <t>Logical query; K-D tree; Nearest neighbor search; Multi-hop reasoning; Knowledge graph embedding; Large language model</t>
  </si>
  <si>
    <t>Reasoning to answer logical queries over a knowledge graph has been paid attention to research recently. Previous studies have only used either distance measurement or machine learning approaches processed logical operators such as conjunction, disjunction, and negation but considering the entity description information of knowledge graph yet. This study proposes a model, named QUERY2TREE, to combine a graph representative learning model and large language model to augment semantic for embedded entities of the knowledge graph such that these entities can handle logical operations more accurately during the reasoning process. Specifically, the QUERY2TREE used the graph neural network (GNN) to embed entities and Gemma model, a family of Google Gemini model, to embed the entity's descriptive information into low-dimensional space. Then, these embedded entities were indexed by K-D tree according to each relation over the knowledge graph. Next, we used nearest neighbor search algorithm of K-D tree to build logical operations such as projection, intersection, union, and negation. Finally, we applied these created logical operations to infer the answer to complex questions. We experimented with our model over benchmark knowledge graphs such as FB15k, FB15k-237, and NELL995. As a result, the QUERY2TREE model improved the accuracy better than the baseline models QUERY2BOX, ConE, CQD-CO, MLP, SILR, GNN-QE, CKGR, LACK, and LACT by up to 69.6% of MRR and by up to 69.4% of hits@3.</t>
  </si>
  <si>
    <t>0219-1377</t>
  </si>
  <si>
    <t>0219-3116</t>
  </si>
  <si>
    <t>10.1007/s10115-025-02347-z</t>
  </si>
  <si>
    <t>WOS:001444585600001</t>
  </si>
  <si>
    <t>Jacob, C; Kerrigan, P; Bastos, M</t>
  </si>
  <si>
    <t>Jacob, Christo; Kerrigan, Paraic; Bastos, Marco</t>
  </si>
  <si>
    <t>The chat-chamber effect: Trusting the AI hallucination</t>
  </si>
  <si>
    <t>ChatGPT; large language models; echo chamber; filter bubble; bias</t>
  </si>
  <si>
    <t>ECHO-CHAMBERS; ONLINE GROUPS; FEATHER; BIRDS; COMMUNICATION; EXPOSURE; INTERNET; NETWORK; MEDIA</t>
  </si>
  <si>
    <t>This study investigates the potential for ChatGPT to trigger a media effect that sits at the intersection of echo-chamber communication and filter bubbles. We devised a two-phase, two-stage experimental design with ChatGPT 3.5 (treatment group) and Google search engine (control group) by asking participants to find out how many LGBTQIA+ individuals served as elected representatives in India (first phase) and Ireland (second phase). The similar trajectories of legal reforms observed in these countries, and their small number of LGBTQIA+ elected representatives, allowed us to identify the fault lines in ChatGPT's creation of knowledge and information around LGBTQ issues. We followed the experimental study with semi-structured interviews to identify whether the chatbot reinforced previously held beliefs and whether users cross-checked the information provided by ChatGPT. Our results show that Large Language Models may provide incorrect but proattitudinal information that remains unchecked and unverified by the users, an effect we refer to as Chat-Chamber. We conclude with a discussion of our findings and recommendations for future research in the area.</t>
  </si>
  <si>
    <t>10.1177/20539517241306345</t>
  </si>
  <si>
    <t>WOS:001449937400001</t>
  </si>
  <si>
    <t>Wu, HY; Shen, ZX; Hou, SY; Jiao, HY; Liu, ZQ; Xie, LT; Liang, JY; Qing, YX; Zhang, XP; Gui, ZP; Guan, XF</t>
  </si>
  <si>
    <t>Wu, Huayi; Shen, Zhangxiao; Hou, Shuyang; Jiao, Haoyue; Liu, Ziqi; Xie, Lutong; Liang, Jianyuan; Qing, Yaxian; Zhang, Xiaopu; Gui, Zhipeng; Guan, Xuefeng</t>
  </si>
  <si>
    <t>AutoGEEval plus plus : A multi-level and multi-geospatial-modality automated evaluation framework for large language models in geospatial code generation on Google Earth Engine</t>
  </si>
  <si>
    <t>BIG EARTH DATA</t>
  </si>
  <si>
    <t>Geospatial code generation; large language models; Google Earth Engine; automated evaluation</t>
  </si>
  <si>
    <t>BIG DATA APPLICATIONS</t>
  </si>
  <si>
    <t>Geospatial code generation is crucial in integrating AI with geo-scientific analysis, but standardized evaluation tools are lacking. This study presents AutoGEEval++, an enhanced framework for evaluating large language models (LLMs) that generate geospatial code on the Google Earth Engine (GEE) platform. Built on the GEE Python API, AutoGEEval++ includes a benchmark dataset-AutoGEEval++-Bench-comprising 6,365 test cases across 26 GEE data types and three task categories: unit test, combination test, and theme test. The framework offers a fully automated evaluation pipeline, from code generation to execution-based validation, using multi-dimensional metrics such as accuracy, resource consumption, runtime efficiency, and error types. It also supports boundary testing and error pattern analysis. We assess 24 leading LLMs (as of June 2025) spanning general-purpose, reasoning-enhanced, code-centric, and geoscience-specific models. Experimental results highlight distinct performance, stability, and error patterns, demonstrating the framework's scalability for vertical-domain code generation. This study establishes the first standardized evaluation protocol and resource suite for GEE-based LLM code generation, providing a unified benchmark and a methodology for evaluating the transition from natural language to domain-specific code, advancing geospatial AI research.</t>
  </si>
  <si>
    <t>2096-4471</t>
  </si>
  <si>
    <t>2574-5417</t>
  </si>
  <si>
    <t>OCT 2</t>
  </si>
  <si>
    <t>10.1080/20964471.2025.2581425</t>
  </si>
  <si>
    <t>Computer Science; Geology; Remote Sensing</t>
  </si>
  <si>
    <t>WOS:001611077500001</t>
  </si>
  <si>
    <t>Wu, GH; Tarkoma, S; Morabito, R</t>
  </si>
  <si>
    <t>Wu, Guanghan; Tarkoma, Sasu; Morabito, Roberto</t>
  </si>
  <si>
    <t>Consolidating TinyML Lifecycle With Large Language Models: Reality, Illusion, or Opportunity?</t>
  </si>
  <si>
    <t>Tiny machine learning; Internet of Things; Codes; Adaptation models; Data models; Computational modeling; Training; Hardware; Prompt engineering; Optimization; Large language models; TinyML; Large Language Models (LLMs); Lifecycle Automation; Embedded IoT Systems; MLOps for TinyML; Edge AI</t>
  </si>
  <si>
    <t>The evolving requirements of Internet of Things (IoT) applications are driving an increasing shift toward bringing intelligence to the edge, enabling real-time insights and decision-making within resource-constrained environments. Tiny Machine Learning (TinyML) has emerged as a key enabler of this evolution, facilitating the deployment of ML models on devices such as microcontrollers and embedded systems. However, the complexity of managing the TinyML lifecycle, including stages such as data processing, model optimization and conversion, and device deployment, presents significant challenges and often requires substantial human intervention. Motivated by these challenges, we began exploring whether Large Language Models (LLMs) could help automate and streamline the TinyML lifecycle. We developed a framework that leverages the natural language processing (NLP) and code generation capabilities of LLMs to reduce development time and lower the barriers to entry for TinyML deployment. Through a case study involving a computer vision classification model, we demonstrate the framework's ability to automate key stages of the TinyML lifecycle. Our findings suggest that LLM-powered automation holds potential for improving the lifecycle development process and adapting to diverse requirements. However, while this approach shows promise, there remain obstacles and limitations, particularly in achieving fully automated solutions. This paper sheds light on both the challenges and opportunities of integrating LLMs into TinyML workflows, providing insights into the path forward for efficient, AI-assisted embedded system development.</t>
  </si>
  <si>
    <t>10.1109/MIOT.2025.3575927</t>
  </si>
  <si>
    <t>WOS:001635054300014</t>
  </si>
  <si>
    <t>Ghiani, G; Manni, E; Zacchino, S</t>
  </si>
  <si>
    <t>Ghiani, Gianpaolo; Manni, Emanuele; Zacchino, Sandro</t>
  </si>
  <si>
    <t>Improving Adaptability in Optimization-Based Decision Support Systems Through Large Language Models</t>
  </si>
  <si>
    <t>Optimization; Natural languages; Decision support systems; Large language models; Planning; Spread spectrum communication; Heuristic algorithms; Optimization models; Manuals; Vehicle routing; optimization; large language models; vehicle routing</t>
  </si>
  <si>
    <t>FUTURE</t>
  </si>
  <si>
    <t>Since the 1950s, optimization-based Decision Support Systems have emerged as one of the most impactful applications of Operations Research, replacing human-based planning across a wide range of industries. These systems have greatly improved decision-making in terms of efficiency, accuracy, and scalability. However, they also come with a significant limitation: a lack of flexibility and adaptability. Typically, the algorithms used in these systems are predefined during the design phase, following a thorough-and often time-consuming-requirements analysis. They are then hard-coded into the system, making them well-suited for specific, well-understood scenarios. However, this rigidity makes it difficult for such systems to adapt to unforeseen changes or evolving operational needs. As a result, expert intervention, re-analysis, or even a complete system redesign may be required-often at considerable time and cost. This paper explores how Large Language Models (LLMs) can be integrated with traditional optimization algorithms to address this key limitation-lack of flexibility-while preserving their core strengths: speed and solution quality. The core idea is to leverage LLMs to interpret natural language instructions, reconfigure algorithmic components, support preference-based decision-making, and explain the rationale behind their choices. Computational results on a rich Vehicle Routing Problem (VRP) setting-a class of VRPs that incorporate multiple real-world constraints and complexities commonly encountered in last-mile distribution-demonstrate the potential of this hybrid approach.</t>
  </si>
  <si>
    <t>10.1109/ACCESS.2025.3601518</t>
  </si>
  <si>
    <t>WOS:001565196500019</t>
  </si>
  <si>
    <t>Sivamayilvelan, K; Rajasekar, E; Vairavasundaram, S; Balachandran, S; Suresh, V</t>
  </si>
  <si>
    <t>Sivamayilvelan, Keerthana; Rajasekar, Elakkiya; Vairavasundaram, Subramaniyaswamy; Balachandran, Santhi; Suresh, Vishnu</t>
  </si>
  <si>
    <t>Building explainable artificial intelligence for reinforcement learning based debt collection recommender system using large language models</t>
  </si>
  <si>
    <t>Interpretability; Large language models; Prompt engineering; Recommender systems; Reinforcement learning; Text explanations; And zero-shot prompting</t>
  </si>
  <si>
    <t>Managing debt collections can be a challenging task. Managing the collection process and customer details requires human effort and time. We built a Reinforcement Learning (RL) based recommendation system to optimize this collection process. The model has to generate suggestions for boosting the collection rate, thereby saving time for manual tasks. The suitable actions were developed according to customers' risk levels and debt collector performance. The reinforcement Learning algorithm works based on the principle of exploration and exploitation. Initially, the model generates the recommendations based on the fixed policies for observed cases. When the model encounters a new scenario during the explorations, it has to create the recommendations by itself. It is necessary to understand why the model generated the particular recommendation. To build such an explainable recommendation system, we used Google Vertex Artificial Intelligence (AI) to generate text-based explanations for decisions made by the model. Moreover, we compared the different large language models through different prompting methods. We used prompt engineering concepts to get the desired text explanations. Bilingual Evaluation Understudy (BLEU) and Recall Oriented Understudy For Gisting Evaluation (ROUGE) were the accuracy metrics used in this work to analyze the performance of the text generation. Our contribution not only advances interpretability in the debt collection process but can also be implemented in various real-world settings such as healthcare, e-commerce recommendations, etc. The proposed method achieved a higher collection rate in three risk categories, such as very low risk, low risk, and medium risk.</t>
  </si>
  <si>
    <t>10.1016/j.engappai.2025.111622</t>
  </si>
  <si>
    <t>WOS:001526899700007</t>
  </si>
  <si>
    <t>Zhang, M; Fang, ZL; Wang, TY; Lu, S; Wang, XQ; Shi, TY</t>
  </si>
  <si>
    <t>Zhang, Miao; Fang, Zhenlong; Wang, Tianyi; Lu, Shuai; Wang, Xueqian; Shi, Tianyu</t>
  </si>
  <si>
    <t>CCMA: A framework for cascading cooperative multi-agent in autonomous driving merging using Large Language Models</t>
  </si>
  <si>
    <t>Large Language Model; Autonomous driving; Reinforcement Learning; In-context learning; Multi-agent system; Cooperative merging</t>
  </si>
  <si>
    <t>Traditional Reinforcement Learning (RL) suffers from challenges in replicating human-like behaviors, generalizing effectively in multi-agent scenarios, and overcoming inherent interpretability issues. These tasks become even more difficult when they require a deep understanding of the environment, coordination of agents' intentions and driving styles across various scenarios, and the overall optimization of safety, efficiency, and comfort in dynamic environments. Recently, Large Language Model (LLM) enhanced methods have shown promise in improving generalization and interoperability. However, these approaches primarily focus on single-agent scenarios and often neglect the necessary coordination among multiple road users. Therefore, in this paper, we introduce the Cascading Cooperative Multi-agent (CCMA) framework, designed to address these challenges by enhancing human-like behaviors and fostering multi-level cooperation across diverse multi-agent driving tasks, ultimately improving both micro and macro-level performance in complex driving environments. Specifically, the CCMA framework integrates RL for individual interactions, a fine-tuned LLM for regional cooperation, a reward function for global optimization, and the Retrieval-augmented Generation mechanism to dynamically optimize decision-making across complex driving scenarios. Our experiments demonstrate that our CCMA method not only enhances human-like behaviors and interpretability, but also outperforms other state-of-the-art RL methods in multi-agent environments. These findings highlight the significant impact of cascading coordinated communication and dynamic functional alignment in advanced, human-like multi-agent autonomous driving environments. Our project page is https://miaorain.github.io/rainrun.github.io/.</t>
  </si>
  <si>
    <t>10.1016/j.eswa.2025.127717</t>
  </si>
  <si>
    <t>WOS:001482508500001</t>
  </si>
  <si>
    <t>Hidayat, F; Nasution, AH; Ambia, F; Putra, DF; Mulyandri</t>
  </si>
  <si>
    <t>Hidayat, Fiki; Nasution, Arbi Haza; Ambia, Fajril; Putra, Dike Fitriansyah; Mulyandri</t>
  </si>
  <si>
    <t>Leveraging Large Language Models for Discrepancy Value Prediction in Custody Transfer Systems: A Comparative Analysis of Probabilistic and Point Forecasting Approaches</t>
  </si>
  <si>
    <t>Forecasting; Large language models; Probabilistic logic; Predictive models; Time series analysis; Uncertainty; Production; Accuracy; Oils; Petroleum industry; Probabilistic time-series forecasting; large language models; discrepancy; custody transfer system</t>
  </si>
  <si>
    <t>Discrepancies in custody transfer systems in the oil and gas industry pose significant financial, regulatory, and operational risks. Accurate prediction of these discrepancies is critical to optimizing operations and minimizing potential losses. This study evaluates the effectiveness of Large Language Models (LLMs), specifically the Chronos-FineTuning Amazon Chronos T5 Small model, alongside statistical, machine learning, and deep learning models, in both probabilistic and point forecasting tasks. The evaluation covers metrics such as Weighted Quantile Loss (WQL), Scaled Quantile Loss (SQL), Mean Absolute Error (MAE), Symmetric Mean Absolute Percentage Error (SMAPE), and Root Mean Square Error (RMSE). The results highlight the superior performance of the Chronos model in both forecasting paradigms, demonstrating its ability to capture uncertainty and deliver precise predictions. This research offers valuable insights into selecting forecasting methodologies to improve custody transfer operations, underscoring the transformative potential of LLMs in industrial applications.</t>
  </si>
  <si>
    <t>10.1109/ACCESS.2025.3560254</t>
  </si>
  <si>
    <t>WOS:001470367900010</t>
  </si>
  <si>
    <t>Feng, CJ; Ai, B; Liu, DG; Liu, X; Wen, Z; Cai, HL; Lv, GN</t>
  </si>
  <si>
    <t>Feng, Chongjun; Ai, Bo; Liu, Dongge; Liu, Xue; Wen, Zhen; Cai, Haolin; Lv, Guannan</t>
  </si>
  <si>
    <t>A decision-making framework by large language model for green tide salvage ship scheduling</t>
  </si>
  <si>
    <t>Large language model; Green tide salvage; Ship scheduling; Decision making</t>
  </si>
  <si>
    <t>Efficient ship scheduling in green tide salvage operations is vital for mitigating ecological damage, reducing economic losses, and protecting coastal environment. To address the lack of intelligent decision support in current methods and the insufficient adaptability of general-purpose large language models (LLMs), we propose a Green Tide Salvage Decision Model (GTSDM), a LLM framework designed for green tide emergency response. Unlike classical optimization methods or generic AI models, GTSDM integrates domain knowledge with a multi agent group decision architecture, enabling iterative and collaborative refinement of salvage plans through simulated expert review. We construct a salvage dataset by fusing salvage regions, green tide dispersion points, and ship trajectories. Based on DeepSeek R1 14B, we employ low-rank adaptive fine-tuning to enhance its decision-making capabilities for green tide salvage operations. Finally, a scoring system for green tide salvage plans is proposed, integrating salvage cost and volume to comprehensively evaluate the rationality of salvage proposals. The results show that compared to general-purpose LLMs, this model achieves an average cost reduction of 14.7% per ton and an average increase of 26.3% in salvage volume per ship. Compared to traditional algorithms (NSGA-II, SPEA2 and MENSGA), it achieves an average cost reduction of 8.5% per ton and an average increase of 13.3% in salvage volume per ship. This study effectively enhances the intelligence level of green tide salvage scheduling, which helps to reduce ecological damage and economic losses caused by green tide, and provides a new method for the intelligent emergency management system of marine ecological disasters.</t>
  </si>
  <si>
    <t>10.1016/j.eswa.2025.130590</t>
  </si>
  <si>
    <t>WOS:001636690000001</t>
  </si>
  <si>
    <t>Huang, AH; Wang, H; Yang, Y</t>
  </si>
  <si>
    <t>Huang, Allen H.; Wang, Hui; Yang, Yi</t>
  </si>
  <si>
    <t>FinBERT: A Large Language Model for Extracting Information from Financial Text</t>
  </si>
  <si>
    <t>CONTEMPORARY ACCOUNTING RESEARCH</t>
  </si>
  <si>
    <t>deep learning; large language model; transfer learning; interpretable machine learning; sentiment classification; environment; social; and governance (ESG)</t>
  </si>
  <si>
    <t>EARNINGS; READABILITY; DISCLOSURE</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</si>
  <si>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naive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t>
  </si>
  <si>
    <t>0823-9150</t>
  </si>
  <si>
    <t>1911-3846</t>
  </si>
  <si>
    <t>10.1111/1911-3846.12832</t>
  </si>
  <si>
    <t>JAN 2023</t>
  </si>
  <si>
    <t>WOS:000909014900001</t>
  </si>
  <si>
    <t>Yang, Q; Farseev, A; Ongpin, M; Huang, AL; Chu-Farseeva, YY; You, DM; Lepikhin, K; Nikolenko, S</t>
  </si>
  <si>
    <t>Yang, Qi; Farseev, Aleksandr; Ongpin, Marlo; Huang, Alfred; Chu-Farseeva, Yu-Yi; You, Da-Min; Lepikhin, Kirill; Nikolenko, Sergey</t>
  </si>
  <si>
    <t>Fusing Predictive and Large Language Models for Actionable Recommendations in Creative Marketing</t>
  </si>
  <si>
    <t>Digital Advertising; Ads Performance Prediction; Deep Learning; Large Language Model; Explainable AI</t>
  </si>
  <si>
    <t>The opaqueness of modern digital advertising, exemplified by large platforms such as Meta Ads, raises concerns regarding their control over audience targeting, pricing structures, and ad relevancy assessments. Locked in place by network effects, these natural monopolies attract countless advertisers who rely on subjective intuition, with billions of dollars lost on ineffective social media advertisements. The platforms' algorithms rely on huge amounts of data unavailable to advertisers, and the algorithms themselves are opaque too, so advertisers often cannot make informed decisions. To promote transparency and help individual advertisers, we first propose novel ways to optimize advertising strategies, predicting click-through rates of novel advertising content based on the content itself. However, advertisers face both opaqueness and a vast abundance of data: a large platform has so many competitor ads that it is hard to derive meaningful insights. Drawing inspiration from the success of Large Language Models (LLM), we propose a system that merges multimodal LLMs and pretrained AI models with an emphasis on digital marketing and advertising data analysis. Leveraging the capabilities of LLMs and incorporating explainability features, including modern text-image models, we aim to improve efficiency and produce synergy between human marketers and AI systems.</t>
  </si>
  <si>
    <t>10.1145/3725885</t>
  </si>
  <si>
    <t>WOS:001552812400001</t>
  </si>
  <si>
    <t>Le, NT; Ninh, Q; Le, T; Nguyen, HT</t>
  </si>
  <si>
    <t>Le, Nhat; Ninh, Quan; Le, Tung; Nguyen, Huy Tien</t>
  </si>
  <si>
    <t>Distilling Large Language Models for Structured Query Language generation with reverse Kullback-Leibler and dynamic α scheduler</t>
  </si>
  <si>
    <t>COMPUTERS &amp; ELECTRICAL ENGINEERING</t>
  </si>
  <si>
    <t>Knowledge distillation; Large Language Models; SQL generation</t>
  </si>
  <si>
    <t>With the increasing reliance on data-driven decision-making, the demand for efficient Structured Query Language (SQL) query generation has grown significantly, as it serves as a crucial bridge between natural language and databases. While Large Language Models (LLMs) excel in this task, their high computational costs and inconsistent effectiveness pose significant limitations. This study introduces a knowledge distillation approach to create efficient, high-performing models for SQL generation. By integrating teacher and student model distributions with a dynamic alpha scheduler inspired by learning rate schedulers, the method adjusts the teacher's influence during training, enhancing stability and narrowing performance gaps. Additionally, reverse Kullback-Leibler Divergence (KLD) loss balances contributions, allowing the student model to refine itself while leveraging teacher guidance. The resulting distilled student model, which is 100 times smaller than GPT-4, achieves 80.5% accuracy on benchmark datasets and outperforms GPT-4 in this domain. Furthermore, it demonstrates a 10.2% improvement on extra-hard questions compared to its undistilled counterpart. This work highlights the potential of optimizing LLMs for reduced computational costs and superior performance in SQL query generation and beyond.</t>
  </si>
  <si>
    <t>0045-7906</t>
  </si>
  <si>
    <t>1879-0755</t>
  </si>
  <si>
    <t>10.1016/j.compeleceng.2025.110607</t>
  </si>
  <si>
    <t>WOS:001602606500002</t>
  </si>
  <si>
    <t>Ayad, S; Chibout, LK</t>
  </si>
  <si>
    <t>Ayad, Sarah; Chibout, Lydia Khelifa</t>
  </si>
  <si>
    <t>Ontology Population With Large Language Models (LLMs): A Case Study on Asbestos Ontology</t>
  </si>
  <si>
    <t>APPLIED ONTOLOGY</t>
  </si>
  <si>
    <t>ontology; ontology population; prompt engineering; ChatGPT; large language models; asbestos</t>
  </si>
  <si>
    <t>DOMAIN ONTOLOGY</t>
  </si>
  <si>
    <t>The Asbestos Ontology is a domain application ontology designed for use in an ontology-based approach that estimates the probability of the existence of asbestos products in a building. However, new issues in the building domain, such as predicting the presence of lead in buildings, renovating asbestos floors, or the reuse and recycling of components or parts of buildings as part of the circular economy, require a generalization of this ontology to a building ontology. The lack of relevant data tends to make decision-making difficult. The purpose of our approach is to show how instance-level knowledge graphs can be populated without having to manually create hundreds of instances using large language models (LLMs) and prompt engineering. This paper introduces a novel method for populating ontologies using the latest generative LLMs, such as GPT-3.5. Our method is characterized by an innovative recursive zero-shot prompting technique. The key contributions of this study are: (i) a new strategy for recursively prompting LLMs to elicit pertinent knowledge from the asbestos application domain; (ii) ontology population informed by the ontology metamodel; and (iii) formalization of the results into OWL axioms for the automatic integration of new instances. To evaluate the efficacy of our approach, we employed two main methodologies: (1) querying for instances linked to each entity; and (2) recursively querying for instances to leverage our recursive prompting strategy. Our initial strategy focused on evaluating the effectiveness of zero-shot prompting in retrieving relevant values for entities and data properties. This was facilitated through the development of the PromptGeneration function, which adjusted the input C i across various contexts.</t>
  </si>
  <si>
    <t>1570-5838</t>
  </si>
  <si>
    <t>1875-8533</t>
  </si>
  <si>
    <t>10.1177/15705838251334528</t>
  </si>
  <si>
    <t>WOS:001493433800001</t>
  </si>
  <si>
    <t>Madrueño, N; Fernández-Isabel, A; Fernández, RR; de Diego, IM</t>
  </si>
  <si>
    <t>Madrueno, Natalia; Fernandez-Isabel, Alberto; Fernandez, Ruben R.; de Diego, Isaac Martin</t>
  </si>
  <si>
    <t>Advancing text adversarial example generation using large language models</t>
  </si>
  <si>
    <t>Adversarial attack; Text adversarial example; Large language model; Natural language processing; Text classification</t>
  </si>
  <si>
    <t>Recent advances in Natural Language Processing (NLP) are highly based on black-box score-based models that provide only final predictions along with their score. This opacity impedes the comprehension of their internal decision-making processes, complicating the identification of potential weaknesses. A powerful strategy for analyzing model vulnerabilities is the generation of text adversarial examples. These attacks introduce subtle text perturbations that cause victim models to make incorrect predictions while preserving the original semantic meaning. This paper presents a novel method for generating text adversarial examples through Large Language Models (LLMs). The proposed method uses the outstanding text generation capabilities of LLMs to modify the original input text at multiple granularities: character-, word-, and sentence-level. First, sentence-level perturbations are introduced by generating paraphrases with an LLM instruction prompt. Next, further character-and word-level perturbations are introduced to words that most affect predictions using another set of LLM instruction prompts. In particular, vulnerable words are perturbed by replacing them with their synonyms or misspelled variants, or by inserting additional neutral words adjacent to them. Experiments were conducted to assess the proposal's viability on two sentiment classification tasks: sentence-level reviews and full-length reviews. The proposal demonstrates an advantage over many well-known approaches based on LLMs. It preserves the original semantics to a similar extent, while increasing the deception of victim models by 29-85 % over the best-analyzed state-of-the-art methods.</t>
  </si>
  <si>
    <t>10.1016/j.knosys.2025.114361</t>
  </si>
  <si>
    <t>WOS:001566974900002</t>
  </si>
  <si>
    <t>Zeng, XR; Chen, C; Wang, YH; Liang, YQ</t>
  </si>
  <si>
    <t>Zeng, Xirui; Chen, Cen; Wang, Yanhao; Liang, Yuqi</t>
  </si>
  <si>
    <t>ELfolio: Strategy Evolution via Large Language Models for Portfolio Optimization</t>
  </si>
  <si>
    <t>INTELLIGENT COMPUTING</t>
  </si>
  <si>
    <t>With increasing financial market fluctuation, classical portfolio optimization methods, particularly those based on static market assumptions and heavily relying on feature engineering, face considerable challenges. In addition, existing heuristic algorithms for strategy optimization often depend on expert knowledge, showing limited adaptability in real-world financial market scenarios. To address these limitations, this paper proposes a novel framework, ELfolio, which combines evolutionary algorithms (EAs) with large language models (LLMs) to automatically generate and evolve heuristic strategies for portfolio optimization. Using structured prompts, ELfolio can generate diverse, executable, and financially sound strategies. We systematically explore 3 key optimization paradigms, namely, reinforcement learning (RL), evolutionary search (ES), and deep learning (DL), and introduce multiple sets of general and specialized prompting techniques, along with chain-of-thought (CoT) reasoning, to enhance strategy diversity and search efficiency. Empirical results on real-world financial datasets show that ELfolio considerably outperforms several baseline methods in terms of risk-return trade-offs, providing an effective LLM-enhanced solution for intelligent financial decision-making.</t>
  </si>
  <si>
    <t>2771-5892</t>
  </si>
  <si>
    <t>DEC 22</t>
  </si>
  <si>
    <t>10.34133/icomputing.0176</t>
  </si>
  <si>
    <t>WOS:001643425200001</t>
  </si>
  <si>
    <t>Liu, BR</t>
  </si>
  <si>
    <t>Liu, Bingran</t>
  </si>
  <si>
    <t>Demystifying the black box: AI-enhanced logistic regression for lead scoring</t>
  </si>
  <si>
    <t>APPLIED INTELLIGENCE</t>
  </si>
  <si>
    <t>Large language model; Logistic regression; Dialogue systems; Marketing domain leads; Feature engineering; Multi-agent systems</t>
  </si>
  <si>
    <t>To mitigate interpretability challenges in business decision-making due to the black-box nature of generative Artificial Intelligence(AI), and to address high information processing costs and inconsistent feature collection standards, a novel marketing lead evaluation framework integrating large language models (LLMs) and classical machine learning algorithms was developed. The framework encompasses three modules: (1) a multi-agent question-answering system leveraging Retrieval-Augmented Generation(RAG) and LLMs; (2) a feature extraction and memory module for precise natural language and public data processing; and (3) a logistic regression (LR) model, trained on 540,000 automotive lead records, with associated calculation logic for decision support. Results indicate that the multi-agent system accurately identifies intentions and routes modules, the feature extraction module reduces manual follow-up costs, and the LR-guided LLM output enhances interpretability. These findings highlight the framework's potential for auditing abnormal events and advancing marketing intelligence and business systematization.</t>
  </si>
  <si>
    <t>0924-669X</t>
  </si>
  <si>
    <t>1573-7497</t>
  </si>
  <si>
    <t>10.1007/s10489-025-06430-4</t>
  </si>
  <si>
    <t>WOS:001451871300003</t>
  </si>
  <si>
    <t>Shobharani, B; Mayormente, MD; Sario, EB; Gumpal, BR; Farhad, S; Chohan, JS; Muniyandy, E</t>
  </si>
  <si>
    <t>Shobharani, Bukka; Mayormente, Melito D.; Sario, Edgardo B.; Gumpal, Bernadette R.; Farhad, S.; Chohan, Jasgurpreet Singh; Muniyandy, Elangovan</t>
  </si>
  <si>
    <t>Personalized Grammar Refinement Using Meta-Reinforcement Learning and Transformer-Based Framework</t>
  </si>
  <si>
    <t>Grammar correction; Transformer models; Meta-Reinforcement Learning; curriculum learning; personalization; ESL writing</t>
  </si>
  <si>
    <t>Writing competence is an essential academic and professional proficiency, and grammatical precision and reliability a long-term issue, especially among ESL students. Conventional rule-based and statistical grammar correction models have constraints based on context, whereas contemporary Transformer-based sequence-to-sequence models like BERT, T5, and GPT have strong performance but cannot be customized or adapted to specific writer styles. To fill in these gaps, this study introduces Meta-ACGR, a meta-reinforcement learning grammar refinement system that augments Transformer-based seq2seq models with Proximal Policy Optimization (PPO) and Model-Agnostic Meta-Learning (MAML) and curriculum learning. The model promotes individualized grammar correction, which allows quick adjustment to the new learners in ESL by using meta-learning and guided error development. Meta-ACGR is written in Python with the help of PyTorch and trained on big datasets of ESL language, like NUCLE and Lang-8, which can be refined based on context and individual learners. Empirical evidence indicates that Meta-ACGR receives better grammatical accuracy (86.2 vs. 94.0 per cent), decreases inference latency (12 per cent vs. baseline Transformer models), and performs better on personalization (15 per cent vs. baseline Transformer models). Altogether, Meta-ACGR provides a scalable, adaptable, and customized grammar check system with good chances to be implemented in real-life to improve writing in ESL.</t>
  </si>
  <si>
    <t>WOS:001638683900001</t>
  </si>
  <si>
    <t>Zhang, C; Xu, QF; Yu, YR; Zhou, GH; Zeng, KY; Chang, FT; Ding, K</t>
  </si>
  <si>
    <t>Zhang, Chao; Xu, Qingfeng; Yu, Yongrui; Zhou, Guanghui; Zeng, Keyan; Chang, Fengtian; Ding, Kai</t>
  </si>
  <si>
    <t>A survey on potentials, pathways and challenges of large language models in new-generation intelligent manufacturing</t>
  </si>
  <si>
    <t>ROBOTICS AND COMPUTER-INTEGRATED MANUFACTURING</t>
  </si>
  <si>
    <t>Large language models; Intelligent manufacturing; New-generation artificial intelligence; LLM applications; Industry 5.0</t>
  </si>
  <si>
    <t>Nowadays, Industry 5.0 starts to gain attention, which advocates that intelligent manufacturing should adequately consider the roles and needs of humans. In this context, how to enhance human capabilities or even liberate humans from the processes of perception, learning, decision-making, and execution has been one of the key issues to be addressed in intelligent manufacturing. Large language models (LLMs), as the breakthrough in new-generation artificial intelligence, could provide human-like interaction, reasoning, and replies suitable for various application scenarios, thus demonstrating significant potential to address the above issues by providing aid or becoming partners for humans in perception, learning, decision-making, and execution in intelligent manufacturing. The combination of LLMs and intelligent manufacturing has inherent advantages and is expected to become the next research hotspot. Hence, this paper primarily conducts a systematic literature review on the application of LLMs in intelligent manufacturing to identify the promising research topics with high potential for further investigations. Firstly, this paper reveals the concept, connotation, and foundational architecture of LLMs. Then, several typical and trending interdisciplinary LLM applications, such as healthcare, drug discovery, social &amp; economic, education, and software development, are summarized, on which an LLM-enabled intelligent manufacturing architecture is designed to provide a reference for applying LLMs in intelligent manufacturing. Thirdly, the specific pathways for applying LLMs in intelligent manufacturing are explored from the perspectives of design, production, and service. Finally, this paper identifies the limitations, barriers, and challenges that will be encountered during the research and application of LLMs in intelligent manufacturing, while providing potential research directions to address these limitations, barriers, and challenges.</t>
  </si>
  <si>
    <t>0736-5845</t>
  </si>
  <si>
    <t>1879-2537</t>
  </si>
  <si>
    <t>10.1016/j.rcim.2024.102883</t>
  </si>
  <si>
    <t>Computer Science; Engineering; Robotics</t>
  </si>
  <si>
    <t>WOS:001328374700001</t>
  </si>
  <si>
    <t>Bangerter, ML; Fenza, G; Furno, D; Gallo, M; Loia, V; Stanzione, C; You, IL</t>
  </si>
  <si>
    <t>Bangerter, Micaela Lucia; Fenza, Giuseppe; Furno, Domenico; Gallo, Mariacristina; Loia, Vincenzo; Stanzione, Claudio; You, Ilsun</t>
  </si>
  <si>
    <t>A Hybrid Framework Integrating LLM and ANFIS for Explainable Fact-Checking</t>
  </si>
  <si>
    <t>Task analysis; Reliability; Adaptation models; Fuzzy systems; Fuzzy logic; Large language models; Data models; Deep neuro fuzzy system (DNFS); fact-checking; fuzzy inference system; large language model (LLM)</t>
  </si>
  <si>
    <t>The widespread utilization of social media for information consumption has significantly exacerbated the problem of information disorder. Recognizing the difficulty people face in discerning the truth, automated assistance is urgently needed. Current state-of-the-art approaches often involve fine-tuning existing models with contributions from domain knowledge bases. The black-box nature and interpretability issues of deep neural networks have increased interest in hybrid approaches, giving rise to deep neural fuzzy systems (DNFSs). This article presents the Hybrid Fact-Checking Framework leveraging a DNFS tailored to address the uncertainty inherent in fact verification tasks and enhance the reliability of model responses. The DNFS integrates a large language model with an adaptive neuro fuzzy inference system for automated fact verification. The framework utilizes relevant evidence from open-world and closed-world sources, leveraging deep language models and employing few-shot prompting without additional training to generate and justify verdicts. Including fuzzy rules and considering the trustworthiness and relevance of retrieved evidence enhances response reliability, thereby improving overall effectiveness and outcome interpretability. Experimental validations have been conducted on three publicly available datasets ranging in different domains of expertise: Climate-FEVER, SciFact, and FEVER. The results demonstrate that the proposed framework ensures better outcomes, transparency, and mindful decision-making.</t>
  </si>
  <si>
    <t>10.1109/TFUZZ.2024.3431710</t>
  </si>
  <si>
    <t>WOS:001630903600016</t>
  </si>
  <si>
    <t>Caturano, F; Ciotola, J; Romano, SP; Varlese, M</t>
  </si>
  <si>
    <t>Caturano, Francesco; Ciotola, Jordan; Romano, Simon Pietro; Varlese, Mario</t>
  </si>
  <si>
    <t>A chit-chat between Llama 2 and ChatGPT for the automated creation of exploits</t>
  </si>
  <si>
    <t>COMPUTER NETWORKS</t>
  </si>
  <si>
    <t>Exploit generation; Generative AI; Large language models; Coding automation; Llama 2; ChatGPT</t>
  </si>
  <si>
    <t>Software exploitation is the process of taking advantage of vulnerabilities in software systems in order to perform unintended activities. Its understanding leads to improved defensive measures and informed decision making about which security mechanisms to prioritize. However, creating a software exploit is typically a time-consuming and manual task that demands a deep understanding of programming, network protocols, operating system internals, and computer architectures. Additionally, it requires the ability to integrate this knowledge through complex reasoning and problem-solving techniques. This paper proposes an approach to tackle the aforementioned problems by encouraging a conversation between Large Language Models (LLMs) with the purpose of generating software exploits. First, the chosen LLMs are provided with the necessary context knowledge, through modern techniques of fine-tuning and prompt engineering. Then, the exploitation methodology is divided into several steps: vulnerable program analysis, identification of the exploit, planning of the exploitation process, discovery of architecture internals, and production of the exploit software. A first Large Language Model (LLM) is designed to ask questions to a second LLM regarding the execution of the above mentioned steps. The final output from the second LLM provides fully automated, functional exploit code. This method demonstrates how two LLMs - one possessing capabilities in exploitation and coding, and the other with expertise in computer architecture - can collaborate to successfully exploit Buffer Overflow vulnerabilities.</t>
  </si>
  <si>
    <t>1389-1286</t>
  </si>
  <si>
    <t>1872-7069</t>
  </si>
  <si>
    <t>10.1016/j.comnet.2025.111501</t>
  </si>
  <si>
    <t>WOS:001530505800002</t>
  </si>
  <si>
    <t>Sun, MZ; Li, Q; Pan, J; Wei, HW; Liu, C; Xu, X; Li, YA</t>
  </si>
  <si>
    <t>Sun, Mingzheng; Li, Qi; Pan, Jie; Wei, Hongwei; Liu, Chong; Xu, Xin; Li, Yangang</t>
  </si>
  <si>
    <t>POI Extraction From Digital City: An Engineering Exploration With Large-Language Models</t>
  </si>
  <si>
    <t>artificial intelligence; data cleaning; large language models; point-of-interest</t>
  </si>
  <si>
    <t>Point-of-interest (POI) extraction aims to extract text POIs from real-world data. Existing POI methods, such as social media-based user generating and web crawling, either require massive human resources or cannot guarantee integrity and reliability. Therefore, in this paper, an end-to-end POI extraction framework based on digital city is proposed. It is built of digital models, textures, tiles and other digital assets collected by aircraft. The extraction process for POIs consists of segmenting it into four sequential stages: collecting, segmentation, recognition and cleaning, each enhanced through fine-tuning on a proposed specialised digital scene dataset or via the development of tailored algorithms. Specifically, in the last stage, the application of large language model (LLM) is explored in the POI data cleaning field. By testing several LLMs of different scales using diverse chain-of-thought (CoT) strategies, the relatively optimal prompt scheme for different LLMs is identified regarding noise handling, formatted output and overall cleaning capability. Ultimately, POIs extracted through the proposed methodology exhibit superior quality and accuracy, surpassing the comprehensiveness of existing public commercial POI datasets, with the F1-score increased by 19.6%, 21.1% and 23.8% on Amap, Baidu and Google POI datasets, respectively.</t>
  </si>
  <si>
    <t>FEB 25</t>
  </si>
  <si>
    <t>e70001</t>
  </si>
  <si>
    <t>10.1111/exsy.70001</t>
  </si>
  <si>
    <t>WOS:001431125700001</t>
  </si>
  <si>
    <t>Tong, B; Zhou, Y; Zhang, C; Tang, JH; Li, J; Chen, L</t>
  </si>
  <si>
    <t>Tong, Bing; Zhou, Yan; Zhang, Chen; Tang, Jianheng; Li, Jia; Chen, Lei</t>
  </si>
  <si>
    <t>GalaxyWeaver: Autonomous Table-to-Graph Conversion and Schema Optimization with Large Language Models</t>
  </si>
  <si>
    <t>PROCEEDINGS OF THE VLDB ENDOWMENT</t>
  </si>
  <si>
    <t>Most enterprise graph data derives from relational databases, yet transforming relational tables into query-optimized graph schemas remains challenging. Existing approaches have notable limitations: (1) transformations based on primary and foreign keys often fail to generate schemas optimized for query performance; (2) manual schema design, although flexible, is costly and requires domain expertise; and (3) machine learning methods predict graph structures based on data patterns but heavily depend on large, high-quality training datasets. To address these challenges, we propose Galaxy-Weaver, a framework to automate query-aware graph schema generation. GalaxyWeaver utilizes the reasoning power of Large Language Models (LLMs) to align graph schema designs with specific query requirements, effectively integrating domain knowledge with optimization strategies. The framework employs prompt-guided analysis to enhance the decision-making accuracy of LLM agents, facilitating iterative schema refinement. Experiments across diverse domains show that GalaxyWeaver simplifies transformation while improving query performance and reducing storage costs.</t>
  </si>
  <si>
    <t>2150-8097</t>
  </si>
  <si>
    <t>10.14778/3750601.3750630</t>
  </si>
  <si>
    <t>WOS:001609248500026</t>
  </si>
  <si>
    <t>Sorin, V; Korfiatis, P; Collins, JD; Apakama, D; Omar, M; Glicksberg, BS; Yeow, ME; Brandeland, M; Nadkarni, GN; Klang, E</t>
  </si>
  <si>
    <t>Sorin, Vera; Korfiatis, Panagiotis; Collins, Jeremy D.; Apakama, Donald; Omar, Mahmud; Glicksberg, Benjamin S.; Yeow, Mei-Ean; Brandeland, Megan; Nadkarni, Girish N.; Klang, Eyal</t>
  </si>
  <si>
    <t>Socio-Demographic Modifiers Shape Large Language Models' Ethical Decisions</t>
  </si>
  <si>
    <t>Large language models (LLMs); Ethics; Socio-demographic modifiers</t>
  </si>
  <si>
    <t>AI ETHICS; PRINCIPLES; HEALTH</t>
  </si>
  <si>
    <t>The ethical alignment of large language models (LLMs) in clinical decision making remains unclear, particularly their susceptibility to socio-demographic biases. We therefore tested whether LLMs shift medical ethical decisions in healthcare when presented with socio-demographic cues. Using 100 clinical vignettes, each posing a yes or no choice between two ethical principles, we compared the responses of nine open-source LLMs (Llama 3.3-70B, Llama 3.1-8B, Llama-3.1-Nemotron-70B, Gemma-2-27B, Gemma-2-9B, Phi-3.5-mini, Phi-3-medium, Qwen-2.5-72B, and Qwen-2.5-7B). Each scenario and modifier combination was repeated 10 times per model for a total of approximately 0.5 million experiments. All models changed their responses when introduced with socio-demographic details (p &lt; 0.001). High-income modifiers increased utilitarian choices and decreased beneficence and nonmaleficence preferences, and marginalized-group modifiers raised autonomy considerations. Although some models demonstrated greater consistency than others, none maintained consistency across all scenarios, with the largest shifts observed in utilitarian choices. These results reveal that current LLMs can be steered by socio-demographic cues in ways not clinically justified, posing risks for equitable care in healthcare-informatics applications. This underscores the need for careful auditing and alignment strategies that ensure LLMs behave in ways consistent with widely accepted ethical principles while remaining attentive to the diversity, complexity, and contextual sensitivity required in real-world clinical practice.</t>
  </si>
  <si>
    <t>10.1007/s41666-025-00211-x</t>
  </si>
  <si>
    <t>WOS:001549212800001</t>
  </si>
  <si>
    <t>Sood, A; Singh, M; Gardiner, B; Condell, J</t>
  </si>
  <si>
    <t>Sood, Ashima; Singh, Muskaan; Gardiner, Bryan; Condell, Joan</t>
  </si>
  <si>
    <t>MeetMulti-X: A benchmark analysis of scaling and prompting large language models on automatic minuting</t>
  </si>
  <si>
    <t>Automatic minuting; Meeting summarisation; Scaling laws; Large language models</t>
  </si>
  <si>
    <t>The task of automatic minuting, i.e., capturing all the points from transcripts of multi-party meetings, presents considerable challenges owing to the spontaneous and complex nature of discussions. As organisations increasingly depend on meetings for decision-making, the need for efficient and optimised minuting has intensified, underscoring the shortcomings of manual note-taking due to cognitive overload and diverted participant engagement. This study systematically analyses the impact of scaling Large Language Models (LLMs) on automatic minuting, emphasising key factors including pretrained dataset size, model size, context length, and prompt length. The benchmark evaluation includes both quantitative and qualitative with 19 open-source models (from 77M to 70B parameters) and 4 closed-source models (over 1T parameters) across 4 meeting corpora and prompts. Our findings indicate that (1) models with less than 8B parameters offer a favorable trade-off between performance and efficiency, achieving comparable results to their larger counterparts. (2) scaling pretrained data size improves performance up to a threshold, beyond which gains diminish. (3) context length exhibits a non-linear effect, with optimal performance around 8K-16K tokens. (4) longer prompts consistently degrade output quality, highlighting the need for concise and well-structured prompting. To the best of our knowledge this is the first work, exploring scaling LLMS on automatic minuting. Code is available at https://anonymous.4open.science/r/MeetMultiX-9A36</t>
  </si>
  <si>
    <t>10.1016/j.eswa.2025.130428</t>
  </si>
  <si>
    <t>WOS:001637801000001</t>
  </si>
  <si>
    <t>Zhang, XR; Gong, YJ; Zhong, YT; Huang, T; Zhang, J</t>
  </si>
  <si>
    <t>Zhang, Xian-Rong; Gong, Yue-Jiao; Zhong, Yuan-Ting; Huang, Ting; Zhang, Jun</t>
  </si>
  <si>
    <t>Large language model as meta-surrogate for offline data-driven many-task optimization: A proof-of-principle study</t>
  </si>
  <si>
    <t>Many-task optimization; Surrogate-assisted evolutionary algorithms; Large language models</t>
  </si>
  <si>
    <t>EVOLUTIONARY COMPUTATION; GENERATION</t>
  </si>
  <si>
    <t>In offline data-driven optimization scenarios, where new evaluation data cannot be obtained in real time and each ground-truth evaluation is often costly, surrogate models become a key technology for reducing simulation or experimental overhead. This study proposes a novel meta-surrogate framework to assist many-task offline optimization, by leveraging the knowledge transfer strengths and emergent capabilities of large language models (LLMs). We formulate a unified framework for many-task fitness prediction, by defining a universal model with metadata to fit a group of problems. Fitness prediction is performed on metadata and decision variables, enabling efficient knowledge sharing across tasks and adaptability to new tasks. The LLM-based meta-surrogate treats fitness prediction as conditional probability estimation, employing a unified token sequence representation for task metadata, inputs, and outputs. This approach facilitates efficient inter-task knowledge sharing through shared token embeddings and captures complex task dependencies via many-task model training. Experimental results demonstrate the model's emergent generalization ability, including zero-shot performance on problems with unseen dimensions. When integrated into evolutionary transfer optimization (ETO), our framework supports dual-level knowledge transfer-at both the surrogate and individual levels-enhancing optimization efficiency and robustness. This work establishes a novel foundation for applying LLMs in surrogate modeling, offering a versatile solution for many-task optimization.</t>
  </si>
  <si>
    <t>10.1016/j.ins.2025.122762</t>
  </si>
  <si>
    <t>WOS:001599105100005</t>
  </si>
  <si>
    <t>Zeng, C; Hartmann, T; Ma, LY</t>
  </si>
  <si>
    <t>Zeng, Cheng; Hartmann, Timo; Ma, Leyuan</t>
  </si>
  <si>
    <t>Ontology-based prompting with large language models for inferring construction activities from construction images</t>
  </si>
  <si>
    <t>Construction activity recognition; Large language models; Ontology; Construction management</t>
  </si>
  <si>
    <t>NEURAL-NETWORKS; EQUIPMENT; WORKERS</t>
  </si>
  <si>
    <t>Recognizing construction activities from images enhances decision-making by providing context-aware insights into project progress, resource allocation, and productivity. However, conventional approaches, such as supervised learning and knowledge-based approach, struggle to generalize to the dynamic nature of construction sites due to limited annotated data and rigid knowledge patterns. To address these limitations, we propose a novel method that integrates Large Language Models (LLMs) with structured domain knowledge via ontology-based prompting. In our approach, visual features such as entities, spatial arrangements, and actions are mapped to predefined concepts in a construction-specific ontology, resulting in symbolic scene representations. In-context learning is employed by constructing prompts that include multiple structured examples, each describing a scenario with its associated activities. By analyzing these ontology-grounded examples, the LLM learns patterns that connect symbolic representations to construction activity labels, enabling generalization to new, unseen scenes. We evaluated the method using GPT-based models on a dataset covering 29 construction activity types. The model achieved an activity recognition accuracy of 73.68 %, and 50.00 % when jointly identifying the activity and its associated entities. Ablation studies confirmed the positive effects of including Chain-of-Thought reasoning, diverse visual concepts, and richer context examples. These results demonstrate the potential of ontology-informed prompting to support scalable and adaptive visual understanding in construction domains.</t>
  </si>
  <si>
    <t>10.1016/j.aei.2025.103869</t>
  </si>
  <si>
    <t>WOS:001571436300002</t>
  </si>
  <si>
    <t>Yuan, ZP; Liu, K; Li, SB; Peng, RL; Leybourne, D; Musa, N; Yang, P</t>
  </si>
  <si>
    <t>Yuan, Zhipeng; Liu, Kang; Li, Shunbao; Peng, Ruoling; Leybourne, Daniel; Musa, Nasamu; Yang, Po</t>
  </si>
  <si>
    <t>PEZEGO: A Precision Agriculture System Based on Large Language Models and Internet of Things for Pest Management</t>
  </si>
  <si>
    <t>Internet of Things; Agriculture; Sensors; Data mining; Precision agriculture; Cognition; Accuracy; Training; Mobile applications; Large language models; Internet of Things (IoT); large language model (LLM); pest management; precision agriculture; retrieval augmented generation</t>
  </si>
  <si>
    <t>Pests significantly threaten global agricultural production, which causes severe yield losses through feeding and virus transmission. To mitigate yield losses caused by pests, timely and precise pest management practices are critical. Although previous efforts have advanced automated solutions for real-time environmental monitoring in agriculture, implementing precise pest management decision-making and suggestion generation remains a challenge due to complex reasoning processes in practice. In response, an enhanced pest management system, PEZEGO, is proposed to provide precise management suggestions through multimodal environmental data, a fine-tuned open vocabulary detector (OVD), and large language models (LLMs). Specifically, a mobile application and low-cost Internet of Things (IoT) devices are developed to capture images and environmental information. A hybrid convolutional low-rank adaptation method (HCLoRA) is proposed to fine-tune pretrained OVDs, enabling zero-shot pest detection for converting images to pest species and quantity information. In addition, a structured data-based retrieval augmented generation (SRAG) workflow for LLMs is proposed to provide precise pest management suggestions through automatically extracted agriculture management knowledge and Chain-of-Thought. The effectiveness of PEZEGO is validated in a case study of pest management in the U.K., including pest detection in field scenarios and management suggestion generation. Compared to advanced model fine-tuning methods, HCLoRA for YOLOWorld achieves the highest detection performance with 0.1759 AP(h) on pest detection. Additionally, the proposed SRAG workflow demonstrates the ability to support pest management with a 68.7% average F1 score for knowledge extraction and 77.33% accuracy for suggestion generation. Eventually, a mobile application demonstrates the practical effectiveness of the proposed system.</t>
  </si>
  <si>
    <t>DEC 1</t>
  </si>
  <si>
    <t>10.1109/JIOT.2025.3586374</t>
  </si>
  <si>
    <t>WOS:001620727400008</t>
  </si>
  <si>
    <t>Cantone, GG; Zheng, ET; Tomaselli, V; Nightingale, P</t>
  </si>
  <si>
    <t>Cantone, Giulio Giacomo; Zheng, Er-Te; Tomaselli, Venera; Nightingale, Paul</t>
  </si>
  <si>
    <t>Estimation of disciplinary similarity with large language models</t>
  </si>
  <si>
    <t>SCIENTOMETRICS</t>
  </si>
  <si>
    <t>ChatGPT; Claude; Google Gemini; Interdisciplinarity; Estimation; Similarity</t>
  </si>
  <si>
    <t>INTERDISCIPLINARY RESEARCH; DIVERSITY; INDICATORS; VARIETY; INDEXES</t>
  </si>
  <si>
    <t>The parameter that captures the similarity among disciplinary categories is a key quantity of many measures of interdisciplinarity. This study evaluates the feasibility of using large language models to estimate this parameter rather than using traditional methods based on citational networks among disciplines. An experimental procedure tested the precision, agreement, resilience, robustness, and explainability of estimates from OpenAI's ChatGPT, Google's Gemini, and Anthropic's Claude. The experiment collected a sample of 228 similarity matrices among two disciplinary taxonomies, for a total of 16,200 sampled estimate values. The experiment concludes that Gemini reaches precise estimates, comparable to traditional methods. ChatGPT stands out only for its superior resilience when dealing with semantically trivial changes in how disciplines are described. Claude resulted in a balanced profile. While rarely in full agreement, all three models undertake the estimation task sufficiently well.</t>
  </si>
  <si>
    <t>0138-9130</t>
  </si>
  <si>
    <t>1588-2861</t>
  </si>
  <si>
    <t>10.1007/s11192-025-05385-0</t>
  </si>
  <si>
    <t>WOS:001547807700001</t>
  </si>
  <si>
    <t>Xu, SS; Zhao, K; Loney, J; Li, ZL; Visentin, A</t>
  </si>
  <si>
    <t>Xu, Shuoshuo; Zhao, Kai; Loney, James; Li, Zili; Visentin, Andrea</t>
  </si>
  <si>
    <t>Image-based large language model approach to road pavement monitoring</t>
  </si>
  <si>
    <t>COMPUTER-AIDED CIVIL AND INFRASTRUCTURE ENGINEERING</t>
  </si>
  <si>
    <t>Accurate and rapid assessment of pavement surface condition is essential for maintaining transportation safety and minimizing vehicle wear. Manual pavement inspections are subjective and time-consuming, and machine learning methods typically require large labeled datasets. This study introduces an innovative zero-shot learning method that leverages large language models' (LLMs) image analysis and natural-language understanding capabilities for accurate road condition assessment. Prompts were designed in alignment with the pavement surface condition index criteria to generate multiple evaluation models, which were then compared against official scores to identify an optimized configuration. Tests conducted using Google Street View imagery indicate that the optimized LLM-based model achieves a mean absolute error of 1.07 on a 0-10 scale, outperforming expert evaluations. The proposed approach enables rapid, accurate, and consistent assessments without the need for labeled data, demonstrating the transformative role of LLMs in automating infrastructure monitoring and emphasizing the importance of structured prompt engineering for reliable performance.</t>
  </si>
  <si>
    <t>1093-9687</t>
  </si>
  <si>
    <t>1467-8667</t>
  </si>
  <si>
    <t>10.1111/mice.70075</t>
  </si>
  <si>
    <t>Computer Science; Construction &amp; Building Technology; Engineering; Transportation</t>
  </si>
  <si>
    <t>WOS:001573589500001</t>
  </si>
  <si>
    <t>Luo, SL; He, SY; Song, LQ; Jian, SS; Yao, YP</t>
  </si>
  <si>
    <t>Luo, Shuli; He, Sylvia Y.; Song, Linqi; Jian, Sisi; Yao, Yepeng</t>
  </si>
  <si>
    <t>Exploring the potential of large language models (LLMs) in analyzing passengers' perceptions of transit service quality</t>
  </si>
  <si>
    <t>ENVIRONMENT AND PLANNING B-URBAN ANALYTICS AND CITY SCIENCE</t>
  </si>
  <si>
    <t>transit service quality; metro system; large language models; natural language processing; social media</t>
  </si>
  <si>
    <t>SOCIAL MEDIA; PUBLIC-TRANSIT; SATISFACTION; TWITTER</t>
  </si>
  <si>
    <t>Public transit systems are essential to urban mobility, serving millions of daily commuters. To develop a more responsive, equitable, and efficient public transportation system, it is crucial for transportation planners and policymakers to gain a comprehensive understanding of the diverse travel experiences of transit users. Social media platforms offer valuable, continuous feedback, enabling transit providers to identify issues, make real-time adjustments, and plan long-term improvements. Recently, large language models (LLMs) have attracted significant attention in the urban planning field due to their exceptional performance in natural language processing (NLP) tasks. Using a Weibo dataset related to the Shenzhen metro system (2018-2019) in China, this study developed a two-stage analysis framework to evaluate LLMs' capabilities in transit service management acting as customer experience analyst and transport planner respectively. We employed LLMs including GPT-3.5 and GPT-4o, utilizing zero-shot, few-shot, and chain-of-thought prompting techniques. Our findings demonstrate that LLMs consistently excel in the classification task and the policy recommendation task when benchmarked against the traditional Bag of Words (BOW) model. The systematic error analysis revealed three types of hallucinations: overthinking, contextual reasoning error, and ambiguity error. Despite these challenges, this research underscores the potential of LLMs in enhancing transit service quality assessment and emphasizes the importance of domain-specific expert rationale in designing prompts and interpreting results. Our study provides valuable insights for transportation planners aiming to leverage advanced NLP techniques for more responsive and data-driven service improvements.</t>
  </si>
  <si>
    <t>2399-8083</t>
  </si>
  <si>
    <t>2399-8091</t>
  </si>
  <si>
    <t>10.1177/23998083251382840</t>
  </si>
  <si>
    <t>Environmental Sciences &amp; Ecology; Geography; Public Administration; Urban Studies</t>
  </si>
  <si>
    <t>WOS:001582808100001</t>
  </si>
  <si>
    <t>Wang, J; Zhuang, WB; Liu, TY; Bao, JS; Li, XY</t>
  </si>
  <si>
    <t>Wang, Ji; Zhuang, Weibin; Liu, Tianyuan; Bao, Jinsong; Li, Xinyu</t>
  </si>
  <si>
    <t>Analysis of causes of welding defects in bridge weathering steel based on large language models</t>
  </si>
  <si>
    <t>JOURNAL OF INDUSTRIAL INFORMATION INTEGRATION</t>
  </si>
  <si>
    <t>Causal analysis; Large language model; Memory mechanism; Task decomposition; Prompt engineering</t>
  </si>
  <si>
    <t>The analysis of the causes of welding defects in bridge weathering steel necessitates a multifaceted approach integrating alloy element influences, crack control, and parameter optimization, as single-perspective methodologies inadequately address root causes and hinder effective solution development. To address these challenges, a large language model-based method for analyzing the causes of welding defects in bridge weathering steel is proposed. This method first integrates information from different welding perspectives through a multi-perspective associative memory mechanism and employs a hybrid retrieval strategy to retrieve factual memory and historical information, enabling precise recall of relevant content and providing comprehensive support for problem-solving. Second, a inhibition-cognition task optimization strategy refines the problem-solving process by suppressing irrelevant information, decomposing tasks, and iteratively revising through cognitive simulation, thereby establishing a clear and efficient problem-solving pathway. Finally, the accuracy and consistency of sub-task processing are ensured by an expert-guided task verification meta-prompting method, where dynamic closed-loop validation is incorporated and expert knowledge is fused. Quantitative results demonstrate that the proposed method achieves consistent improvements in both ROUGE-L and BERTScore metrics across different models, while expert evaluations further confirm its exceptional performance in key dimensions such as rationality and comprehensiveness. This method provides a novel approach for analyzing the causes of welding defects in bridge weathering steel, playing a critical role in enhancing the accuracy and efficiency of defect analysis.</t>
  </si>
  <si>
    <t>2467-964X</t>
  </si>
  <si>
    <t>2452-414X</t>
  </si>
  <si>
    <t>10.1016/j.jii.2025.100954</t>
  </si>
  <si>
    <t>WOS:001583094800001</t>
  </si>
  <si>
    <t>Ahmad, HF; Sajid, J; Rasool, RU; Malik, AW</t>
  </si>
  <si>
    <t>Ahmad, Hafiz Farooq; Sajid, Junaid; Ur Rasool, Raihan; Malik, Asad Waqar</t>
  </si>
  <si>
    <t>Beyond the hype: exploring the impact, challenges, and potential of large language models in healthcare</t>
  </si>
  <si>
    <t>CLUSTER COMPUTING-THE JOURNAL OF NETWORKS SOFTWARE TOOLS AND APPLICATIONS</t>
  </si>
  <si>
    <t>Large language models; Healthcare; Artificial intelligence in healthcare; LLM applications; Healthcare automation; Distributed healthcare applications</t>
  </si>
  <si>
    <t>ARTIFICIAL-INTELLIGENCE; DRUG DISCOVERY; AI; CHATGPT; BIAS</t>
  </si>
  <si>
    <t>Large Language Models (LLM) have gained significant traction in recent years, attracting widespread interest from both academia and industry due to their remarkable ability to process and generate human language. Their potential in healthcare is especially compelling and promising to revolutionize compute-intensive tasks such as patient care, clinical decision making, and medical research. However, the full extent of the impact of LLM on healthcare remains largely unexplored. This paper systematically analyzes the role of these models in healthcare, focusing on their potential to transform key areas such as diagnostics, personalized medicine, and operational efficiency. Through a comprehensive review of the existing literature, we have developed taxonomies to categorize the applications and requirements of these models in healthcare, highlighting their unique capabilities in information processing. The survey delves into the background and enabling technologies that support these models, examining the architectural considerations necessary for their successful integration into healthcare systems. In addition, it addresses critical security and privacy concerns, proposing defense mechanisms to ensure the safe and ethical deployment of LLMs in medical environments. This paper provides a panoramic view of the LLM paradigm in healthcare by highlighting open issues and future research directions. Our aim is to guide researchers and practitioners in understanding the current research landscape, identifying opportunities and challenges, and making informed decisions when designing LLM applications for healthcare. We advocate for enhancing accuracy, reliability, and interpretability while reducing computational costs and expanding LLM accessibility to improve healthcare delivery and advance medical research.</t>
  </si>
  <si>
    <t>1386-7857</t>
  </si>
  <si>
    <t>1573-7543</t>
  </si>
  <si>
    <t>OCT 27</t>
  </si>
  <si>
    <t>10.1007/s10586-025-05793-0</t>
  </si>
  <si>
    <t>WOS:001601390300003</t>
  </si>
  <si>
    <t>Dai, GA; Liao, JY; Zhao, SC; Fu, XH; Peng, XJ; Huang, H; Zhang, BW</t>
  </si>
  <si>
    <t>Dai, Genan; Liao, Jiayu; Zhao, Sicheng; Fu, Xianghua; Peng, Xiaojiang; Huang, Hu; Zhang, Bowen</t>
  </si>
  <si>
    <t>Large Language Model Enhanced Logic Tensor Network for Stance Detection</t>
  </si>
  <si>
    <t>NEURAL NETWORKS</t>
  </si>
  <si>
    <t>Logic tensor network; Stance detection; Chain-of-thought</t>
  </si>
  <si>
    <t>Social media platforms, rich in user-generated content, offer a unique perspective on public opinion, making stance detection an essential task in opinion mining. However, traditional deep neural networks for stance detection often suffer from limitations, including the requirement for large amounts of labeled data, uninterpretability of prediction results, and difficulty in incorporating human intentions and domain knowledge. This paper introduces the First-Order Logic Aggregated R easoning framework (FOLAR), an innovative approach that integrates first-order logic (FOL) with large language models (LLMs) to enhance the interpretability and efficacy of stance detection. FOLAR comprises three key components: a Knowledge Elicitation module that generates FOL rules using a chain-of-thought prompting method, a Logic Tensor Network (LTN) that encodes these rules for stance detection, and a Multi-Decision Fusion mechanism that aggregates LTNs' outputs to minimize biases and improve robustness. Our experiments on standard benchmarks demonstrate the effectiveness of FOLAR, showing it as a promising solution for explainable and accurate stance detection. The source code will be made publicly available to foster further research.</t>
  </si>
  <si>
    <t>0893-6080</t>
  </si>
  <si>
    <t>1879-2782</t>
  </si>
  <si>
    <t>10.1016/j.neunet.2024.106956</t>
  </si>
  <si>
    <t>WOS:001409209300001</t>
  </si>
  <si>
    <t>Cibu, BR; Craciun, L; Molanescu, AG; Cotfas, LA</t>
  </si>
  <si>
    <t>Cibu, Bianca-Raluca; Craciun, Liliana; Molanescu, Anca Gabriela; Cotfas, Liviu-Adrian</t>
  </si>
  <si>
    <t>Exploring the Educational Applications of Large Language Models: A Systematic Review and Topic Analysis</t>
  </si>
  <si>
    <t>artificial intelligence; large language models; systematic review; LDA; BERTopic</t>
  </si>
  <si>
    <t>BIBLIOMETRIC ANALYSIS; GOOGLE SCHOLAR; SCIENCE; WEB; SCOPUS; AI</t>
  </si>
  <si>
    <t>In light of the accelerated growth of artificial intelligence (AI), large language models (LLMs) have become a central topic of interest in scientific research and practical applications across various fields. The present paper aims to perform a comprehensive systematic review of the scientific literature on LLMs in education published between 2023 and 2024, based on a dataset from the Web of Science, which includes 507 documents from 322 sources. The accelerated dynamics of research in this field are confirmed by the high annual growth rate of 369.66%. The study identifies the themes presented in the scientific literature by using thematic maps and analyzing the evolution of said thematic maps. In addition, Latent Dirichlet Allocation (LDA) and BERTopic are used to outline the research field more clearly. Due to LDA's ability to discover high-level research topics using probabilistic discovery and BERTopic's ability to capture deeper semantic patterns and the emergence of various topics by searching, this paper first identifies the main research topics in the extracted dataset, which are then discussed in the paper through a review of applications. As a result, a range of applications are discovered in areas related to teaching and learning, academic assessment, integrity, academic feedback, medical education, ethics, bias, regulation, and social challenges. The conclusions provide a roadmap for researchers, practitioners and stakeholders in highlighting the current situation of LLMs in educational practice, while opening the door for future explorations in this domain.</t>
  </si>
  <si>
    <t>NOV 27</t>
  </si>
  <si>
    <t>10.3390/electronics14234683</t>
  </si>
  <si>
    <t>WOS:001634324100001</t>
  </si>
  <si>
    <t>Yu, J; Li, L; Lan, ZZ</t>
  </si>
  <si>
    <t>Yu, Jia; Li, Long; Lan, Zhenzhong</t>
  </si>
  <si>
    <t>Beyond Binary Classification: A Fine-Grained Safety Dataset for Large Language Models</t>
  </si>
  <si>
    <t>Large language models; LLM safety; automatic safety score</t>
  </si>
  <si>
    <t>Large Language Models (LLMs) excel in interactive chat scenarios due to their advanced conversational abilities. However, their training process invariably exposes them to a diverse range of harmful or toxic content, posing significant challenges in ensuring that LLM responses align with human ethical values. Consequently, the detection and quantification of adverse content remains a paramount issue in contemporary research. In this paper, we introduce the SAFE dataset, a novel resource designed to advance safety assessment research in LLMs. Our dataset extends beyond the binary categorization of content into safe and unsafe. Drawing upon human interpretations of safety, we further delineate unsafe content into six granular categories: Sensitivity, Harmfulness, Falsehood, Information Corruption, Unnaturalness, and Deviation from Instructions. This refined classification aims to enhance LLMs' ability to discern unsafe data more accurately. In total, we have created a dataset comprising 52,340 instruction-response pairs, each annotated with safety meta-tags. Additionally, we have compiled expert comparative assessments for these indicators. We developed a multi-expert rating model trained on the SAFE dataset, designed to evaluate the responses of LLMs across various dimensions. This approach highlights the potential of our dataset in the realm of safety assessment for LLMs. The model's capability to provide multi-faceted evaluations reflects an advanced understanding of the nuanced requirements in LLM response assessment. We believe this dataset represents a valuable resource for the community, contributing to the safe development and deployment of LLMs. Our findings and resources are poised to fuel future research endeavors in this domain.</t>
  </si>
  <si>
    <t>10.1109/ACCESS.2024.3393245</t>
  </si>
  <si>
    <t>WOS:001219330200001</t>
  </si>
  <si>
    <t>Li, Y; Sun, LC; Zhang, YX</t>
  </si>
  <si>
    <t>Li, Yuan; Sun, Lichao; Zhang, Yixuan</t>
  </si>
  <si>
    <t>METAAGENTS: Large Language Model Based Agents for Decision-making on Teaming</t>
  </si>
  <si>
    <t>generative AI; large language models; generative agents; collaboration; information retrieval; coordination</t>
  </si>
  <si>
    <t>SKILLS MISMATCH</t>
  </si>
  <si>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 METAAGENTS, a social simulation framework populated with LLM-based agents. METAAGENTS facilitates agent engagement in conversations and a series of decision making within social contexts, serving as an appropriate platform for investigating interactions and interpersonal decision-making of agents. In particular, we construct a job fair environment as a case study to scrutinize the team assembly and skill-matching behaviors of LLM-based agents. We take advantage of both quantitative metrics evaluation and qualitative text analysis to assess their teaming abilities at the job fair. Our evaluation demonstrates that LLM-based agents perform competently in making rational decisions to develop efficient teams. However, we also identify limitations that hinder their effectiveness in more complex team assembly tasks. Our work provides valuable insights into the role and evolution of LLMs in task-oriented social simulations.</t>
  </si>
  <si>
    <t>CSCW134</t>
  </si>
  <si>
    <t>10.1145/3711032</t>
  </si>
  <si>
    <t>WOS:001573875200007</t>
  </si>
  <si>
    <t>Essel, HB; Vlachopoulos, D; Essuman, AB; Amankwa, JO</t>
  </si>
  <si>
    <t>Essel, Harry Barton; Vlachopoulos, Dimitrios; Essuman, Albert Benjamin; Amankwa, John Opuni</t>
  </si>
  <si>
    <t>ChatGPT effects on cognitive skills of undergraduate students: Receiving instant responses from AI-based conversational large language models (LLMs)</t>
  </si>
  <si>
    <t>ChatGPT; Large language models; Critical thinking; Creative thinking; Reflective thinking; Undergraduate students</t>
  </si>
  <si>
    <t>CREATIVE-THINKING; PARTICIPATION; DESIGN; VALUES</t>
  </si>
  <si>
    <t>This study investigated the impact of using ChatGPT, a state-of-the-art generative AI-based model, on the critical, creative, and reflective thinking skills of university students in Ghana. The study utilized a mixed-methods research approach, incorporating quantitative and qualitative data collection instruments, and an experimental procedure with a pretest-posttest control group. The study ultimately enlisted a sample of 125 students randomly allocated to either the experiment group (60 students) or the control group (65 students). The research was conducted in the context of a Research Methodology course, which had adopted the flipped classroom approach. The students in the experiment group engaged with ChatGPT for in-class tasks, while those in the control group used traditional databases and search engines for similar tasks. Data were collected using the Critical Thinking Scale, Creative Thinking Scale, Reflective Thinking Scale, and a student interview guide (semi-structured). The study's findings illustrated that incorporating ChatGPT influenced the students' critical, reflective, and creative thinking skills and their dimensions discernibly. As a result, the study provides suggestions for academics, instructional designers, and researchers working in educational technology.</t>
  </si>
  <si>
    <t>10.1016/j.caeai.2023.100198</t>
  </si>
  <si>
    <t>WOS:001652672600004</t>
  </si>
  <si>
    <t>Perlin, MS; Foguesatto, CR; Mueller, FM; Righi, MB</t>
  </si>
  <si>
    <t>Perlin, Marcelo S.; Foguesatto, Cristian R.; Mueller, Fernanda M.; Righi, Marcelo B.</t>
  </si>
  <si>
    <t>Can AI beat a naive portfolio? An experiment with anonymized data</t>
  </si>
  <si>
    <t>LLM; Regenerative AI; Artificial intelligence; Gemini; Investments; ChatGPT; Large language models</t>
  </si>
  <si>
    <t>Using anonymized data from the United States (U.S.) market, we evaluate the performance of Google's main LLM (Large Language Model) Gemini 1.5 Flash in making investment decisions. Unlike other studies, we query the LLM for different investment horizons (1 to 36 months) and types of financial information (financial data, price data, and a combination of both). Running a total of 30,000 simulations for 1,522 companies over 20 years of data, we find that Gemini does not consistently outperform a naive portfolio and the S&amp;P 500 index in terms of returns and Sharpe ratios. Additionally, our findings indicate a decline in risk adjusted investment performance as the investment horizon extends.</t>
  </si>
  <si>
    <t>10.1016/j.frl.2025.107126</t>
  </si>
  <si>
    <t>WOS:001448013100001</t>
  </si>
  <si>
    <t>Han, X; Sun, JY; Yu, SH; Qin, LB; Luo, H; Li, Y</t>
  </si>
  <si>
    <t>Han, Xiao; Sun, Jingyun; Yu, Songhua; Qin, Libo; Luo, Hui; Li, Yang</t>
  </si>
  <si>
    <t>CommentAgent: a LLM-powered agent framework for automated comment generation and opinion understanding</t>
  </si>
  <si>
    <t>Large language model; Opinion analysis; Multi-agent system; Data generation</t>
  </si>
  <si>
    <t>High-quality Chinese datasets for public opinion analysis are scarce, with most resources based on outdated English-language platforms like Twitter and Reddit, which are not relevant to Chinese social media. To address this, we introduce CommentAgent, a novel simulation framework that generates high-quality Chinese datasets for sentiment analysis, sarcasm detection, and stance detection. CommentAgent simulates the Weibo environment using a multi-agent architecture that models user behavior, information flow, and personality evolution, allowing for realistic and diverse comment generation. Unlike traditional data augmentation or basic generation methods, CommentAgent generates topic-driven data from scratch. Three benchmark datasets are released for the above tasks, with extensive experiments demonstrating that CommentAgent outperforms existing methods in data quality and generalizability. Moreover, lightweight models trained on these datasets achieve performance comparable to large language models (LLMs). CommentAgent offers a scalable solution for creating up-to-date Chinese datasets for robust public opinion analysis.</t>
  </si>
  <si>
    <t>10.1007/s11227-025-07957-6</t>
  </si>
  <si>
    <t>WOS:001590872600007</t>
  </si>
  <si>
    <t>Fan, Y; Fan, HZ; Zhang, FQ; Wang, ZH</t>
  </si>
  <si>
    <t>Fan, Yu; Fan, Haizhou; Zhang, Fuqian; Wang, Zhenhua</t>
  </si>
  <si>
    <t>Large language model meets chaos: A new deep learning model for fake review detection</t>
  </si>
  <si>
    <t>ELECTRONIC COMMERCE RESEARCH AND APPLICATIONS</t>
  </si>
  <si>
    <t>Fake review detection; Chaos computing; Large language model; Deep learning; E-commerce</t>
  </si>
  <si>
    <t>Detecting fake online reviews is crucial for the e-commerce ecosystem. However, existing studies often fail to mine the intrinsic attributes of reviews, which limits detection performance. In this paper, we introduce a novel fake review detection model, LLMChaos, which investigates reviews from the perspectives of large language models (LLMs) and chaos theory. Specifically, we first propose a method that blends energy selection with LLMs to generate review time series. Second, we construct a space mapping mechanism with multiple chaotic attributes, embracing the intrinsic attributes of reviews. Finally, we design a hierarchical learning network that trains in deep contrastive learning across LLM layers, chaotic attribute layers, and Transformer layers. Extensive experiments demonstrate that LLMChaos is robust and state-of-the-art. For instance, on the Hotel dataset, LLMChaos achieves 94.78% F1, outperforming recent models by 1.42%-19.78%; on the Amazon dataset, LLMChaos achieves 93.15% F1, surpassing recent models by 1.45%-18.39%. Moreover, we contribute novel discoveries, for example, chaotic behaviors of reviews generally exhibit bounded ranges: Lyapunov exponent (0-0.0125), Correlation dimension (0.25-0.5), Kolmogorov entropy (0.75-0.85), Fractal spectrum (0-1.5), and Recurrence rate (0.005-0.015); real and fake reviews display distinct chaotic distributions.</t>
  </si>
  <si>
    <t>1567-4223</t>
  </si>
  <si>
    <t>1873-7846</t>
  </si>
  <si>
    <t>SEP-OCT</t>
  </si>
  <si>
    <t>10.1016/j.elerap.2025.101521</t>
  </si>
  <si>
    <t>WOS:001513376400001</t>
  </si>
  <si>
    <t>Li, YM; Li, F; Hong, N; Li, MQ; Roberts, K; Cui, LC; Tao, C; Xu, H</t>
  </si>
  <si>
    <t>Li, Yiming; Li, Fang; Hong, Na; Li, Manqi; Roberts, Kirk; Cui, Licong; Tao, Cui; Xu, Hua</t>
  </si>
  <si>
    <t>A comparative study of recent large language models on generating hospital discharge summaries for lung cancer patients</t>
  </si>
  <si>
    <t>Lung cancer; Large language model; Text summarization; GPT; LLaMA; Continuity of care; EHR; Discharge Summary</t>
  </si>
  <si>
    <t>Objective: Generating discharge summaries is a crucial yet time-consuming task in clinical practice, essential for conveying pertinent patient information and facilitating continuity of care. Recent advancements in large language models (LLMs) have significantly enhanced their capability in understanding and summarizing complex medical texts. This research aims to explore how LLMs can alleviate the burden of manual summarization, streamline workflow efficiencies, and support informed decision-making in healthcare settings. Materials and methods: Clinical notes from a cohort of 1,099 lung cancer patients were utilized, with a subset of 50 patients for testing purposes, and 102 patients used for model fine-tuning. This study evaluates the performance of multiple LLMs, including GPT-3.5, GPT-4, GPT-4o, and LLaMA 3 8b, in generating discharge summaries. Evaluation metrics included token-level analysis (BLEU, ROUGE-1, ROUGE-2, ROUGE-L), semantic similarity scores, and manual evaluation of clinical relevance, factual faithfulness, and completeness. An iterative method was further tested on LLaMA 3 8b using clinical notes of varying lengths to examine the stability of its performance. Results: The study found notable variations in summarization capabilities among LLMs. GPT-4o and fine-tuned LLaMA 3 demonstrated superior token-level evaluation metrics, while manual evaluation further revealed that GPT-4 achieved the highest scores in relevance (4.95 +/- 0.22) and factual faithfulness (4.40 +/- 0.50), whereas GPT-4o performed best in completeness (4.55 +/- 0.69); both models showed comparable overall quality. Semantic similarity scores indicated GPT-4o and LLaMA 3 as leading models in capturing the underlying meaning and context of clinical narratives. Conclusion: This study contributes insights into the efficacy of LLMs for generating discharge summaries, highlighting the potential of automated summarization tools to enhance documentation precision and efficiency, ultimately improving patient care and operational capability in healthcare settings.</t>
  </si>
  <si>
    <t>10.1016/j.jbi.2025.104867</t>
  </si>
  <si>
    <t>WOS:001522213400002</t>
  </si>
  <si>
    <t>Ben Messaoud, M; Nour, A; Ben Khalifa, I; Tounsi, M; Mkaouer, MW</t>
  </si>
  <si>
    <t>Ben Messaoud, Montassar; Nour, Ahmed; Ben Khalifa, Ilyes; Tounsi, Mohamed; Mkaouer, Mohamed Wiem</t>
  </si>
  <si>
    <t>Hierarchical multi-label classification for concrete defects: An industrial case study at Vermeg☆</t>
  </si>
  <si>
    <t>Software defects; Hierarchical multi-label classification; Label imbalance; Deep learning; Large language models</t>
  </si>
  <si>
    <t>Effective software defects management is particularly advantageous for companies that rely on service solutions, as it helps minimize risks and improve resolution monitoring. Many existing approaches have aimed at tracking, locating and classifying defects more reliably. When it comes to practice, we have found that defects are inherently organized in hierarchies based on class inclusion. Taking advantage of these established taxonomies, we report in this paper our experience of deploying a hierarchical multi-label defects classification approach, within a development team in a banking and finance software company. Overall, we gathered over 2000 defect reports, coming from their agile reporter calculation engine. The collected dataset was then balanced and enriched with synthetically generated defects using Meta's LLM Llama 3.1 405B. Key findings reveal that our approach not only provides better interpretability of overlapping categories but also results in significantly better performance results than traditional flat feedforward neural networks and transformers-based large language models.</t>
  </si>
  <si>
    <t>10.1016/j.jss.2025.112588</t>
  </si>
  <si>
    <t>WOS:001560761300001</t>
  </si>
  <si>
    <t>Seth, I; Marcaccini, G; Lim, B; Novo, J; Bacchi, S; Cuomo, R; Ross, RJ; Rozen, WM</t>
  </si>
  <si>
    <t>Seth, Ishith; Marcaccini, Gianluca; Lim, Bryan; Novo, Jennifer; Bacchi, Stephen; Cuomo, Roberto; Ross, Richard J.; Rozen, Warren M.</t>
  </si>
  <si>
    <t>The Temporal Evolution of Large Language Model Performance: A Comparative Analysis of Past and Current Outputs in Scientific and Medical Research</t>
  </si>
  <si>
    <t>large language models; ChatGPT; scientific writing; evidence-based medicine; artificial intelligence in healthcare</t>
  </si>
  <si>
    <t>Background: Large language models (LLMs) such as ChatGPT have evolved rapidly, with notable improvements in coherence, factual accuracy, and contextual relevance. However, their academic and clinical applicability remains under scrutiny. This study evaluates the temporal performance evolution of LLMs by comparing earlier model outputs (GPT-3.5 and GPT-4.0) with ChatGPT-4.5 across three domains: aesthetic surgery counseling, an academic discussion base of thumb arthritis, and a systematic literature review. Methods: We replicated the methodologies of three previously published studies using identical prompts in ChatGPT-4.5. Each output was assessed against its predecessor using a nine-domain Likert-based rubric measuring factual accuracy, completeness, reference quality, clarity, clinical insight, scientific reasoning, bias avoidance, utility, and interactivity. Expert reviewers in plastic and reconstructive surgery independently scored and compared model outputs across versions. Results: ChatGPT-4.5 outperformed earlier versions across all domains. Reference quality improved most significantly (a score increase of +4.5), followed by factual accuracy (+2.5), scientific reasoning (+2.5), and utility (+2.5). In aesthetic surgery counseling, GPT-3.5 produced generic responses lacking clinical detail, whereas ChatGPT-4.5 offered tailored, structured, and psychologically sensitive advice. In academic writing, ChatGPT-4.5 eliminated reference hallucination, correctly applied evidence hierarchies, and demonstrated advanced reasoning. In the literature review, recall remained suboptimal, but precision, citation accuracy, and contextual depth improved substantially. Conclusion: ChatGPT-4.5 represents a major step forward in LLM capability, particularly in generating trustworthy academic and clinical content. While not yet suitable as a standalone decision-making tool, its outputs now support research planning and early-stage manuscript preparation. Persistent limitations include information recall and interpretive flexibility. Continued validation is essential to ensure ethical, effective use in scientific workflows.</t>
  </si>
  <si>
    <t>AUG 26</t>
  </si>
  <si>
    <t>10.3390/informatics12030086</t>
  </si>
  <si>
    <t>WOS:001580014000001</t>
  </si>
  <si>
    <t>Chen, ZA; Chan, JS</t>
  </si>
  <si>
    <t>Chen, Zenan; Chan, Jason</t>
  </si>
  <si>
    <t>Large Language Model in Creative Work: The Role of Collaboration Modality and User Expertise</t>
  </si>
  <si>
    <t>MANAGEMENT SCIENCE</t>
  </si>
  <si>
    <t>large language model; collaboration modality; randomized experiment; advertising</t>
  </si>
  <si>
    <t>IMPACT</t>
  </si>
  <si>
    <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ghostwriters, which assume the main role of the content generation task, and (2) using LLMs as sounding boards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t>
  </si>
  <si>
    <t>0025-1909</t>
  </si>
  <si>
    <t>1526-5501</t>
  </si>
  <si>
    <t>10.1287/mnsc.2023.03014</t>
  </si>
  <si>
    <t>WOS:001456971400008</t>
  </si>
  <si>
    <t>Xia, LQ; Fan, JM; Parlikad, A; Huang, X; Zheng, P</t>
  </si>
  <si>
    <t>Xia, Liqiao; Fan, Junming; Parlikad, Ajith; Huang, Xiao; Zheng, Pai</t>
  </si>
  <si>
    <t>Unlocking Large Language Model Power in Industry: Privacy-Preserving Collaborative Creation of Knowledge Graph</t>
  </si>
  <si>
    <t>IEEE TRANSACTIONS ON BIG DATA</t>
  </si>
  <si>
    <t>Federated learning; graph embedding; industrial 4.0; knowledge graph; large language models</t>
  </si>
  <si>
    <t>Semantic expertise remains a reliable foundation for industrial decision-making, while Large Language Models (LLMs) can augment the often limited empirical knowledge by generating domain-specific insights, though the quality of this generative knowledge is uncertain. Integrating LLMs with the collective wisdom of multiple stakeholders could enhance the quality and scale of knowledge, yet this integration might inadvertently raise privacy concerns for stakeholders. In response to this challenge, Federated Learning (FL) is harnessed to improve the knowledge base quality by cryptically leveraging other stakeholders' knowledge, where knowledge base is represented in Knowledge Graph (KG) form. Initially, a multi-field hyperbolic (MFH) graph embedding method vectorizes entities, furnishing mathematical representations in lieu of solely semantic meanings. The FL framework subsequently encrypted identifies and fuses common entities, whereby the updated entities' embedding can refine other private entities' embedding locally, thus enhancing the overall KG quality. Finally, the KG complement method refines and clarifies triplets to improve the overall quality of the KG. An experiment assesses the proposed approach across different industrial KGs, confirming its effectiveness as a viable solution for collaborative KG creation, all while maintaining data security.</t>
  </si>
  <si>
    <t>2332-7790</t>
  </si>
  <si>
    <t>10.1109/TBDATA.2024.3522814</t>
  </si>
  <si>
    <t>WOS:001561583300025</t>
  </si>
  <si>
    <t>Nemati, A; Shalmani, MA; Lu, Q; Luo, J</t>
  </si>
  <si>
    <t>Nemati, Ali; Shalmani, Mohammad Assadi; Lu, Qiang; Luo, Jake</t>
  </si>
  <si>
    <t>Benchmarking Large Language Models from Open and Closed Source Models to Apply Data Annotation for Free-Text Criteria in Healthcare</t>
  </si>
  <si>
    <t>large language models; healthcare data annotation; multi-criteria decision analysis; closed source and open source models; evaluation metrics; human and LLM evaluation; decision-making in healthcare</t>
  </si>
  <si>
    <t>CLINICAL INFORMATION; TOPSIS</t>
  </si>
  <si>
    <t>Large language models (LLMs) hold the potential to significantly enhance data annotation for free-text healthcare records. However, ensuring their accuracy and reliability is critical, especially in clinical research applications requiring the extraction of patient characteristics. This study introduces a novel evaluation framework based on Multi-Criteria Decision Analysis (MCDA) and the Order of Preference by Similarity to Ideal Solution (TOPSIS) technique, designed to benchmark LLMs on their annotation quality. The framework defines ten evaluation metrics across key criteria such as age, gender, BMI, disease presence, and blood markers (e.g., white blood count and platelets). Using this methodology, we assessed leading open source and commercial LLMs, achieving accuracy scores of 0.59, 1, 0.84, 0.56, and 0.92, respectively, for the specified criteria. Our work not only provides a rigorous framework for evaluating LLM capabilities in healthcare data annotation but also highlights their current performance limitations and strengths. By offering a comprehensive benchmarking approach, we aim to support responsible adoption and decision-making in healthcare applications.</t>
  </si>
  <si>
    <t>10.3390/fi17040138</t>
  </si>
  <si>
    <t>WOS:001475222400001</t>
  </si>
  <si>
    <t>Yao, GH; Zhang, WJ; Zhu, YX; Wong, UK; Zhang, YF; Yang, C; Shen, GH; Li, ZG; Gao, H</t>
  </si>
  <si>
    <t>Yao, Guanhong; Zhang, WuJi; Zhu, Yingxi; Wong, Ut-kei; Zhang, Yanfeng; Yang, Cui; Shen, Guanghao; Li, Zhanguo; Gao, Hui</t>
  </si>
  <si>
    <t>Comparing the accuracy of large language models and prompt engineering in diagnosing realworld cases</t>
  </si>
  <si>
    <t>Large Language Models; LLMs; Prompt Engineering; Accuracy; Rheumatic Disease; Realworld</t>
  </si>
  <si>
    <t>GPT-4</t>
  </si>
  <si>
    <t>Importance: Large language models (LLMs) hold potential in clinical decision-making, especially for complex and rare disease diagnoses. However, real-world applications require further evaluation for accuracy and utility. Objective: To evaluate the diagnostic performance of four LLMs (GPT-4o mini, GPT-4o, ERNIE, and Llama-3) using real-world inpatient medical records and assess the impact of different prompt engineering methods. Method: This single-center, retrospective study was conducted at Peking University International Hospital. It involved 1,122 medical records categorized into common rheumatic autoimmune diseases, rare rheumatic autoimmune diseases, and non-rheumatic diseases. Four LLMs were evaluated using two prompt engineering methods: few-shot and chain-of-thought prompting. Diagnostic accuracy (hit1) was defined as the inclusion of the first final diagnosis from the medical record in the model's top prediction. Results: Hit1 of four LLMs were as follows: GPT-4omini (81.8 %), GPT-4o (82.4 %), ERNIE (82.9 %) and Llama-3 (82.7 %). Few-shot prompting significantly improved GPT-4o's hit1 (85.9 %) compared to its base model (p = 0.02), outperforming other models (all p &lt; 0.05). Chain-of-thought prompting showed no significant improvement. Hit1 for both common and rare rheumatic diseases was consistently higher than that for non-rheumatic disease. Few-shot prompting increased costs per correct diagnosis for GPT-4o by approximately &amp; YEN;4.54. Conclusions: LLMs, including GPT-4o, demonstrate promising diagnostic accuracy on real medical records. Few-shot prompting enhances performance but at higher costs, underscoring the need for accuracy improvements and cost management. These findings inform LLM development in Chinese medical contexts and highlight the necessity for further multi-center validation.</t>
  </si>
  <si>
    <t>10.1016/j.ijmedinf.2025.106026</t>
  </si>
  <si>
    <t>WOS:001528681800001</t>
  </si>
  <si>
    <t>Ghiani, G; Solazzo, G; Elia, G</t>
  </si>
  <si>
    <t>Ghiani, Gianpaolo; Solazzo, Gianluca; Elia, Gianluca</t>
  </si>
  <si>
    <t>Integrating Large Language Models and Optimization in Semi- Structured Decision Making: Methodology and a Case Study</t>
  </si>
  <si>
    <t>semi-structured decisions; human-in-the-loop; knowledge discovery; large language models; last-mile logistics</t>
  </si>
  <si>
    <t>Semi-structured decisions, which fall between highly structured and unstructured decision types, rely on human intuition and experience for the final choice, while using data and analytical models to generate tentative solutions. These processes are traditionally iterative and time-consuming, requiring cycles of data gathering, analysis, and option evaluation. In this study, we propose a novel framework that integrates Large Language Models (LLMs) with optimization techniques to streamline such decision-making processes. In our approach, LLMs leverage their capabilities in data interpretation, common-sense reasoning, and mathematical modeling to assist decision makers by reducing cognitive load. They achieve this by automating aspects of information processing and option evaluation, while preserving human oversight as a crucial component of the final decision-making process. Another significant strength of our framework lies in its potential to drive the evolution of a new generation of decision support systems (DSSs). Unlike traditional systems that rely on rigid and inflexible interfaces, our approach enables users to express their preferences in a more natural, intuitive, and adaptable manner, substantially enhancing both usability and accessibility. A case study on last-mile delivery system design in a smart city demonstrates the practical application of this framework. The results suggest that our approach has the potential to simplify the decision-making process and improve efficiency by reducing cognitive load, enhancing user experience, and facilitating more intuitive interactions.</t>
  </si>
  <si>
    <t>10.3390/a17120582</t>
  </si>
  <si>
    <t>WOS:001384096900001</t>
  </si>
  <si>
    <t>Vizniuk, A; Diachenko, G; Laktionov, I; Siwocha, A; Xiao, M; Smolag, J</t>
  </si>
  <si>
    <t>Vizniuk, Artem; Diachenko, Grygorii; Laktionov, Ivan; Siwocha, Agnieszka; Xiao, Min; Smolag, Jacek</t>
  </si>
  <si>
    <t>A Comprehensive Survey of Retrieval-Augmented Large Language Models for Decision Making in Agriculture: Unsolved Problems and Research Opportunities</t>
  </si>
  <si>
    <t>large language models, agriculture, decision-making, retrieval-augmented generation</t>
  </si>
  <si>
    <t>The breakthrough in developing large language models (LLMs) over the past few years has led to their widespread implementation in various areas of industry, business, and agriculture. The aim of this article is to critically analyse and generalise the known results and research directions on approaches to the development and utilisation of LLMs, with a particular focus on their functional characteristics when integrated into decision support systems (DSSs) for agricultural monitoring. The subject of the research is approaches to the development and integration of LLMs into DSSs for agrotechnical monitoring. The main scientific and applied results of the article are as follows: the world experience of using LLMs to improve agricultural processes has been analysed; a critical analysis of the functional characteristics of LLMs has been carried out, and the areas of application of their architectures have been identified; the necessity of focusing on retrieval-augmented generation (RAG) as an approach to solving one of the main limitations of LLMs, which is the limited knowledge base of training data, has been established; the characteristics and prospects of using LLMs for DSSs in agriculture have been analysed to highlight trustworthiness, explainability and bias reduction as priority areas of research; the potential socio-economic effect from the implementation of LLMs and RAG in the agricultural sector is substantiated.</t>
  </si>
  <si>
    <t>10.2478/jaiscr-2025-0007</t>
  </si>
  <si>
    <t>WOS:001413658700002</t>
  </si>
  <si>
    <t>Engelke, M; Baldini, G; Kleesiek, J; Nensa, F; Dada, A</t>
  </si>
  <si>
    <t>Engelke, Merlin; Baldini, Giulia; Kleesiek, Jens; Nensa, Felix; Dada, Amin</t>
  </si>
  <si>
    <t>FHIR-Former: enhancing clinical predictions through Fast Healthcare Interoperability Resources and large language models</t>
  </si>
  <si>
    <t>Large Language Models (LLMs); Clinical Prediction Tasks; Electronic Health Records (EHR); Fast Healthcare Interoperability Resources (FHIR); Multimodal Data; Hospital Readmission; In-hospital Mortality; Imaging Study Prediction; ICD Code Classification</t>
  </si>
  <si>
    <t>Objective To address the challenges of data heterogeneity and manual feature engineering in clinical predictive modeling, we introduce FHIR-Former, an open-source framework integrating Fast Healthcare Interoperability Resources (FHIR) with large language models (LLMs) to automate and standardize clinical prediction tasks.Materials and Methods FHIR-Former dynamically processes structured (eg, lab results, medications) and unstructured (eg, clinical notes) data from FHIR resources. The pipeline supports multiple classification tasks, including 30-day readmission, imaging study prediction, and ICD code classification. Leveraging open-source LLMs (GeBERTa), we trained models on 1.1 million data points across ten FHIR resources using retrospective inpatient data (2018-2024). Hyperparameters were optimized via Bayesian methods, and outputs were mapped to FHIR RiskAssessment resources for interoperability.Results FHIR-Former achieved an F1-score of 70.7% and accuracy of 72.9% for 30-day readmission, 51.8% F1-score (88.1% accuracy) for mortality prediction, and 61% macro F1-score for imaging study classification. The ICD code prediction model attained 94% accuracy. Performance demonstrated promising performance for readmission and showed scalability across tasks without manual feature engineering.Discussion FHIR-Former eliminates institution-specific preprocessing by adapting to diverse FHIR implementations, enabling seamless integration of multimodal data. Its configurable architecture outperformed prior frameworks reliant on static inputs or limited to unstructured text. Real-time risk scores embedded in FHIR servers enhance clinical workflows without disrupting existing practices.Conclusion By harmonizing FHIR standardization with LLM flexibility, FHIR-Former advances scalable, interoperable predictive modeling in healthcare. The open-source framework facilitates automation, improves resource allocation, and supports personalized decision-making, bridging gaps between AI innovation and clinical practice.</t>
  </si>
  <si>
    <t>10.1093/jamia/ocaf165</t>
  </si>
  <si>
    <t>WOS:001591729800001</t>
  </si>
  <si>
    <t>Niu, RL; Wang, Q; Kong, H; Xing, QL; Chang, Y; Yu, PS</t>
  </si>
  <si>
    <t>Niu, Runliang; Wang, Qi; Kong, He; Xing, Qianli; Chang, Yi; Yu, Philip S.</t>
  </si>
  <si>
    <t>Learn to explain transformer via interpretation path by reinforcement learning</t>
  </si>
  <si>
    <t>Transformer; Model explanation; Reinforcement learning; Foundation models</t>
  </si>
  <si>
    <t>In recent years, the Transformer model has become a key part of many AI systems, making it important to understand how it works. The large parameter size and complex structure of the Transformer make interpretation more difficult and less efficient. Fortunately, there are many internal variables in Transformers that can aid in the explanation process, including attention matrices, gradients, hidden states, and activations between layers. Effectively utilizing these internal factors can help us better understand the decision-making process of Transformers. Also, most existing works focus on one type of these features and fail to investigate the interpretability of different variables in a unified model. To address these issues, this paper introduces a Reinforcement Learning environment in which the agent makes step-by-step modifications to input sequences to construct perturbed samples and gradually reduces the model's confidence in classification labels. The environment guides the agent to choose the token modification strategy along a more targeted interpretation path instead of random sampling, which can significantly improve the interpretation effectiveness. The flexibly designed agent can utilize multiple internal variables or even combinations of variables as observation, allowing for comparisons of their contributions to the model's interpretability. Extensive experiments conducted on three real-world datasets demonstrate the superior performance of our proposed model in both model interpretation and model adversarial attack tasks. We obtain a set of interesting findings, which can inspire further research on Transformer and Transformer-based model interpretation works. The code of this paper is available at https://github.com/niuzaisheng/Learn-to-Explain.</t>
  </si>
  <si>
    <t>10.1016/j.neunet.2025.107496</t>
  </si>
  <si>
    <t>WOS:001489014000001</t>
  </si>
  <si>
    <t>Bak, M; Chin, J</t>
  </si>
  <si>
    <t>Bak, Michelle; Chin, Jessie</t>
  </si>
  <si>
    <t>The potential and limitations of large language models in identification of the states of motivations for facilitating health behavior change</t>
  </si>
  <si>
    <t>large language models; ChatGPT; Google Bard; Llama 2; health promotion; motivations; behavior change</t>
  </si>
  <si>
    <t>Importance The study highlights the potential and limitations of the Large Language Models (LLMs) in recognizing different states of motivation to provide appropriate information for behavior change. Following the Transtheoretical Model (TTM), we identified the major gap of LLMs in responding to certain states of motivation through validated scenario studies, suggesting future directions of LLMs research for health promotion.Objectives The LLMs-based generative conversational agents (GAs) have shown success in identifying user intents semantically. Little is known about its capabilities to identify motivation states and provide appropriate information to facilitate behavior change progression.Materials and Methods We evaluated 3 GAs, ChatGPT, Google Bard, and Llama 2 in identifying motivation states following the TTM stages of change. GAs were evaluated using 25 validated scenarios with 5 health topics across 5 TTM stages. The relevance and completeness of the responses to cover the TTM processes to proceed to the next stage of change were assessed.Results 3 GAs identified the motivation states in the preparation stage providing sufficient information to proceed to the action stage. The responses to the motivation states in the action and maintenance stages were good enough covering partial processes for individuals to initiate and maintain their changes in behavior. However, the GAs were not able to identify users' motivation states in the precontemplation and contemplation stages providing irrelevant information, covering about 20%-30% of the processes.Discussion GAs are able to identify users' motivation states and provide relevant information when individuals have established goals and commitments to take and maintain an action. However, individuals who are hesitant or ambivalent about behavior change are unlikely to receive sufficient and relevant guidance to proceed to the next stage of change.Conclusion The current GAs effectively identify motivation states of individuals with established goals but may lack support for those ambivalent towards behavior change.</t>
  </si>
  <si>
    <t>10.1093/jamia/ocae057</t>
  </si>
  <si>
    <t>WOS:001190107600001</t>
  </si>
  <si>
    <t>Triantafyllopoulos, L; Kalles, D</t>
  </si>
  <si>
    <t>Triantafyllopoulos, Loukas; Kalles, Dimitris</t>
  </si>
  <si>
    <t>From Divergence to Alignment: Evaluating the Role of Large Language Models in Facilitating Agreement Through Adaptive Strategies</t>
  </si>
  <si>
    <t>consensus-building; artificial intelligence; collaborative decision-support systems; large language models; cosine similarity</t>
  </si>
  <si>
    <t>DECISIONS</t>
  </si>
  <si>
    <t>Achieving consensus in group decision-making often involves overcoming significant challenges, particularly reconciling diverse perspectives and mitigating biases hindering agreement. Traditional methods relying on human facilitators are usually constrained by scalability and efficiency, especially in large-scale, fast-paced discussions. To address these challenges, this study proposes a novel real-time facilitation framework, employing large language models (LLMs) as automated facilitators within a custom-built multi-user chat system. This framework is distinguished by its real-time adaptive system architecture, which enables dynamic adjustments to facilitation strategies based on ongoing discussion dynamics. Leveraging cosine similarity as a core metric, this approach evaluates the ability of three state-of-the-art LLMs-ChatGPT 4.0, Mistral Large 2, and AI21 Jamba-Instruct-to synthesize consensus proposals that align with participants' viewpoints. Unlike conventional techniques, the system integrates adaptive facilitation strategies, including clarifying misunderstandings, summarizing discussions, and proposing compromises, enabling the LLMs to refine consensus proposals based on user feedback iteratively. Experimental results indicate that ChatGPT 4.0 achieved the highest alignment with participant opinions and required fewer iterations to reach consensus. A one-way ANOVA confirmed that differences in performance between models were statistically significant. Moreover, descriptive analyses revealed nuanced differences in model behavior across various sustainability-focused discussion topics, including climate action, quality education, good health and well-being, and access to clean water and sanitation. These findings highlight the promise of LLM-driven facilitation for improving collective decision-making processes and underscore the need for further research into robust evaluation metrics, ethical considerations, and cross-cultural adaptability.</t>
  </si>
  <si>
    <t>SEP 6</t>
  </si>
  <si>
    <t>10.3390/fi17090407</t>
  </si>
  <si>
    <t>WOS:001580864100001</t>
  </si>
  <si>
    <t>Neyem, A; González, LA; Mendoza, M; Alcocer, JPS; Centellas, L; Paredes, C</t>
  </si>
  <si>
    <t>Neyem, Andres; Gonzalez, Luis A.; Mendoza, Marcelo; Alcocer, Juan Pablo Sandoval; Centellas, Leonardo; Paredes, Carlos</t>
  </si>
  <si>
    <t>Toward an AI Knowledge Assistant for Context-Aware Learning Experiences in Software Capstone Project Development</t>
  </si>
  <si>
    <t>IEEE TRANSACTIONS ON LEARNING TECHNOLOGIES</t>
  </si>
  <si>
    <t>Software; Artificial intelligence; Task analysis; Software engineering; Codes; Chatbots; Knowledge engineering; Capstone courses; ChatGPT; context-aware learning; generative artificial intelligence (AI); large language models (LLMs); software engineering education</t>
  </si>
  <si>
    <t>READABILITY</t>
  </si>
  <si>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t>
  </si>
  <si>
    <t>1939-1382</t>
  </si>
  <si>
    <t>10.1109/TLT.2024.3396735</t>
  </si>
  <si>
    <t>WOS:001235546700003</t>
  </si>
  <si>
    <t>Xu, X; Zhao, JB; Zhang, Y; Li, RP</t>
  </si>
  <si>
    <t>Xu, Xing; Zhao, Jianbin; Zhang, Yu; Li, Rongpeng</t>
  </si>
  <si>
    <t>Integrating Reinforcement Learning and LLM with Self-Optimization Network System</t>
  </si>
  <si>
    <t>network self-optimization; adaptive routing; reinforcement learning; large language model</t>
  </si>
  <si>
    <t>The rapid expansion of communication networks and increasingly complex service demands have presented significant challenges to the intelligent management of network resources. To address these challenges, we have proposed a network self-optimization framework integrating the predictive capabilities of the Large Language Model (LLM) with the decision-making capabilities of multi-agent Reinforcement Learning (RL). Specifically, historical network traffic data are converted into structured inputs to forecast future traffic patterns using a GPT-2-based prediction module. Concurrently, a Multi-Agent Deep Deterministic Policy Gradient (MADDPG) algorithm leverages real-time sensor data-including link delay and packet loss rates collected by embedded network sensors-to dynamically optimize bandwidth allocation. This sensor-driven mechanism enables the system to perform real-time optimization of bandwidth allocation, ensuring accurate monitoring and proactive resource scheduling. We evaluate our framework in a heterogeneous network simulated using Mininet under diverse traffic scenarios. Experimental results show that the proposed method significantly reduces network latency and packet loss, as well as improves robustness and resource utilization, highlighting the effectiveness of integrating sensor-driven RL optimization with predictive insights from LLMs.</t>
  </si>
  <si>
    <t>2673-8732</t>
  </si>
  <si>
    <t>SEP 16</t>
  </si>
  <si>
    <t>10.3390/network5030039</t>
  </si>
  <si>
    <t>WOS:001580761500001</t>
  </si>
  <si>
    <t>Hou, RH; Chen, SC; Fan, YQ; Yu, GY; Zhu, LF; Sun, J; Liu, JP; Ruan, T</t>
  </si>
  <si>
    <t>Hou, Ruihui; Chen, Shencheng; Fan, Yongqi; Yu, Guangya; Zhu, Lifeng; Sun, Jing; Liu, Jingping; Ruan, Tong</t>
  </si>
  <si>
    <t>MSDiagnosis: A benchmark and framework for evaluating large language models in multi-step clinical diagnosis</t>
  </si>
  <si>
    <t>Multi-step clinical diagnosis; Large language model; Prompting strategy</t>
  </si>
  <si>
    <t>Clinical diagnosis is critical in clinical decision-making, typically requiring a continuous and evolving process that includes primary, differential, and final diagnoses. However, most existing clinical diagnostic tasks are single-step processes, which do not align with the complex multi-step diagnostic procedures found in real clinical scenarios. In this paper, we propose MSDiagnosis, a Chinese multi-step clinical diagnostic benchmark consisting of 2225 cases from 12 departments, covering primary, differential, and final diagnosis tasks. Conventional approaches often rely on large language models (LLMs) to perform these tasks sequentially, which can lead to error propagation. To address this, we propose a two-stage diagnostic framework consisting of a forward inference module and a backward reasoning and refinement module. This framework is applied at each diagnostic stage to effectively mitigate error propagation across steps. The forward module retrieves similar cases to assist the LLM in generating an initial diagnosis. In the backward inference and refinement module, we first perform backward inference to infer the diagnostic criteria associated with the initially identified potential diseases. These criteria are then compared with the patient's records to identify and eliminate possible misdiagnoses. Finally, the diagnostic conclusion is further refined and confirmed. Based on the MSDiagnosis, we evaluate medical LLMs (e.g., OpenBioLLM, PULSE, and Apollo2), general LLMs (e.g., DeepSeek-V3, OpenAI-O1, and GLM4), and our proposed framework. Experimental results show that our framework achieves state-of-the-art performance, demonstrating its effectiveness in multi-step diagnostic tasks. We also provide a detailed analysis and suggest future research directions for this task. Our code and data are publicly available at https://github.com/nlper-hou/MSDiagnosis.</t>
  </si>
  <si>
    <t>10.1016/j.knosys.2025.114524</t>
  </si>
  <si>
    <t>WOS:001589482700007</t>
  </si>
  <si>
    <t>Khaki, AMZ; Choi, A; Seyyed-Kalantari, L</t>
  </si>
  <si>
    <t>Khaki, Ahmad Mouri Zadeh; Choi, Ahyoung; Seyyed-Kalantari, Laleh</t>
  </si>
  <si>
    <t>Simulating Social Behavior of LLM-Based Autonomous Negotiator Agents in a Game-Theoretical Framework Using Multi-Agent Systems</t>
  </si>
  <si>
    <t>Decision-making; game theory; large language models; multi-agent systems; social behavior; strategic reasoning</t>
  </si>
  <si>
    <t>Simulation is a widely used approach for evaluating system performance, robustness, and potential issues during design and testing. Large Language Models (LLMs) have recently shown strong potential in autonomous agent systems, including negotiation tasks-a core aspect of commerce. This paper evaluates LLM-based autonomous negotiator agents (LANAs) in a buyer-seller bargaining game to assess their decision-making and reasoning. We simulate interactions between agents embodying contrasting social behaviors: (a) Cunning vs. Kind, and (b) Greedy vs. Generous. By analyzing both the game outcomes and the agents' internal reasoning, we find that LLMs can effectively simulate distinct social behaviors in both dialogue and decision-making. Our results offer insights into how social traits affect negotiation dynamics, emphasizing the importance of clear policy design to ensure fairness and reliability in LANA-based systems.</t>
  </si>
  <si>
    <t>DEC 2</t>
  </si>
  <si>
    <t>10.1080/10447318.2025.2495117</t>
  </si>
  <si>
    <t>WOS:001488674300001</t>
  </si>
  <si>
    <t>Memduhoglu, A; Fulman, N; Polat, N; Atas, T</t>
  </si>
  <si>
    <t>Memduhoglu, Abdulkadir; Fulman, Nir; Polat, Nizar; Atas, Tacettin</t>
  </si>
  <si>
    <t>Large language models as virtual experts? Evaluating AHP-based criteria weighting performance for solar power plant site selection</t>
  </si>
  <si>
    <t>Multi-criteria decision making; Geographic information systems; Large language models; Analytic hierarchy process; Spatial planning; Artificial intelligence</t>
  </si>
  <si>
    <t>MULTICRITERIA DECISION-ANALYSIS; GIS; IMPACTS</t>
  </si>
  <si>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 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 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 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</si>
  <si>
    <t>10.1016/j.eswa.2025.130171</t>
  </si>
  <si>
    <t>WOS:001609036700003</t>
  </si>
  <si>
    <t>He, G; Luo, JA; Luo, FX; Yang, X; Jing, X; Cui, HH</t>
  </si>
  <si>
    <t>He, Guo; Luo, Jungang; Luo, Feixiong; Yang, Xue; Jing, Xin; Cui, Huhu</t>
  </si>
  <si>
    <t>IWMS-LLM: an intelligent water resources management system based on large language models</t>
  </si>
  <si>
    <t>JOURNAL OF HYDROINFORMATICS</t>
  </si>
  <si>
    <t>dynamic orchestration; large language models; water resources management system</t>
  </si>
  <si>
    <t>Water resources management is inherently complex and dynamic, characterized by strong time-sensitivity and uncertainty. Traditional water resources information systems rely on fixed-process decision-making, which often lack flexibility to accommodate emerging needs and are insufficiently responsive to sudden events or environmental changes. To overcome these limitations, this paper proposes an Intelligent Water Resources Management System (IWMS-LLM) based on Large Language Models (LLMs), and introduces a visual workflow orchestration approach tailored to water resources management tasks. The system leverages LLMs as its core engine to support workflow orchestration and drive task execution, thereby establishing a problem-driven service model. IWMS-LLM comprises four key modules: (1) ingestion, preprocessing, and management of multi-source data; (2) encapsulation of domain models and operational process components; (3) visual workflow orchestration for task configuration; and (4) intelligent task execution via natural language processing. IWMS-LLM performs well in terms of adaptability to diverse scenarios and system scalability. It effectively meets diverse needs in water resources management, lowers the barriers to development and utilization, and provides an innovative technological pathway for the intelligent advancement of water resources management systems.HIGHLIGHTSProposed an intelligent system model for water resources management. Introduced a visual workflow method for task-level orchestration. Developed an LLM-driven approach for workflow execution in water resources systems.</t>
  </si>
  <si>
    <t>1464-7141</t>
  </si>
  <si>
    <t>1465-1734</t>
  </si>
  <si>
    <t>10.2166/hydro.2025.130</t>
  </si>
  <si>
    <t>WOS:001619488600001</t>
  </si>
  <si>
    <t>Gupta, GK; Singh, A; Manikandan, SV; Ehtesham, A</t>
  </si>
  <si>
    <t>Gupta, Gaurav Kumar; Singh, Aditi; Manikandan, Sijo Valayakkad; Ehtesham, Abul</t>
  </si>
  <si>
    <t>Digital Diagnostics: The Potential of Large Language Models in Recognizing Symptoms of Common Illnesses</t>
  </si>
  <si>
    <t>large language models; healthcare; AI; digital health; medical diagnostics; natural language processing (NLP)</t>
  </si>
  <si>
    <t>This study aimed to evaluate the potential of Large Language Models (LLMs) in healthcare diagnostics, specifically their ability to analyze symptom-based prompts and provide accurate diagnoses. The study focused on models including GPT-4, GPT-4o, Gemini, o1 Preview, and GPT-3.5, assessing their performance in identifying illnesses based solely on provided symptoms. Symptom-based prompts were curated from reputable medical sources to ensure validity and relevance. Each model was tested under controlled conditions to evaluate their diagnostic accuracy, precision, recall, and decision-making capabilities. Specific scenarios were designed to explore their performance in both general and high-stakes diagnostic tasks. Among the models, GPT-4 achieved the highest diagnostic accuracy, demonstrating strong alignment with medical reasoning. Gemini excelled in high-stakes scenarios requiring precise decision-making. GPT-4o and o1 Preview showed balanced performance, effectively handling real-time diagnostic tasks with a focus on both precision and recall. GPT-3.5, though less advanced, proved dependable for general diagnostic tasks. This study highlights the strengths and limitations of LLMs in healthcare diagnostics. While models such as GPT-4 and Gemini exhibit promise, challenges such as privacy compliance, ethical considerations, and the mitigation of inherent biases must be addressed. The findings suggest pathways for responsibly integrating LLMs into diagnostic processes to enhance healthcare outcomes.</t>
  </si>
  <si>
    <t>10.3390/ai6010013</t>
  </si>
  <si>
    <t>WOS:001403986200001</t>
  </si>
  <si>
    <t>Li, J; Deng, YY; Sun, Q; Zhu, JJ; Tian, Y; Li, JS; Zhu, TT</t>
  </si>
  <si>
    <t>Li, Jin; Deng, Yiyan; Sun, Qi; Zhu, Junjie; Tian, Yu; Li, Jingsong; Zhu, Tingting</t>
  </si>
  <si>
    <t>Benchmarking Large Language Models in Evidence-Based Medicine</t>
  </si>
  <si>
    <t>Prompt engineering; Large language models; evidence-based medicine; evidence-based medicine; clinical NLP; clinical NLP; Prompt engineering</t>
  </si>
  <si>
    <t>Evidence-based medicine (EBM) represents a paradigm of providing patient care grounded in the most current and rigorously evaluated research. Recent advances in large language models (LLMs) offer a potential solution to transform EBM by automating labor-intensive tasks and thereby improving the efficiency of clinical decision-making. This study explores integrating LLMs into the key stages in EBM, evaluating their ability across evidence retrieval (PICO extraction, biomedical question answering), synthesis (summarizing randomized controlled trials), and dissemination (medical text simplification). We conducted a comparative analysis of seven LLMs, including both proprietary and open-source models, as well as those fine-tuned on medical corpora. Specifically, we benchmarked the performance of various LLMs on each EBM task under zero-shot settings as baselines, and employed prompting techniques, including in-context learning, chain-of-thought reasoning, and knowledge-guided prompting to enhance their capabilities. Our extensive experiments revealed the strengths of LLMs, such as remarkable understanding capabilities even in zero-shot settings, strong summarization skills, and effective knowledge transfer via prompting. Promoting strategies such as knowledge-guided prompting proved highly effective (e.g., improving the performance of GPT-4 by 13.10% over zero-shot in PICO extraction). However, the experiments also showed limitations, with LLM performance falling well below state-of-the-art baselines like PubMedBERT in handling named entity recognition tasks. Moreover, human evaluation revealed persisting challenges with factual inconsistencies and domain inaccuracies, underscoring the need for rigorous quality control before clinical application. This study provides insights into enhancing EBM using LLMs while highlighting critical areas for further research.</t>
  </si>
  <si>
    <t>10.1109/JBHI.2024.3483816</t>
  </si>
  <si>
    <t>WOS:001566981400049</t>
  </si>
  <si>
    <t>Yun, H; Lee, EH</t>
  </si>
  <si>
    <t>Yun, Hyunsoo; Lee, Eun Hak</t>
  </si>
  <si>
    <t>Party politics in transport policy with a large language model</t>
  </si>
  <si>
    <t>Politics; Transport policy; Lawmaker; Legislative bill; Large language model; eXplainable artificial intelligence</t>
  </si>
  <si>
    <t>Given the significant influence of lawmakers' political ideologies on legislative decision-making, analyzing their impact on transportation-related policymaking is of critical importance. This study introduces a novel framework that integrates a large language model (LLM) with explainable artificial intelligence (XAI) to analyze transportation-related legislative proposals. Legislative bill data from South Korea's 21st National Assembly were used to identify key factors shaping transportation policymaking. These include political affiliations and sponsor characteristics. The LLM was employed to classify transportation-related bill proposals through a stepwise filtering process based on keywords, sentences, and contextual relevance. XAI techniques were then applied to examine the relationships between political party affiliation and associated attributes. The results revealed that the number and proportion of conservative and progressive sponsors, along with district size and electoral population, were critical determinants shaping legislative outcomes. These findings suggest that both parties contributed to bipartisan legislation through different forms of engagement, such as initiating or supporting proposals. This integrated approach offers a valuable tool for understanding legislative dynamics and guiding future policy development, with broader implications for infrastructure planning and governance.</t>
  </si>
  <si>
    <t>10.1016/j.tranpol.2025.06.021</t>
  </si>
  <si>
    <t>Green Published, hybrid</t>
  </si>
  <si>
    <t>WOS:001529589100001</t>
  </si>
  <si>
    <t>Nguyen, QN; Cam, NT; Nguyen, KV</t>
  </si>
  <si>
    <t>Nguyen, Qui Ngoc; Cam, Nguyen Tan; Nguyen, Kiet Van</t>
  </si>
  <si>
    <t>XLMR4MD: New Vietnamese dataset and framework for detecting the consistency of description and permission in Android applications using large language models</t>
  </si>
  <si>
    <t>COMPUTERS &amp; SECURITY</t>
  </si>
  <si>
    <t>Large language models; App Android; Security policy; Application permissions; Application description; Deep learning</t>
  </si>
  <si>
    <t>Google Play and other application marketplaces have various Android applications and metadata. Among these, description information and privacy policy help explain the application's functionality. They also describe the permission of the application, especially those related to sensitive information. Detecting the inconsistency between the description of the application and privacy information and the permission extracted in the application's source code helps users decide whether to install and use the application. In this research, we propose a new method based on a pre -trained language model to detect inconsistencies between the permission extracted from the description application and privacy policy and the permission extracted from the application's source code (file APK). Related works focus on models of large-scale datasets, especially for resource -rich languages such as English. However, a language with low resources, like Vietnamese, needs more datasets for the task. To solve this problem, we propose the ViDPApp dataset (Description and Privacy Policy of Applications on Vietnamese domains), a high -quality dataset that humans manually annotate with 12,000+ sentences with an inter -annotator agreement (IAA) of over 85%. In addition, we proposed XLMR4MD, a new framework using large language models, outperforming powerful machine models (LSTM, Bi-GRU-LSTM-CNN, WikiBERT, DistilBERT, mBERT, and PhoBERT) and achieving the best with 84.04% F1 score in detecting inconsistencies between Android application permission and description. This framework can be fine-tuned for 100 languages, which benefits lowresource languages like Vietnamese. The dataset is available for research purposes.</t>
  </si>
  <si>
    <t>0167-4048</t>
  </si>
  <si>
    <t>1872-6208</t>
  </si>
  <si>
    <t>10.1016/j.cose.2024.103814</t>
  </si>
  <si>
    <t>WOS:001218425900001</t>
  </si>
  <si>
    <t>Rashid, S; Bollis, E; Pellicer, L; Rabbani, D; Palacios, R; Gupta, A; Gupta, A</t>
  </si>
  <si>
    <t>Rashid, Sharaf; Bollis, Edson; Pellicer, Lucas; Rabbani, Darian; Palacios, Rafael; Gupta, Aneesh; Gupta, Amar</t>
  </si>
  <si>
    <t>Evaluating Prompt Injection Attacks with LSTM-Based Generative Adversarial Networks: A Lightweight Alternative to Large Language Models</t>
  </si>
  <si>
    <t>AI Cybersecurity; adversarial prompts; large language models; Generative Adversarial Network</t>
  </si>
  <si>
    <t>Generative Adversarial Networks (GANs) using Long Short-Term Memory (LSTM) provide a computationally cheaper approach for text generation compared to large language models (LLMs). The low hardware barrier of training GANs poses a threat because it means more bad actors may use them to mass-produce prompt attack messages against LLM systems. Thus, to better understand the threat of GANs being used for prompt attack generation, we train two well-known GAN architectures, SeqGAN and RelGAN, on prompt attack messages. For each architecture, we evaluate generated prompt attack messages, comparing results with each other, with generated attacks from another computationally cheap approach, a 1-billion-parameter Llama 3.2 small language model (SLM), and with messages from the original dataset. This evaluation suggests that GAN architectures like SeqGAN and RelGAN have the potential to be used in conjunction with SLMs to readily generate malicious prompts that impose new threats against LLM-based systems such as chatbots. Analyzing the effectiveness of state-of-the-art defenses against prompt attacks, we also find that GAN-generated attacks can deceive most of these defenses with varying levels of success with the exception of Meta's PromptGuard. Further, we suggest an improvement of prompt attack defenses based on the analysis of the language quality of the prompts, which we found to be the weakest point of GAN-generated messages.</t>
  </si>
  <si>
    <t>10.3390/make7030077</t>
  </si>
  <si>
    <t>WOS:001580336900001</t>
  </si>
  <si>
    <t>Jin, YG; Wu, GX; Seo, JW; Park, SJ; Hur, SH; Aliyeva, D; Park, JH; Kim, KM</t>
  </si>
  <si>
    <t>Jin, Youn-Gyu; Wu, Guixin; Seo, Ju-Won; Park, Seong-Jin; Hur, Sung-Ho; Aliyeva, Dinara; Park, Jun-Hyung; Kim, Kang-Min</t>
  </si>
  <si>
    <t>AI Veterinary Assistance: Enhancing Clinical Decision-Making in Animal Healthcare</t>
  </si>
  <si>
    <t>Diseases; Animals; Medical diagnostic imaging; Databases; Decision making; Medical services; Accuracy; Data mining; Large language models; Cognition; Clinical decision-making assistance; in-context learning; large language model</t>
  </si>
  <si>
    <t>As the number of households raising companion animals increases, there is a corresponding increase in the demand for veterinary medical services. Furthermore, as companion animals age, the prevalence of chronic disease is increasing, leading companion animal owners to seek more help with long-term health management. However, the shortage of veterinarians and the growing complexity of the consultation process have led to a heavier workload for veterinarians, potentially hindering clinical decision-making efficiency. To address these challenges, we propose AI Veterinary Assistance (AVA), a framework leveraging a large language model. AVA automatically extracts symptoms from consultation records, predicts most probable disease using veterinarian certified disease-symptom database and recommend future consultation question. AVA achieved disease prediction accuracies of 91.4%, 93.4%, and 95.9% for Top-3, Top-5, and Top-10, respectively, along with a symptom extraction accuracy of 79.9% on a consultation records dataset constructed from a veterinarian-certified disease-symptom database. Furthermore, on a real-world dataset, AVA achieved disease prediction accuracies of 38.6%, 43.6%, and 51.5% for Top-3, Top-5, and Top-10, respectively. In both datasets, AVA outperformed baseline methods, demonstrating its effectiveness in supporting clinical decision-making. These results suggest that AVA can help reduce veterinarians' workload while enhancing the efficiency and reliability of the consultation process.</t>
  </si>
  <si>
    <t>10.1109/ACCESS.2025.3587787</t>
  </si>
  <si>
    <t>WOS:001530173700010</t>
  </si>
  <si>
    <t>Nadeem, M; Sohail, SS; Madsen, DO; Alzahrani, AI; Del Ser, J; Muhammad, K</t>
  </si>
  <si>
    <t>Nadeem, Mohammad; Sohail, Shahab Saquib; Madsen, Dag Oivind; Alzahrani, Ahmed Ibrahim; Del Ser, Javier; Muhammad, Khan</t>
  </si>
  <si>
    <t>A Multi-Modal Assessment Framework for Comparison of Specialized Deep Learning and General-Purpose Large Language Models</t>
  </si>
  <si>
    <t>Deep learning; Chatbots; Testing; Depression; Large language models; Internet; Hands; Fake news; Big Data; Data models; deep learning; assessment framework; generative artificial intelligence</t>
  </si>
  <si>
    <t>Recent years have witnessed tremendous advancements in Al tools (e.g., ChatGPT, GPT-4, and Bard), driven by the growing power, reasoning, and efficiency of Large Language Models (LLMs). LLMs have been shown to excel in tasks ranging from poem writing and coding to essay generation and puzzle solving. Despite their proficiency in general queries, specialized tasks such as metaphor understanding and fake news detection often require finely tuned models, posing a comparison challenge with specialized Deep Learning (DL). We propose an assessment framework to compare task-specific intelligence with general-purpose LLMs on suicide and depression tendency identification. For this purpose, we trained two DL models on a suicide and depression detection dataset, followed by testing their performance on a test set. Afterward, the same test dataset is used to evaluate the performance of four LLMs (GPT-3.5, GPT-4, Google Bard, and MS Bing) using four classification metrics. The BERT-based DL model performed the best among all, with a testing accuracy of 94.61%, while GPT-4 was the runner-up with accuracy 92.5%. Results demonstrate that LLMs do not outperform the specialized DL models but are able to achieve comparable performance, making them a decent option for downstream tasks without specialized training. However, LLMs outperformed specialized models on the reduced dataset.</t>
  </si>
  <si>
    <t>10.1109/TBDATA.2025.3536937</t>
  </si>
  <si>
    <t>WOS:001488533700033</t>
  </si>
  <si>
    <t>Liu, YX; Zhang, X; Cao, WW; Cui, WJ; Tan, T; Peng, YQ; Huang, JY; Lei, Z; Shen, J; Zheng, J</t>
  </si>
  <si>
    <t>Liu, Yuxin; Zhang, Xiang; Cao, Weiwei; Cui, Wenju; Tan, Tao; Peng, Yuqin; Huang, Jiayi; Lei, Zhen; Shen, Jun; Zheng, Jian</t>
  </si>
  <si>
    <t>Bootstrapping BI-RADS classification using large language models and transformers in breast magnetic resonance imaging reports</t>
  </si>
  <si>
    <t>VISUAL COMPUTING FOR INDUSTRY BIOMEDICINE AND ART</t>
  </si>
  <si>
    <t>Large language model; Structured report; Missing category information; Radiology report</t>
  </si>
  <si>
    <t>CANCER; RISK</t>
  </si>
  <si>
    <t>Breast cancer is one of the most common malignancies among women globally. Magnetic resonance imaging (MRI), as the final non-invasive diagnostic tool before biopsy, provides detailed free-text reports that support clinical decision-making. Therefore, the effective utilization of the information in MRI reports to make reliable decisions is crucial for patient care. This study proposes a novel method for BI-RADS classification using breast MRI reports. Large language models are employed to transform free-text reports into structured reports. Specifically, missing category information (MCI) that is absent in the free-text reports is supplemented by assigning default values to the missing categories in the structured reports. To ensure data privacy, a locally deployed Qwen-Chat model is employed. Furthermore, to enhance the domain-specific adaptability, a knowledge-driven prompt is designed. The Qwen-7B-Chat model is fine-tuned specifically for structuring breast MRI reports. To prevent information loss and enable comprehensive learning of all report details, a fusion strategy is introduced, combining free-text and structured reports to train the classification model. Experimental results show that the proposed BI-RADS classification method outperforms existing report classification methods across multiple evaluation metrics. Furthermore, an external test set from a different hospital is used to validate the robustness of the proposed approach. The proposed structured method surpasses GPT-4o in terms of performance. Ablation experiments confirm that the knowledge-driven prompt, MCI, and the fusion strategy are crucial to the model's performance.</t>
  </si>
  <si>
    <t>2524-4442</t>
  </si>
  <si>
    <t>APR 3</t>
  </si>
  <si>
    <t>10.1186/s42492-025-00189-8</t>
  </si>
  <si>
    <t>Computer Science; Engineering; Imaging Science &amp; Photographic Technology</t>
  </si>
  <si>
    <t>WOS:001458788900001</t>
  </si>
  <si>
    <t>Zhou, ZY; Huang, HY; Li, BQ; Zhao, SY; Mu, Y; Wang, JQ</t>
  </si>
  <si>
    <t>Zhou, Zhiyuan; Huang, Heye; Li, Boqi; Zhao, Shiyue; Mu, Yao; Wang, Jianqiang</t>
  </si>
  <si>
    <t>SafeDrive: Knowledge-and data-driven risk-sensitive decision-making for autonomous vehicles with Large Language Models</t>
  </si>
  <si>
    <t>ACCIDENT ANALYSIS AND PREVENTION</t>
  </si>
  <si>
    <t>Autonomous vehicles; Risk-sensitive decision-making; Large Language Models; Knowledge-and data-driven methods</t>
  </si>
  <si>
    <t>COLLISION; TIME</t>
  </si>
  <si>
    <t>Recent advancements in autonomous vehicles (AVs) leverage Large Language Models (LLMs) to perform well in normal driving scenarios. However, ensuring safety in dynamic, high-risk environments and managing safety-critical long-tail events remains a significant challenge. To address these issues, we propose SafeDrive, a knowledge-and data-driven risk-sensitive decision-making framework, to enhance AV safety and adaptability. The proposed framework introduces a modular system comprising: (1) a Risk Module for comprehensive quantification of multi-factor coupled risks involving driver, vehicle, and road interactions; (2) a Memory Module for storing and retrieving typical scenarios to improve adaptability; (3) a LLM-powered Reasoning Module for context-aware safety decision-making; and (4) a Reflection Module for refining decisions through iterative learning. By integrating knowledge-driven insights with adaptive learning mechanisms, the framework ensures robust decision-making under uncertain conditions. Extensive evaluations on real-world traffic datasets characterized by dynamic and high-risk scenarios, including highways (HighD), intersections (InD), and roundabouts (RounD), validate the framework's ability to enhance decision-making safety (achieving a 100% safety rate), replicate human-like driving behaviors (with decision alignment exceeding 85%), and adapt effectively to unpredictable scenarios. The proposed framework of SafeDrive establishes a novel paradigm for integrating knowledge-and data-driven methods, highlighting significant potential to improve the safety and adaptability of autonomous driving in long-tail or high-risk traffic scenarios. Project page: https://mezzi33. github.io/SafeDrive/.</t>
  </si>
  <si>
    <t>0001-4575</t>
  </si>
  <si>
    <t>1879-2057</t>
  </si>
  <si>
    <t>10.1016/j.aap.2025.108299</t>
  </si>
  <si>
    <t>Engineering; Public, Environmental &amp; Occupational Health; Social Sciences - Other Topics; Transportation</t>
  </si>
  <si>
    <t>WOS:001608363000004</t>
  </si>
  <si>
    <t>Rutecka, P; Cicha, K; Rizun, M; Strzelecki, A</t>
  </si>
  <si>
    <t>Rutecka, Paulina; Cicha, Karina; Rizun, Mariia; Strzelecki, Artur</t>
  </si>
  <si>
    <t>Generative AI in Curriculum Design: Empirical Insights Into Model Performance and Educational Constraints</t>
  </si>
  <si>
    <t>Chatbots; Economics; Accuracy; Testing; Systematic literature review; Support vector machines; Plagiarism; Large language models; Bibliometrics; Analytical models; Artificial intelligence (AI)-generated content; curriculum design; generative AI (GenAI); higher education; large language model (LLM)</t>
  </si>
  <si>
    <t>SYLLABUS; TOOLS</t>
  </si>
  <si>
    <t>This study verifies the ability of large language models (LLMs) to generate a curriculum and develop syllabi for specific courses. We prompted four models to generate two sets of curricula for a bachelor's degree in Economics and Management. We also generated syllabi for the courses included in the curriculum. We chose five Polish public economics universities offering those degree programs for comparison. Four LLMs were used in this experiment: ChatGPT-3.5, ChatGPT-4, Google Bard, and Gemini. Two of them are multimodal models. The study used an iterative approach, increasing the detail of the prompt in each iteration. The results show that the more specific prompt is given to the LLM, the less accurate the results are. Moreover, the experiment shows that none of the LLMs developed a complete curriculum at a level comparable to that generated by humans. However, LLMs can significantly help create a curriculum and develop syllabi by humans, provided that there is close human-artificial intelligence (AI) collaboration. The results obtained from the AI-assisted curriculum design differ depending on the model. By analyzing the differences between the tools and the real degree programs and syllabi, we determined that multimodal models are better suited for this task than older models.</t>
  </si>
  <si>
    <t>10.1109/TLT.2025.3587081</t>
  </si>
  <si>
    <t>WOS:001542419400001</t>
  </si>
  <si>
    <t>Akin, M; Sir, GDB; Karadag, AA; Çerçioglu, H</t>
  </si>
  <si>
    <t>Akin, Murat; Sir, Gul Didem Batur; Karadag, Ayyuce Aydemir; Cercioglu, Hakan</t>
  </si>
  <si>
    <t>A Multi-Criteria Comparison of Large Language Model Powered Assistants in Pre-Research Studies for the Academia</t>
  </si>
  <si>
    <t>LLM-powered assistants; academic studies; multi-criteria decision-making; multi-criteria decision-making; simple additive weighting method; simple additive weighting method; simple additive weighting method</t>
  </si>
  <si>
    <t>Large Language Models (LLMs), including Generative Pre-trained Transformers (GPT), a specific type of Large Language Model Powered Assistants (LLM-PA), have emerged as powerful tools in academic research and education. They offer capabilities ranging from language understanding to content generation, and serve as the foundation for LLM-PA-powered assistants, such as ChatGPT, DeepSeek, and Gemini, which facilitate interactive learning, research support, and intelligent tutoring. This study aims to guide researchers in choosing and ranking various LLM-PA alternatives in their preliminary research for academic studies. However, selecting the appropriate alternatives requires considering a large number of distinct criteria. Therefore, we conducted a multi-criteria comparison of different LLM-PAs employed in academic research. These assistants are evaluated based on criteria including performance metrics, user experience, ethical issues, and technical constraints. Examining the strengths and limitations of each tool across these dimensions, it is aimed to provide insights into their performance and suitability for academic applications. Throughout the solution procedure, we first define the criteria and sub-criteria affecting the preferences and sort them by the G1 method. Subsequently, we evaluate nine commonly used LLM-PA using the Simple Additive Weighting Method. According to the results, Gemini 2.0, Claude 3.7 Sonnet and ChatGPT-4o are the most preferred tools.</t>
  </si>
  <si>
    <t>10.1109/ACCESS.2025.3586502</t>
  </si>
  <si>
    <t>WOS:001544669800012</t>
  </si>
  <si>
    <t>Nguyen, JK</t>
  </si>
  <si>
    <t>Nguyen, Jeremy K.</t>
  </si>
  <si>
    <t>Human bias in AI models? Anchoring effects and mitigation strategies in large language models</t>
  </si>
  <si>
    <t>JOURNAL OF BEHAVIORAL AND EXPERIMENTAL FINANCE</t>
  </si>
  <si>
    <t>Anchoring bias; Artificial intelligence</t>
  </si>
  <si>
    <t>HEURISTICS</t>
  </si>
  <si>
    <t>This study builds on the seminal work of Tversky and Kahneman (1974), exploring the presence and extent of anchoring bias in forecasts generated by four Large Language Models (LLMs): GPT-4, Claude 2, Gemini Pro and GPT-3.5. In contrast to recent findings of advanced reasoning capabilities in LLMs, our randomised controlled trials reveal the presence of anchoring bias across all models: forecasts are significantly influenced by prior mention of high or low values. We examine two mitigation prompting strategies, 'Chain of Thought' and 'ignore previous', finding limited and varying degrees of effectiveness. Our results extend the anchoring bias research in finance beyond human decision-making to encompass LLMs, highlighting the importance of deliberate and informed prompting in AI forecasting in both ad hoc LLM use and in crafting few-shot examples.</t>
  </si>
  <si>
    <t>2214-6350</t>
  </si>
  <si>
    <t>2214-6369</t>
  </si>
  <si>
    <t>10.1016/j.jbef.2024.100971</t>
  </si>
  <si>
    <t>WOS:001331560900001</t>
  </si>
  <si>
    <t>Wang, JM; Zhang, FJ; Chen, XD; He, PY; Huang, EA; Huang, JX</t>
  </si>
  <si>
    <t>Wang, Junmei; Zhang, Fengjing; Chen, Xiadan; He, Puyu; Huang, Ellen Anne; Huang, Jimmy Xiangji</t>
  </si>
  <si>
    <t>Utilizing Large Language Model for Conversational Information Seeking via Dual-Query Generation and Joint-Encoding</t>
  </si>
  <si>
    <t>Conversational Information Seeking; Large Language Model; Query Generation; Semantic Complementarity</t>
  </si>
  <si>
    <t>Conversational retrieval leverages multi-turn conversations to meet users' information needs, and accurately understanding the new intent has become a significant challenge in this field. Recently, the language comprehension and reasoning capabilities of large language models (LLMs) offer a viable solution to these challenges. In this article, we propose a new Dual-Query Generation and Joint-Encoding method by utilizing LLM for Conversational Information Seeking, abbreviated as DQ-CIS. Specifically, we propose a dual-query generation approach that leverages both open source and closed source LLMs to generate two complementary queries: a full-rewrite query that preserves the context semantics of the conversation and a condensed-rewrite query that emphasizes the core intent of the current query. Additionally, to better express the semantic information of the query, we propose a dual-query joint-encoding method, which enhances the thematic expression of query vectors by treating the dual-query as semantic complementary. A query coverage fine-tuned semantic matching method is also introduced to improve result relevance and ranking by fine-tuning the original retrieval scores by ColBERT. We conducted a number of experiments on seven publicly available conversational retrieval datasets. The results show that compared with other models, DQ-CIS has strong competitiveness in both retrieval efficiency and retrieval results.</t>
  </si>
  <si>
    <t>10.1145/3742423</t>
  </si>
  <si>
    <t>WOS:001552837600001</t>
  </si>
  <si>
    <t>Ha, T</t>
  </si>
  <si>
    <t>Ha, Taehyun</t>
  </si>
  <si>
    <t>Simulating online political discourse using LLMs: A study on social identity and conflict</t>
  </si>
  <si>
    <t>Large language model; Social identity; Online user; Commenting behavior; Simulation</t>
  </si>
  <si>
    <t>Previous studies suggest that social identity is a key concept for understanding online user behavior. Social identity can be reflected in posts, comments, and replies within a community, as users share similar viewpoints and ideas. At the same time, users may engage with content across diverse communities, thereby shaping their own social identity. These two types of social identity are believed to significantly influence users' commenting behavior. However, controlled user studies on this topic remain limited due to methodological challenges. In this study, we leverage recent advances in large language models (LLMs) to address this issue. We collected data from the r/democrats and r/republican subreddits, obtaining a total of 20,764 posts to assign social identities to LLMs. A sample of 1000 posts was used to simulate users' commenting behavior under different social identity conditions. The results of a series of experiments indicate that social identity significantly affects commenting behavior and that greater diversity in social identity reduces negative responses. The implications of these findings are discussed in detail.</t>
  </si>
  <si>
    <t>10.1016/j.ipm.2025.104461</t>
  </si>
  <si>
    <t>WOS:001611008300001</t>
  </si>
  <si>
    <t>Cruzes, S</t>
  </si>
  <si>
    <t>Cruzes, Sergio</t>
  </si>
  <si>
    <t>Revolutionizing optical networks: The integration and impact of large language models</t>
  </si>
  <si>
    <t>OPTICAL SWITCHING AND NETWORKING</t>
  </si>
  <si>
    <t>Optical networks; Network automation; Large language models; Digital twins</t>
  </si>
  <si>
    <t>FAILURE MANAGEMENT; DIGITAL TWIN; MACHINE</t>
  </si>
  <si>
    <t>The increasing complexity and scale of optical networks demand advanced automation frameworks capable of adapting to dynamic service requirements, physical-layer impairments, and multi-vendor environments. Traditional solutions-based on static rule sets or narrowly scoped machine learning models-struggle to manage real-time performance, heterogeneous data, and domain-specific variability. Large Language Models (LLMs), built on transformer architectures, offer a paradigm shift by enabling context-aware reasoning, multitask generalization, and natural language interpretation. These models can automate configuration generation, fault diagnosis, alarm correlation, and routing and spectrum assignment (RSA), while enhancing Quality of Transmission (QoT) estimation and scenario modeling. This article provides a comprehensive survey of current automation approaches in optical networks, including software-defined networking (SDN), intent-based networking (IBN), machine learning (ML)-based orchestration, and cognitive control architectures. Special attention is given to emerging paradigms that integrate LLMs for intent interpretation, fault analysis, configuration generation, and reasoning. Building on these foundations, we propose a hybrid framework that integrates LLMs with Digital Twin (DT) technologies to enable closed-loop control, predictive optimization, and explainable, intent-driven decision-making. Telemetry streams feed both DT simulations and LLM-based reasoning agents, supporting proactive reconfiguration and fault mitigation. To address LLM limitations-such as hallucinations and inference latency -the framework incorporates prompt engineering, retrieval-augmented generation (RAG), domain-specific fine-tuning, and simulation-based validation. The proposed architecture paves the way for resilient, autonomous, and sustainable optical networks that can self-optimize and adapt in real time.</t>
  </si>
  <si>
    <t>1573-4277</t>
  </si>
  <si>
    <t>1872-9770</t>
  </si>
  <si>
    <t>10.1016/j.osn.2025.100812</t>
  </si>
  <si>
    <t>Computer Science; Optics; Telecommunications</t>
  </si>
  <si>
    <t>WOS:001523166900001</t>
  </si>
  <si>
    <t>Dale, R</t>
  </si>
  <si>
    <t>Dale, Robert</t>
  </si>
  <si>
    <t>Navigating the text generation revolution: Traditional data-to-text NLG companies and the rise of ChatGPT</t>
  </si>
  <si>
    <t>NATURAL LANGUAGE ENGINEERING</t>
  </si>
  <si>
    <t>Natural language generation; Automated writing assistance</t>
  </si>
  <si>
    <t>Since the release of ChatGPT at the end of November 2022, generative AI has been talked about endlessly in both the technical press and the mainstream media. Large language model technology has been heralded as many things: the disruption of the search engine, the end of the student essay, the bringer of disinformation horizontal ellipsis but what does it mean for commercial providers of earlier iterations of natural language generation technology? We look at how the major players in the space are responding, and where things might go in the future.</t>
  </si>
  <si>
    <t>1351-3249</t>
  </si>
  <si>
    <t>1469-8110</t>
  </si>
  <si>
    <t>10.1017/S1351324923000347</t>
  </si>
  <si>
    <t>Computer Science; Linguistics</t>
  </si>
  <si>
    <t>WOS:001032435400011</t>
  </si>
  <si>
    <t>Rezaei, E; Mosallanezhad, B</t>
  </si>
  <si>
    <t>Rezaei, Esmaeil; Mosallanezhad, Behzad</t>
  </si>
  <si>
    <t>Identifying social concerns in virtual reality technology through text mining and large language models, and prioritizing them with the fuzzy hierarchized analytic network process</t>
  </si>
  <si>
    <t>Virtual reality; Latent semantic analysis; Hierarchized analytic network process; Large language models; Text mining; Multi-criteria decision making; Multi-attribute decision making</t>
  </si>
  <si>
    <t>LATENT SEMANTIC ANALYSIS; EMERGING TECHNOLOGIES; INFORMATION; FORESIGHT; IMPACTS; SYSTEMS</t>
  </si>
  <si>
    <t>Virtual reality technology has rapidly gained popularity as an entertainment medium, drawing interest from diverse age groups. However, its widespread adoption depends on effectively addressing public concerns and achieving market acceptance. While some studies have acknowledged these concerns, a significant gap persists in comprehensive research that incorporates both individual and expert perspectives. Consequently, certain underlying social issues related to virtual reality systems remain unexplored and unprioritized. To address this gap, this paper proposes a methodology that utilizes Latent Semantic Analysis (LSA) to identify and assess social concerns from various sources, including user perspectives. Large Language Models (LLMs) assist in retrieving relevant chunks of articles during analysis, enhancing data quality. Furthermore, we introduce a novel decision-making tool, the Hierarchized Analytic Network Process (HANP) and its fuzzy form, to effectively rank these concerns. This approach addresses a limitation of the traditional Analytic Network Process (ANP), which can overemphasize dependent attributes, potentially leading to zero-weighted, less important attributes and making comparisons impossible. By prioritizing social concerns based on their significance, our approach aims to facilitate broader social acceptance of virtual reality technologies among the general public. To further demonstrate the advantages of our proposed approach, the results obtained from F-HANP (in situations where fuzzy judgments are available) and HANP are compared with other popular decision-making methods.</t>
  </si>
  <si>
    <t>10.1016/j.compeleceng.2024.109770</t>
  </si>
  <si>
    <t>WOS:001361506200001</t>
  </si>
  <si>
    <t>Mohammed, TAS</t>
  </si>
  <si>
    <t>Mohammed, Tawffeek A. S.</t>
  </si>
  <si>
    <t>Evaluating Translation Quality: A Qualitative and Quantitative Assessment of Machine and LLM-Driven Arabic-English Translations</t>
  </si>
  <si>
    <t>machine translation (MT); large language models (LLMs); neural-based; rule-based; translation quality assessment (TQA); Google Translate; ChatGPT; Arabic; English; metrics</t>
  </si>
  <si>
    <t>This study investigates translation quality between Arabic and English, comparing traditional rule-based machine translation systems, modern neural machine translation tools such as Google Translate, and large language models like ChatGPT. The research adopts both qualitative and quantitative approaches to assess the efficacy, accuracy, and contextual fidelity of translations. It particularly focuses on the translation of idiomatic and colloquial expressions as well as technical texts and genres. Using well-established evaluation metrics such as bilingual evaluation understudy (BLEU), translation error rate (TER), and character n-gram F-score (chrF), alongside the qualitative translation quality assessment model proposed by Juliane House, this study investigates the linguistic and semantic nuances of translations generated by different systems. This study concludes that although metric-based evaluations like BLEU and TER are useful, they often fail to fully capture the semantic and contextual accuracy of idiomatic and expressive translations. Large language models, particularly ChatGPT, show promise in addressing this gap by offering more coherent and culturally aligned translations. However, both systems demonstrate limitations that necessitate human post-editing for high-stakes content. The findings support a hybrid approach, combining machine translation tools with human oversight for optimal translation quality, especially in languages with complex morphology and culturally embedded expressions like Arabic.</t>
  </si>
  <si>
    <t>MAY 26</t>
  </si>
  <si>
    <t>10.3390/info16060440</t>
  </si>
  <si>
    <t>WOS:001517574800001</t>
  </si>
  <si>
    <t>Hu, Z; Pan, YS; Li, ZT; Huang, JM; Nakagawa, S; Deng, JW; Cai, SM; Ren, FJ</t>
  </si>
  <si>
    <t>Hu, Zheng; Pan, Yongsen; Li, Zetao; Huang, Jiaming; Nakagawa, Satoshi; Deng, Jiawen; Cai, Shimin; Ren, Fuji</t>
  </si>
  <si>
    <t>Retrieval-enhanced, Adaptively Collaborative, and Temporal-aware user behavior comprehension for LLM-based sequential recommendation</t>
  </si>
  <si>
    <t>Sequential recommendation; Large language model; User behavior understanding; Sequential recommendation; Large language model; User behavior understanding</t>
  </si>
  <si>
    <t>The rapid advancement of large language models (LLMs) presents new opportunities for recommender systems. However, LLM-based sequential recommenders often struggle to extract effective user interest signals from long and complex behavior sequences, leading to the sequential behavior incomprehension problem. To address this, we propose Retrieval-enhanced Adaptive Collaborative-and Temporal-aware user behavior comprehension (ReACT), a retrieval-augmented framework that empowers LLMs to better model user interests. ReACT introduces: (i) Temporal Pointwise Mutual Information (TPMI), which integrates temporal and collaborative signals to retrieve relevant historical behaviors; and (ii) Adaptive User Behavior Retrieval (AUBR), which dynamically selects the most informative user behaviors for each recommendation. Extensive experiments on three real-world datasets (MovieLens-1M, Amazon-Book, and MovieLens-100K) demonstrate that ReACT achieves competitive performance while utilizing only approximately 20% of the average user sequence and 5% of the training data. An LLMas-judger evaluation across three datasets demonstrates that our method achieves the highest selection ratios (78%, 64%, and 64%, respectively), showing that the user behaviors retrieved by ReACT are the most informative and interpretable for LLM-based user behavior comprehension.1</t>
  </si>
  <si>
    <t>10.1016/j.ipm.2025.104354</t>
  </si>
  <si>
    <t>WOS:001565179300001</t>
  </si>
  <si>
    <t>Feng, B; Liu, ZQ; Huang, NL; Xiao, ZP; Zhang, HM; Mirzoyan, S; Xu, HW; Hao, JR; Xu, YH; Zhang, M; Wang, S</t>
  </si>
  <si>
    <t>Feng, Bin; Liu, Zequn; Huang, Nanlan; Xiao, Zhiping; Zhang, Haomiao; Mirzoyan, Srbuhi; Xu, Hanwen; Hao, Jiaran; Xu, Yinghui; Zhang, Ming; Wang, Sheng</t>
  </si>
  <si>
    <t>A bioactivity foundation model using pairwise meta-learning</t>
  </si>
  <si>
    <t>NATURE MACHINE INTELLIGENCE</t>
  </si>
  <si>
    <t>DRUG DISCOVERY; PREDICTION; QSAR</t>
  </si>
  <si>
    <t>The bioactivity of compounds plays an important role in drug development and discovery. Existing machine learning approaches have poor generalizability in bioactivity prediction due to the small number of compounds in each assay and incompatible measurements among assays. In this paper, we propose ActFound, a bioactivity foundation model trained on 1.6 million experimentally measured bioactivities and 35,644 assays from ChEMBL. The key idea of ActFound is to use pairwise learning to learn the relative bioactivity differences between two compounds within the same assay to circumvent the incompatibility among assays. ActFound further exploits meta-learning to jointly optimize the model from all assays. On six real-world bioactivity datasets, ActFound demonstrates accurate in-domain prediction and strong generalization across assay types and molecular scaffolds. We also demonstrate that ActFound can be used as an accurate alternative to the leading physics-based computational tool FEP+(OPLS4) by achieving comparable performance when using only a few data points for fine-tuning. Our promising results indicate that ActFound could be an effective bioactivity foundation model for compound bioactivity prediction, paving the way for machine-learning-based drug development and discovery. Traditional machine learning methods for drug development struggle with bioactivity prediction due to the limited number of compounds in each assay and assay incompatibilities. Feng et al. developed ActFound, a bioactivity foundation model trained by pairwise learning and meta-learning, that improves the accuracy and generalization of bioactivity prediction.</t>
  </si>
  <si>
    <t>2522-5839</t>
  </si>
  <si>
    <t>10.1038/s42256-024-00876-w</t>
  </si>
  <si>
    <t>AUG 2024</t>
  </si>
  <si>
    <t>WOS:001290666200001</t>
  </si>
  <si>
    <t>Hu, LT; Wang, ZT; Zhu, JY; Hu, YF; Wang, XB</t>
  </si>
  <si>
    <t>Hu, Lingtong; Wang, Zituo; Zhu, Jiayi; Hu, Yifan; Wang, Xianbing</t>
  </si>
  <si>
    <t>MAGE-fend: Multimodal adaptive fusion with guidance from LLM expertise for fake news detection on short video platforms</t>
  </si>
  <si>
    <t>Fake news detection; Multimodal analysis; Cross-modal fusion; Large language models; Short-video platforms; Pandemic misinformation</t>
  </si>
  <si>
    <t>The proliferation of fake news on short-video social media platforms presents significant challenges to public awareness and social stability. While prior research has largely concentrated on text-image fake news, fake news in video format remains underexplored due to limited dataset availability and the complexities of multimodal analytical techniques. To bridge these gaps, we introduce TikCron, a large-scale, open-source dataset of short videos collected from Douyin (TikTok China). TikCron provides news videos and rich social context, specifically curated for studying pandemic-related misinformation in the health and political domains. Furthermore, we propose MAGE-fend (Multimodal Adaptive Fusion Guided by LLM Expertise), a novel framework that utilizes Large Language Models (LLMs) to extract high-level semantic information from images and provide inferential reasoning to enhance fake news detection. MAGE-fend integrates an adaptive attention-based fusion mechanism to dynamically integrate multiple modalities, effectively capturing cross-modal consistency and complementary cues. Comprehensive experiments conducted on the TikCron dataset and the publicly available FakeSV dataset demonstrate that MAGE-fend outperforms state-of-the-art methods in various evaluation metrics. This detection framework makes a substantial contribution to addressing potential future pandemic misinformation crises.</t>
  </si>
  <si>
    <t>10.1016/j.knosys.2025.114298</t>
  </si>
  <si>
    <t>WOS:001564403800001</t>
  </si>
  <si>
    <t>Wang, QL; Erqsous, M; Barner, KE; Mauriello, ML</t>
  </si>
  <si>
    <t>Wang, Qile; Erqsous, Moath; Barner, Kenneth e.; Mauriello, Matthew louis</t>
  </si>
  <si>
    <t>LATA: A Pilot Study on LLM-Assisted Thematic Analysis of Online Social Network Data Generation Experiences</t>
  </si>
  <si>
    <t>Online Social Networks; Data Collection; Thematic Analysis; Inductive Coding; Large Language Models (LLMs); ChatGPT; Google Gemini</t>
  </si>
  <si>
    <t>MEDIA DATA; OPPORTUNITIES; RELIABILITY; CHALLENGES; ANALYTICS</t>
  </si>
  <si>
    <t>Large Language Models (LLMs) have gained attention in research and industry, aiming to streamline processes and enhance text analysis performance. Thematic Analysis (TA), a prevalent qualitative method for analyzing interview content, often requires at least two human experts to review and analyze data. This study demonstrates the feasibility of LLM-Assisted Thematic Analysis (LATA) using GPT-4 and Gemini. Specifically, we conducted semi-structured interviews with 14 researchers to gather insights on their experiences generating and analyzing Online Social Network (OSN) communications datasets. Following Braun and Clarke's six-phase TA framework with an inductive approach, we initially analyzed our interview transcripts with human experts. Subsequently, we iteratively designed prompts to guide LLMs through a similar process. We compare and discuss the manually analyzed outcomes with responses generated by LLMs and achieve a cosine similarity score up to 0.76, demonstrating a promising prospect for LATA. Additionally, the study delves into researchers' experiences navigating the complexities of collecting and analyzing OSN data, offering recommendations for future research and application designers.</t>
  </si>
  <si>
    <t>CSCW124</t>
  </si>
  <si>
    <t>10.1145/3711022</t>
  </si>
  <si>
    <t>WOS:001550403100007</t>
  </si>
  <si>
    <t>Lin, XS; Chen, WQ; Zhou, Z; Li, JH; Zhao, YM; Zhang, XY</t>
  </si>
  <si>
    <t>Lin, Xusheng; Chen, Weiqiang; Zhou, Zheng; Li, Jinhua; Zhao, Yiman; Zhang, Xiyang</t>
  </si>
  <si>
    <t>A five-dimensional digital twin framework driven by large language models-enhanced RL for CNC systems</t>
  </si>
  <si>
    <t>Digital twin; Reinforcement learning; CNC system; Large language models</t>
  </si>
  <si>
    <t>OPC UA; MANAGEMENT; DESIGN</t>
  </si>
  <si>
    <t>In response to the growing demand for intelligence and digitalization in computer numerical control (CNC) systems, particularly in virtual debugging, performance evaluation, and machining quality optimization within the manufacturing sector, this study explores the mapping process from physical entities in the physical space to twin entities in the digital twin space. It further delves into the data transmission layer that represents the physical mechanisms of these entities. By constructing multi-layered models, digital twin technology facilitates the virtual simulation and personalized services of multi-layer coupled units in CNC systems. However, given the complexity and diversity of internal units in CNC systems, traditional CNC machining systems remain overly reliant on human expertise, while existing digital twin frameworks lack effective representation and efficient optimization methods tailored to the CNC field. This paper proposes a novel five-dimensional framework for digital twins in CNC systems to address these challenges, driven by large language models- assisted enhanced reinforcement learning. The framework leverages the advantages of digital twin technology in dynamic process management and reinforcement learning in intelligent analysis and decision-making. It comprises five key layers: the physical entity layer, the virtual entity layer, the intelligent decision-making layer, the data transmission layer, and the real-time computation layer. It also encompasses multi-domain modeling, including information models, mechanism models, and digital threads, and explores how large language models (LLM) can assist and enhance reinforcement learning in CNC applications. Finally, the study applies the framework to the tool-axis vector planning problem in CNC systems, positioning the LLM as an indirect decision-maker within reinforcement learning. Experimental results demonstrate that integrating LLM-enhanced reinforcement learning algorithms within the CNC system's digital twin framework effectively reduces tool-axis vector variation rates, thereby decreasing collision interference incidents during machining. To some extent, the proposed digital twin framework's effectiveness has been validated, providing a valuable approach for the advancement of the CNC system field.</t>
  </si>
  <si>
    <t>10.1016/j.rcim.2025.103009</t>
  </si>
  <si>
    <t>WOS:001446545000001</t>
  </si>
  <si>
    <t>Vachatimanont, S; Kingpetch, K</t>
  </si>
  <si>
    <t>Vachatimanont, Sira; Kingpetch, Kanaungnit</t>
  </si>
  <si>
    <t>Exploring the capabilities and limitations of large language models in nuclear medicine knowledge with primary focus on GPT-3.5, GPT-4 and Google Bard</t>
  </si>
  <si>
    <t>Nuclear medicine; artificial intelligence; ChatGPT; Bard; large language model (LLM)</t>
  </si>
  <si>
    <t>Although large language models (LLMs) represent a technological advancement with the potential to transform online information search and retrieval, the possibility of them generating false information has led to significant concerns. This pilot study assessed the accuracy of three prominent LLMs-GPT-3.5, GPT-4, and Bard-in answering nuclear medicine-related medical questions relevant to the levels of medical students and general practitioners. We tested each LLM with 20 questions, presented in a four-choice single best-answer format as prompts for the LLMs, and assessed their accuracies using correct response rates. The questions varied in their complexity, encompassing the remember level, the understand level, and the apply level of Bloom's cognitive taxonomy. Our results showed a correct response rate of 85.0% for GPT-3.5, 95.0% for GPT-4, and 90.0% for Bard. The question answered incorrectly by the LLMs included not only questions in the apply level, but also those in the more basic understand level and the remember level. This result suggests that LLMs were not yet able to correctly answer all nuclear medicine questions at the level of medical students and general practitioners. This could imply that caution should be exercised when using LLMs as a tool for retrieving medical information related to nuclear medicine.</t>
  </si>
  <si>
    <t>MAR 30</t>
  </si>
  <si>
    <t>10.21037/jmai-23-180</t>
  </si>
  <si>
    <t>WOS:001538057400033</t>
  </si>
  <si>
    <t>Cao, MD; Wang, QW; Zhang, XY; Liang, ZR; Qiu, JH; Yung, PSH; Ong, MTY</t>
  </si>
  <si>
    <t>Cao, Mingde; Wang, Qianwen; Zhang, Xueyou; Liang, Zuru; Qiu, Jihong; Yung, Patrick Shu-Hang; Ong, Michael Tim-Yun</t>
  </si>
  <si>
    <t>Large language models' performances regarding common patient questions about osteoarthritis: A comparative analysis of ChatGPT-3.5, ChatGPT-4.0, and Perplexity</t>
  </si>
  <si>
    <t>JOURNAL OF SPORT AND HEALTH SCIENCE</t>
  </si>
  <si>
    <t>Large language models; Osteoarthritis; Primary care</t>
  </si>
  <si>
    <t>KNEE OSTEOARTHRITIS; HIP</t>
  </si>
  <si>
    <t>Background: Large Language Models (LLMs) have gained much attention and, in part, have replaced common search engines as a popular channel for obtaining information due to their contextually relevant responses. Osteoarthritis (OA) is a common topic in skeletal muscle disorders, and patients often seek information about it online. Our study evaluated the ability of 3 LLMs (ChatGPT-3.5, ChatGPT-4.0, and Perplexity) to accurately answer common OA-related queries. Methods: We defined 6 themes (pathogenesis, risk factors, clinical presentation, diagnosis, treatment and prevention, and prognosis) based on a generalization of 25 frequently asked questions about OA. Three consultant-level orthopedic specialists independently rated the LLMs' replies on a 4-point accuracy scale. The final ratings for each response were determined using a majority consensus approach. Responses classified as satisfactory were evaluated for comprehensiveness on a 5-point scale. Results: ChatGPT-4.0 demonstrated superior accuracy, with 64% of responses rated as excellent, compared to 40% for ChatGPT-3.5 and 28% for Perplexity (Pearson's x2 test with Fisher's exact test, all p &lt; 0.001). All 3 LLM-chatbots had high mean comprehensiveness ratings (Perplexity = 3.88; ChatGPT-4.0 = 4.56; ChatGPT-3.5 = 3.96, out of a maximum score of 5). The LLM-chatbots performed reliably across domains, except for treatment and prevention However, ChatGPT-4.0 still outperformed ChatGPT-3.5 and Perplexity, garnering 53.8% excellent ratings (Pearson's x2 test with Fisher's exact test, all p &lt; 0.001). Conclusion: Our findings underscore the potential of LLMs, specifically ChatGPT-4.0 and Perplexity, to deliver accurate and thorough responses to OA-related queries. Targeted correction of specific misconceptions to improve the accuracy of LLMs remains crucial.</t>
  </si>
  <si>
    <t>2095-2546</t>
  </si>
  <si>
    <t>2213-2961</t>
  </si>
  <si>
    <t>10.1016/j.jshs.2024.101016</t>
  </si>
  <si>
    <t>Social Sciences - Other Topics; Sport Sciences</t>
  </si>
  <si>
    <t>WOS:001523208500001</t>
  </si>
  <si>
    <t>Lv, H; Pu, C; Duo, L; Li, Y; Zhou, QG; Shen, J</t>
  </si>
  <si>
    <t>Lv, Hui; Pu, Chi; Duo, La; Li, Yan; Zhou, Qingguo; Shen, Jun</t>
  </si>
  <si>
    <t>T-LLaMA: a Tibetan large language model based on LLaMA2</t>
  </si>
  <si>
    <t>COMPLEX &amp; INTELLIGENT SYSTEMS</t>
  </si>
  <si>
    <t>Large language model; Tibetan; Low-resource languages; Text classification</t>
  </si>
  <si>
    <t>The advent of ChatGPT and GPT-4 has generated substantial interest in large language model (LLM) research, showcasing remarkable performance in various applications such as conversation systems, machine translation, and research paper summarization. However, their efficacy diminishes when applied to low-resource languages, particularly in academic research contexts like Tibetan. In this study, we trained Tibetan LLaMA (T-LLaMA), a model based on efficient pre-training technology for three downstream tasks: text classification, news text generation and automatic text summarization. To address the lack of corpus, we constructed a Tibetan dataset comprising 2.2 billion characters. Furthermore, we augmented the vocabulary of LLaMA2 from META AI by expanding the Tibetan vocabulary using SentencePiece. Notably, the text classification task attains a state-of-the-art (SOTA) accuracy of 79.8% on a publicly available dataset Tibetan News Classification Corpus. In addition, manual review of 500 generated samples indicates satisfactory results in both news text generation and text summarization tasks. To our knowledge, T-LLaMA stands as the first large-scale language model in Tibetan natural language processing (NLP) with parameters in the billion range. We openly provide our trained models, anticipating that this contribution not only fills gaps in the Tibetan large-scale language model domain but also serves as foundational models for researchers with limited computational resources in the Tibetan NLP community. The T-LLaMA model is available at https://huggingface.co/Pagewood/T-LLaMA.</t>
  </si>
  <si>
    <t>2199-4536</t>
  </si>
  <si>
    <t>2198-6053</t>
  </si>
  <si>
    <t>DEC 19</t>
  </si>
  <si>
    <t>10.1007/s40747-024-01641-7</t>
  </si>
  <si>
    <t>WOS:001380505300004</t>
  </si>
  <si>
    <t>Dang, SA; Melfi, M; Gary, PJ</t>
  </si>
  <si>
    <t>Dang, Sana; Melfi, Michelle; Gary, Phillip J.</t>
  </si>
  <si>
    <t>Evaluating the accuracy of large language models in pulmonary medicine scientific writing</t>
  </si>
  <si>
    <t>Artificial intelligence (AI); large language models (LLMs); pulmonary medicine</t>
  </si>
  <si>
    <t>Background: Large language models (LLMs) have vast potential applications in healthcare across the clinical, educational, and research settings. The tendency of these models to fabricate plausible sounding but factually incorrect information is referred to as artificial hallucination and is a significant limitation to their use. Studies evaluating the accuracy of these models in scientific writing across various subspecialties have demonstrated a variable yet alarming frequency of hallucinations in LLM generated output. This study aimed to evaluate the accuracy of LLMs in scientific writing specific to the field of pulmonary medicine. Methods: Five commonly encountered conditions relevant to pulmonary medicine were selected: asthma, chronic obstructive pulmonary disease, interstitial lung disease, pneumonia, and lung adenocarcinoma. A new artificial intelligence (AI) chatbot in Google Gemini was tasked with providing ten research articles for each condition with complete citations, which were then appraised by comparing them to the original articles for accuracy by two independent reviewers using the search tool on Google and PubMed for verification. Results: A high degree of agreement was observed between reviewers (kappa=0.9277). Of the 50 total citations, only one citation (2%) relevant to pneumonia was found to be completely accurate across all citation components. Article title was found to have the highest accuracy with thirty correct results (60%) while DOI performed the poorest with only two correct results (4%). Conclusions: Only 2% of the citations generated by Google Gemini were found to be completely accurate across all citation components. A high degree of fabrication of plausible sounding but factually incorrect results, or artificial hallucinations, was observed. Thus, continued vigilance and rigorous efforts are necessary to validate the authenticity of responses generated by LLMs, especially as pertains to medical literature.</t>
  </si>
  <si>
    <t>10.21037/jmai-24-287</t>
  </si>
  <si>
    <t>WOS:001532550700028</t>
  </si>
  <si>
    <t>Galamiton, N; Bacus, S; Fuentes, N; Ugang, J; Villarosa, R; Wenceslao, C; Ocampo, L</t>
  </si>
  <si>
    <t>Galamiton, Narcisan; Bacus, Suzette; Fuentes, Noreen; Ugang, Janeth; Villarosa, Rica; Wenceslao, Charldy; Ocampo, Lanndon</t>
  </si>
  <si>
    <t>Predictive Modelling for Sensitive Social Media Contents Using Entropy-FlowSort and Artificial Neural Networks Initialized by Large Language Models</t>
  </si>
  <si>
    <t>INTERNATIONAL JOURNAL OF COMPUTATIONAL INTELLIGENCE SYSTEMS</t>
  </si>
  <si>
    <t>Large language models; Rules-based reasoning; Entropy method; FlowSort; Artificial neural networks</t>
  </si>
  <si>
    <t>CLASSIFICATION; OPTIMIZATION; ALGORITHMS; SECURITY; HYBRID; USERS</t>
  </si>
  <si>
    <t>This work offers an integrated methodological framework that integrates the capabilities of large language models (LLMs), rules-based reasoning, multi-criteria sorting, and artificial neural networks (ANN) in developing a predictive model for classifying the intensity of sensitive social media contents. The current literature lacks a holistic consideration of multiple attributes in evaluating social media contents, and the proposed framework intends to bridge such a gap. Three actions constitute the development of the framework. First, LLMs (i.e., GPT4) evaluate the social media contents under a predefined set of attributes, leveraging the power of LLMs in content analytics. Second, rules-based reasoning and multi-criteria sorting (i.e., entropy-FlowSort) determine the categories of social media contents. Lastly, the two previous actions produced a complete dataset that can be used to train a predictive model using ANN to classify sensitive social media contents. With 1100 randomly extracted social media contents and the predefined categories of violations against community standards set by Facebook, the proposed integrated methodology produces an ANN-based classification model with 86.36% prediction accuracy. Comparative analysis using Decision Trees, k-nearest neighbors, Linear Discriminant Analysis, Random Forest, and Naive Bayes classification yields the highest performance of ANN. The predictive model can be used as a decision-support tool to design moderation actions on social media contents.</t>
  </si>
  <si>
    <t>1875-6891</t>
  </si>
  <si>
    <t>1875-6883</t>
  </si>
  <si>
    <t>OCT 21</t>
  </si>
  <si>
    <t>10.1007/s44196-024-00668-5</t>
  </si>
  <si>
    <t>WOS:001337733400002</t>
  </si>
  <si>
    <t>Jiang, JC; Yan, L; Liu, HF; Xia, ZB; Wang, HT; Yang, Y; Guan, Y</t>
  </si>
  <si>
    <t>Jiang, Jingchi; Yan, Lian; Liu, Haifeng; Xia, Zhenbo; Wang, Haotian; Yang, Yang; Guan, Yi</t>
  </si>
  <si>
    <t>Knowledge assimilation: Implementing knowledge-guided agricultural large language model</t>
  </si>
  <si>
    <t>Large language model; Agricultural knowledge; Agricultural decision-making; Knowledge assimilation; Retrieval augmented</t>
  </si>
  <si>
    <t>Although supervised fine-tuning (SFT) and retrieval-augmented generation (RAG) can help large language models (LLMs) incorporate domain knowledge, they have the following limitations: (1) Data scarcity. There is a severe lack of high-quality data and knowledge bases on dialogue in agriculture. (2) Token-level oversight. Current SFT primarily focuses on fitting general tokens, neglecting agricultural-specific tokens. It leads to omissions of critical information in responses. (3) Sentence-level hurdle. Agricultural queries necessitate sentence-level evidence support from domain knowledge bases, which poses a challenge to precision evidence retrievers. This paper introduces a novel Knowledge-guided Agriculture LLM (KALLM) designed to facilitate multi-task decision-making in agricultural settings. We begin by addressing the data quality issue by establishing an annotation standard and constructing a comprehensive dataset consisting of 220,000 Q&amp;A pairs derived from authoritative agricultural documents. At the token level, we propose a knowledge-coordinated SFT approach that enhances the representation of agriculture-specific tokens by amplifying their significance during the decoding process. At the sentence level, we introduce a self-reflective RAG mechanism based on topic matching to improve the accuracy of evidence retrieval. Experimental results compared with seven competitive open-domain LLMs and the current SFT-RAG pipeline show that our KALLM achieves state-of-theart performance and is significantly superior to existing generation frameworks in terms of response fluency, accuracy, and domain fidelity.</t>
  </si>
  <si>
    <t>APR 8</t>
  </si>
  <si>
    <t>10.1016/j.knosys.2025.113197</t>
  </si>
  <si>
    <t>WOS:001436422800001</t>
  </si>
  <si>
    <t>de Winter, J</t>
  </si>
  <si>
    <t>de Winter, Joost</t>
  </si>
  <si>
    <t>Can ChatGPT be used to predict citation counts, readership, and social media interaction? An exploration among 2222 scientific abstracts</t>
  </si>
  <si>
    <t>Citation prediction; Scientometrics; Altmetrics; ChatGPT; GPT-4; Scientific abstracts; Artificial intelligence</t>
  </si>
  <si>
    <t>This study explores the potential of ChatGPT, a large language model, in scientometrics by assessing its ability to predict citation counts, Mendeley readers, and social media engagement. In this study, 2222 abstracts from PLOS ONE articles published during the initial months of 2022 were analyzed using ChatGPT-4, which used a set of 60 criteria to assess each abstract. Using a principal component analysis, three components were identified: Quality and Reliability, Accessibility and Understandability, and Novelty and Engagement. The Accessibility and Understandability of the abstracts correlated with higher Mendeley readership, while Novelty and Engagement and Accessibility and Understandability were linked to citation counts (Dimensions, Scopus, Google Scholar) and social media attention. Quality and Reliability showed minimal correlation with citation and altmetrics outcomes. Finally, it was found that the predictive correlations of ChatGPT-based assessments surpassed traditional readability metrics. The findings highlight the potential of large language models in scientometrics and possibly pave the way for AI-assisted peer review.</t>
  </si>
  <si>
    <t>10.1007/s11192-024-04939-y</t>
  </si>
  <si>
    <t>WOS:001162583700002</t>
  </si>
  <si>
    <t>Dong, Z; Hu, LY; Chen, JY; Wang, ZH; Wu, F</t>
  </si>
  <si>
    <t>Dong, Zhiang; Hu, Liya; Chen, Jingyuan; Wang, Zhihua; Wu, Fei</t>
  </si>
  <si>
    <t>Comprehend Then Predict: Prompting Large Language Models for Recommendation with Semantic and Collaborative Data</t>
  </si>
  <si>
    <t>Recommender Systems; Large Language Model; Multi-stage; Prompt Tuning; Rating Prediction; Top-N Recommendation</t>
  </si>
  <si>
    <t>Recommender systems primarily utilize user-item interactions (i.e., collaborative information) and auxiliary textual information (i.e., semantic information) to infer user preferences and provide recommendations. With the advancement in large language models (LLMs), attempts have been made to incorporate their remarkable language comprehension capabilities into recommendation tasks. However, existing LLM4Rec methods face challenges in seamlessly integrating both collaborative and semantic information, as there is an inherent gap between these two types of data. Moreover, these methods struggle to capture the finegrained distinctions in user preferences, which are essential in recommendation tasks, due to the loss design of LLMs. To address these issues, we propose a multi-stage prompt-tuning method for leveraging pretrained LLMs in various recommendation tasks, named SCRec. Specifically, SCRec leverages Semantic and Collaborative information as supervision signals in two distinct stages: the semantic prompt-tuning stage and the collaborative prompt-tuning stage. This method breaks down user and item representations into semantic and collaborative perspectives, enabling a pre-trained LLM to first deduce the qualitative preferences of users over items from semantic information, and then generate quantitative recommendations from collaborative information. In addition, we propose a meta-mapping approach to provide personalized mapping functions for encoding collaborative information and integrate a novel numeric-informed head based on MSE loss for LLM in the second stage, which helps to better capture fine-grained distinctions in user preferences. Experiments on three public datasets for rating prediction and top-N recommendation tasks demonstrate that our method surpasses both conventional and LLM-based techniques, showing the strength of sequentially merging semantic and collaborative information in recommendation tasks.</t>
  </si>
  <si>
    <t>10.1145/3716499</t>
  </si>
  <si>
    <t>WOS:001552826800001</t>
  </si>
  <si>
    <t>Forero, DA; Abreu, SE; Tovar, BE; Oermann, MH</t>
  </si>
  <si>
    <t>Forero, Diego A.; Abreu, Sandra E.; Tovar, Blanca E.; Oermann, Marilyn H.</t>
  </si>
  <si>
    <t>Automated analyses of risk of bias and critical appraisal of systematic reviews (ROBIS and AMSTAR 2): a comparison of the performance of 4 large language models</t>
  </si>
  <si>
    <t>evidence-based medicine; generative artificial intelligence; systematic reviews; meta-analysis; risk of bias</t>
  </si>
  <si>
    <t>ARTIFICIAL-INTELLIGENCE</t>
  </si>
  <si>
    <t>Objectives To explore the performance of 4 large language model (LLM) chatbots for the analysis of 2 of the most commonly used tools for the advanced analysis of systematic reviews (SRs) and meta-analyses.Materials and Methods We explored the performance of 4 LLM chatbots (ChatGPT, Gemini, DeepSeek, and QWEN) for the analysis of ROBIS and AMSTAR 2 tools (sample sizes: 20 SRs), in comparison with assessments by human experts.Results Gemini showed the best agreement with human experts for both ROBIS and AMSTAR 2 (accuracy: 58% and 70%). The second best LLM chatbots were ChatGPT and QWEN, for ROBIS and AMSTAR 2, respectively.Discussion Some LLM chatbots underestimated the risk of bias or overestimated the confidence of the results in published SRs, which is compatible with recent articles for other tools.Conclusion This is one of the first studies comparing the performance of several LLM chatbots for the automated analyses of ROBIS and AMSTAR 2.</t>
  </si>
  <si>
    <t>10.1093/jamia/ocaf117</t>
  </si>
  <si>
    <t>WOS:001530994300001</t>
  </si>
  <si>
    <t>Feretzakis, G; Vagena, E; Kalodanis, K; Peristera, P; Kalles, D; Anastasiou, A</t>
  </si>
  <si>
    <t>Feretzakis, Georgios; Vagena, Evangelia; Kalodanis, Konstantinos; Peristera, Paraskevi; Kalles, Dimitris; Anastasiou, Athanasios</t>
  </si>
  <si>
    <t>GDPR and Large Language Models: Technical and Legal Obstacles</t>
  </si>
  <si>
    <t>GDPR; artificial intelligence; large language models; AI Act; LLM; LLMs; data privacy; AI; Legal Obstacles</t>
  </si>
  <si>
    <t>Large Language Models (LLMs) have revolutionized natural language processing but present significant technical and legal challenges when confronted with the General Data Protection Regulation (GDPR). This paper examines the complexities involved in reconciling the design and operation of LLMs with GDPR requirements. In particular, we analyze how key GDPR provisions-including the Right to Erasure, Right of Access, Right to Rectification, and restrictions on Automated Decision-Making-are challenged by the opaque and distributed nature of LLMs. We discuss issues such as the transformation of personal data into non-interpretable model parameters, difficulties in ensuring transparency and accountability, and the risks of bias and data over-collection. Moreover, the paper explores potential technical solutions such as machine unlearning, explainable AI (XAI), differential privacy, and federated learning, alongside strategies for embedding privacy-by-design principles and automated compliance tools into LLM development. The analysis is further enriched by considering the implications of emerging regulations like the EU's Artificial Intelligence Act. In addition, we propose a four-layer governance framework that addresses data governance, technical privacy enhancements, continuous compliance monitoring, and explainability and oversight, thereby offering a practical roadmap for GDPR alignment in LLM systems. Through this comprehensive examination, we aim to bridge the gap between the technical capabilities of LLMs and the stringent data protection standards mandated by GDPR, ultimately contributing to more responsible and ethical AI practices.</t>
  </si>
  <si>
    <t>MAR 28</t>
  </si>
  <si>
    <t>10.3390/fi17040151</t>
  </si>
  <si>
    <t>WOS:001474998600001</t>
  </si>
  <si>
    <t>Asif, S; Hadi, F; Qurrat-ul-ain; Yan, YQ; Wang, VY; Xu, D</t>
  </si>
  <si>
    <t>Asif, Sohaib; Hadi, Fazal; Qurrat-ul-ain; Yan, Yuqi; Wang, Vicky Yang; Xu, Dong</t>
  </si>
  <si>
    <t>The impact of large language models on medical research and patient care: A systematic review of current trends, challenges, and future innovations</t>
  </si>
  <si>
    <t>Large language model (LLM); Medical applications; GPT; Transformer; NLP</t>
  </si>
  <si>
    <t>CHATGPT; LLM; EXTRACTION</t>
  </si>
  <si>
    <t>Large language models (LLMs) are gaining recognition for their sophisticated language processing abilities, which enable them to provide informed responses to open-ended queries. These models are proving to be highly beneficial in the healthcare sector, contributing to areas such as medical communication, optimization of patient data, and surgical planning. The rapid advancement of LLMs has generated extensive research, making it challenging to evaluate their overall impact. A concise review of recent developments is essential to provide clarity in this evolving field. This paper outlines the datasets used in various LLM studies and provides a detailed review of the advancements in medical LLMs, particularly focusing on the requirements and applications in the healthcare domain. It explores 198 relevant publications to assist practitioners and researchers, offering insights into the latest trends in LLM applications across medicine. The paper starts by covering the fundamental aspects of LLMs, including their history, architectures, transformers, and impacts. It then delves into specific medical applications such as medical writing, examinations, education, diagnosis, decision-making, nursing, clinical report generation, and mental health support. The study identifies challenges in deploying LLMs in real-world medical scenarios and provides recommendations for future technical integration. Lastly, it highlights potential research directions for the development of medical LLMs, aiming to meet the evolving needs of the healthcare sector and improve patient outcomes. This review serves as a key resource for future studies, offering pathways to enhance LLM utility in clinical practice.</t>
  </si>
  <si>
    <t>10.1016/j.cosrev.2025.100847</t>
  </si>
  <si>
    <t>WOS:001608307400001</t>
  </si>
  <si>
    <t>Zheng, TM; Meng, FC; Yi, P; Wu, Y</t>
  </si>
  <si>
    <t>Zheng, Tianming; Meng, Fanchao; Yi, Ping; Wu, Yue</t>
  </si>
  <si>
    <t>Automating fuzz driver generation for deep learning libraries with large language models</t>
  </si>
  <si>
    <t>CYBERSECURITY</t>
  </si>
  <si>
    <t>Fuzz driver generation; Large language model; Deep learning library; Vulnerability detection</t>
  </si>
  <si>
    <t>The widespread adoption of deep learning (DL) libraries has raised concerns about their reliability and security. While prior works leveraged large language models (LLMs) to generate test programs for DL library APIs, the hardcoded program behaviors and low code validity rates render them impractical for real-world testing. To address these challenges, we propose FD-FACTORY, a fully automated framework that leverages LLMs to generate fuzz drivers for DL API testing. The fuzz driver programs accept mutated inputs from fuzzing engines to achieve effective code analysis. Inspired by the modular design of industrial production lines, FD-FACTORY decomposes the generation process into eight distinct stages: Preparation, Initial Fuzz Driver Generation, Early Stop Checks, Verification, Issue Diagnosis, Decision Making, Repair Loop, and Deployment. Each stage is handled by dedicated agents or tools to enhance construction efficiency. Experimental results demonstrate that FD-FACTORY achieves 73.67% and 65.33% success rates in generating fuzz drivers for PyTorch and TensorFlow, producing an improvement of 34.66 to -\documentclass[12pt]{minimal} \usepackage{amsmath} \usepackage{wasysym} \usepackage{amsfonts} \usepackage{amssymb} \usepackage{amsbsy} \usepackage{mathrsfs} \usepackage{upgreek} \setlength{\oddsidemargin}{-69pt} \begin{document}$$-$$\end{document} 54.66% than existing approaches. In addition, FD-FACTORY provides more comprehensive coverage tracking by supporting both Python and native C/C++ code. It achieves a total coverage of 308,351 lines on PyTorch and 528,427 lines on TensorFlow, substantially surpassing the results reported by previous approaches. Unlike prior approaches relying on repeated interactions with the LLM servers throughout the entire testing process, our framework confines the use of LLMs strictly to the fuzz driver generation stages before deployment. Once generated, the fuzz drivers can be reused without further LLM involvement, thereby enhancing the practicality and sustainability of LLM-assisted fuzzing in real-world scenarios.</t>
  </si>
  <si>
    <t>2523-3246</t>
  </si>
  <si>
    <t>JAN 4</t>
  </si>
  <si>
    <t>10.1186/s42400-025-00532-9</t>
  </si>
  <si>
    <t>WOS:001652979800005</t>
  </si>
  <si>
    <t>Hani, A; Tagougui, N; Kherallah, M</t>
  </si>
  <si>
    <t>Hani, Ansar; Tagougui, Najiba; Kherallah, Monji</t>
  </si>
  <si>
    <t>Toward Human-Level Understanding: A Systematic Review of Vision-Language Models for Image Captioning</t>
  </si>
  <si>
    <t>INTERNATIONAL ARAB JOURNAL OF INFORMATION TECHNOLOGY</t>
  </si>
  <si>
    <t>Image captioning; vision-language models; multimodal learning; large language models .</t>
  </si>
  <si>
    <t>Large Language Models (LLMs), particularly multimodal LLMs, have significantly enhanced image captioning in recent years, producing output that is more descriptive, detailed, and context-aware. However, differences in architecture and training data lead to captions that vary in length, style, and level of detail, offering flexibility for diverse applications. In this survey, we provide a comprehensive overview and comparative analysis of prominent Vision-Language Models (VLMs) for image captioning, with a focus on their performance in zero-shot settings on the Microsoft Common Objects in Context (MSCOCO) dataset. We evaluate these models using both human assessments (fluency, groundedness, relevance) and automatic metrics Contrastive Language-Image Pretraining Score (CLIPScore). Our findings reveal trade-offs between efficiency and performance, linking architectural decisions to issues such as hallucinations and caption grounding. Beyond benchmarking, we propose a human evaluation to capture nuances like fluency, factual grounding, and stylistic preferences, leading to recommendations for selecting VLMs based on different use cases.</t>
  </si>
  <si>
    <t>1683-3198</t>
  </si>
  <si>
    <t>10.34028/iajit/23/1/8</t>
  </si>
  <si>
    <t>WOS:001664459700008</t>
  </si>
  <si>
    <t>Ulakci, E; Göbel, JP; Huff, M</t>
  </si>
  <si>
    <t>Ulakci, Elanur; Gobel, Jan Pascal; Huff, Markus</t>
  </si>
  <si>
    <t>Towards a psychology of machines: large language models predict human memory</t>
  </si>
  <si>
    <t>Large language models; Generative AI; Ambiguity; Psychology</t>
  </si>
  <si>
    <t>CONTEXT; SENTENCE</t>
  </si>
  <si>
    <t>Large language models (LLMs), such as ChatGPT, have shown remarkable abilities in natural language processing, opening new avenues in psychological research. This study explores whether LLMs can predict human memory performance in tasks involving garden-path sentences and contextual information. In the first part, we used ChatGPT and Google Gemini to rate the relatedness and memorability of garden-path sentences preceded by either fitting or unfitting contexts. In the second part, human participants read the same sentences, rated their relatedness, and completed a surprise memory test. The results demonstrated that ChatGPT and Google Gemini's relatedness ratings closely matched those of the human participants, and their memorability ratings effectively aligned with human memory performance. Both LLM and human data revealed that higher relatedness in the unfitting context condition was associated with better memory performance, aligning with probabilistic frameworks of context-dependent learning. These findings suggest that LLMs, despite lacking human-like memory mechanisms, can model aspects of human cognition and serve as valuable tools in psychological research. The field of machine psychology explores this interplay between human cognition and artificial intelligence, offering a bidirectional approach where LLMs can both benefit from and contribute to our understanding of human cognitive processes.</t>
  </si>
  <si>
    <t>OCT 31</t>
  </si>
  <si>
    <t>e3324</t>
  </si>
  <si>
    <t>10.7717/peerj-cs.3324</t>
  </si>
  <si>
    <t>WOS:001608727700001</t>
  </si>
  <si>
    <t>Fidan, ÖA; Öztürk, E; Kantarci, H</t>
  </si>
  <si>
    <t>Fidan, Ozlem Aydin; Ozturk, Emir; Kantarci, Husein</t>
  </si>
  <si>
    <t>Fake News Detection With Credibility Scoring on Turkish Twitter Data</t>
  </si>
  <si>
    <t>Fake news; Social networking (online); Blogs; Analytical models; Large language models; Deep learning; Accuracy; Adaptation models; Machine learning algorithms; Training; Credibility analysis; deep learning; fake news detection</t>
  </si>
  <si>
    <t>The widespread use of social media tools today has led to a rapid increase in newsworthy data on the internet. Some of the news data may contain inaccurate content, and the repeated sharing of these by users can lead to significant problems. Preventing these problems before they happen is very important today. Automatically detecting data referred to as fake news can help prevent such situations. In this study, fake news detection was performed using deep learning methods on tweets and their credibility scores from a Turkish Twitter news dataset. As a deep learning model, a fine-tuned version of the large language model llama-2-7b, called mohammedbriman/llama-2-7b-chat-turkish-instructions, was used for Turkish instructions. Four models were fine-tuned for four different scenarios, and results were obtained. Additionally, to achieve higher performance, considering the resource needs and response times of large language models, training was also conducted with the smaller language model Phi-3 (Phi-3-mini-4k-instruct) in four scenarios, and the results were analyzed. In the developed models, F1 scores ranged from 0.74 to 0.99. In another study that also used deep learning methods for fake news detection in Turkish, the models achieved F1 scores between 0.828 and 0.947. When comparing the performance of the models we designed with this study, it was concluded that our models performed better. Furthermore, these results show that the developed models are effective in detecting fake news on social media platforms and represent an important step in protecting users from misleading content.</t>
  </si>
  <si>
    <t>10.1109/ACCESS.2025.3594010</t>
  </si>
  <si>
    <t>WOS:001548014300017</t>
  </si>
  <si>
    <t>He, D; Pu, HR; He, JF</t>
  </si>
  <si>
    <t>He, Dong; Pu, Hongrui; He, Jianfeng</t>
  </si>
  <si>
    <t>Venous Thrombosis Risk Assessment Based on Retrieval-Augmented Large Language Models and Self-Validation</t>
  </si>
  <si>
    <t>venous thromboembolism; risk assessment; retrieval-augmented generation; large language models; knowledge base</t>
  </si>
  <si>
    <t>THROMBOEMBOLISM</t>
  </si>
  <si>
    <t>Venous thromboembolism is a disease with high incidence and fatality rate, and the coverage rate of prevention and treatment is insufficient in China. Aiming at the problems of low efficiency, strong subjectivity, and low extraction and utilization of electronic medical record data by traditional evaluation methods, this study proposes a multi-scale adaptive evaluation framework based on retrieval-augmented generation. In this framework, we first optimize the knowledge base construction through entity-context dynamic association and Milvus vector retrieval. Next, the Qwen2.5-7B large language model is fine-tuned with clinical knowledge via Low-Rank Adaptation technology. Finally, a generation-verification closed-loop mechanism is designed to suppress model hallucination. Experiments show that the accuracy of the framework on the Caprini, Padua, Wells, and Geneva scales is 79.56%, 88.32%, 90.51%, and 84.67%, respectively. The comprehensive performance is better than that of clinical expert evaluation, especially in complex cases. The ablation experiments confirmed that the entity-context association and self-verification augmentation mechanism contributed significantly to the improvement in evaluation accuracy. This study not only provides a high-precision, traceable intelligent tool for VTE clinical decision-making, but also validates the technical feasibility, and will further explore multi-modal data fusion and incremental learning to optimize dynamic risk assessment in the future.</t>
  </si>
  <si>
    <t>10.3390/electronics14112164</t>
  </si>
  <si>
    <t>WOS:001505890500001</t>
  </si>
  <si>
    <t>Phillips-Wren, G; Virvou, M</t>
  </si>
  <si>
    <t>Phillips-Wren, Gloria; Virvou, Maria</t>
  </si>
  <si>
    <t>Issues and trends in generative AI technologies for decision making</t>
  </si>
  <si>
    <t>INTELLIGENT DECISION TECHNOLOGIES-NETHERLANDS</t>
  </si>
  <si>
    <t>generative AI; artificial intelligence; decision making; decision support; large language models</t>
  </si>
  <si>
    <t>SUPPORT; FRAMEWORK; SYSTEMS; CANCER</t>
  </si>
  <si>
    <t>Generative AI (GenAI) technologies are examined through the lens of issues and trends related to decision making. After examining the foundations of the technology particularly related to large language models (LLM), opportunities for GenAI to be used in the decision-making process of intelligence, design, choice and implementation are explored. With its ability to rapidly generate insights, present optimized solutions, and provide detailed analysis of given input, the technology has demonstrated that it can assist and augment human decision making. Although GenAI systems have the potential to transform content creation and human cognition, they also raise issues around accuracy, misinformation, ethics, bias, morality, social impacts, privacy, copyright, legality, and explainability, among others. Addressing these challenges is important to maximize the efficacy of GenAI in decision making.</t>
  </si>
  <si>
    <t>1872-4981</t>
  </si>
  <si>
    <t>1875-8843</t>
  </si>
  <si>
    <t>10.1177/18724981251320551</t>
  </si>
  <si>
    <t>WOS:001470103800001</t>
  </si>
  <si>
    <t>Wang, DD; Zhang, SQ</t>
  </si>
  <si>
    <t>Wang, Dandan; Zhang, Shiqing</t>
  </si>
  <si>
    <t>Large language models in medical and healthcare fields: applications, advances, and challenges</t>
  </si>
  <si>
    <t>Large language models; Healthcare applications; Medical question-answering; Electronic health record generation; Clinical health reasoning; Fairness and bias</t>
  </si>
  <si>
    <t>CHATGPT; FRAMEWORK</t>
  </si>
  <si>
    <t>Large language models (LLMs) are increasingly recognized for their advanced language capabilities, offering significant assistance in diverse areas like medical communication, patient data optimization, and surgical planning. Our survey meticulously searched for papers with keywords such as medical, clinical, healthcare, and LLMs across various databases, including ACM and Google Scholar. It sought to delve into the latest trends and applications of LLMs in healthcare, analyzing 175 relevant publications to support both practitioners and researchers in the field. We have compiled 56 experimental datasets, various evaluation methods and reviewed cutting-edge LLMs across tasks. Our comprehensive analysis of LLMs in healthcare applications, including medical question-answering, dialogue summarization, electronic health record generation, scientific research, medical education, medical product safety monitoring, clinical health reasoning, and clinical decision support. Furthermore, we have identified the challenges, including data security, inaccurate information, fairness and bias, plagiarism, copyrights, and accountability, and the potential solutions, namely de-identification framework, references,counterfactually fair prompting,opening and ending control codes, and establishing normative standards,to address these open issues,respectively. The findings of this survey exert a profound impact on spurring innovation in practical applications and addressing inherent challenges within the academic and medical communities.</t>
  </si>
  <si>
    <t>SEP 20</t>
  </si>
  <si>
    <t>10.1007/s10462-024-10921-0</t>
  </si>
  <si>
    <t>WOS:001316533900001</t>
  </si>
  <si>
    <t>Li, SY; Yang, J; Zhao, K; Jia, DQ</t>
  </si>
  <si>
    <t>Li, Siyu; Yang, Jin; Zhao, Kui; Jia, Dongqing</t>
  </si>
  <si>
    <t>Understanding Large Language Model Driven Social Bots: A Behavioral Analysis and Impact Assessment</t>
  </si>
  <si>
    <t>Chatbots; Chirp; Social networking (online); Toxicology; Vectors; Fake news; Engines; Data collection; Training; Human-bot interaction; large language models (LLMs); online social networks (OSNs); social bots; toxic behaviors; toxic behaviors</t>
  </si>
  <si>
    <t>NETWORKS; CHATGPT</t>
  </si>
  <si>
    <t>As the capabilities of large language models (LLMs) emerge, they not only assist in accomplishing traditional tasks within more efficient paradigms but also stimulate the evolution of social bots. Researchers have begun exploring implementation of LLMs as the driving-core of social bots, enabling more efficient and user-friendly completion of tasks such as social behavior decision-making and social content generation. However, there is currently a lack of systematic research on behavioral characteristics of LLMs-driven social bots and their negative impact on social networks. We have curated data from Chirper.ai, a Twitter-like social network populated by LLMs-driven social bots and embarked on an exploratory study. Our findings indicate that: 1) LLMs-driven social bots possess enhanced individual-level camouflage while exhibiting certain collective characteristics; 2) these bots have the ability to exert influence on online communities through toxic behaviors; and 3) existing detection methods are applicable to LLMs-driven social bots but may have certain limitations in effectiveness. Moreover, we organized the data collected in our study into Masquerade-23 dataset, which we have publicly released, thus addressing the data void in subfield of LLMs-driven social bots behavior datasets. Our research outcomes provide primary insights for the research and governance of LLMs-driven social bots within the research community.</t>
  </si>
  <si>
    <t>2025 SEP 29</t>
  </si>
  <si>
    <t>10.1109/TCSS.2025.3605278</t>
  </si>
  <si>
    <t>WOS:001587320000001</t>
  </si>
  <si>
    <t>Pinon, S; Burnay, C; Linden, I; Michel, R</t>
  </si>
  <si>
    <t>Pinon, Sarah; Burnay, Corentin; Linden, Isabelle; Michel, Raphael</t>
  </si>
  <si>
    <t>Database Chatbot Success: User-Centered Design With LLMs</t>
  </si>
  <si>
    <t>JOURNAL OF COMPUTER INFORMATION SYSTEMS</t>
  </si>
  <si>
    <t>Data query support solutions; acceptance; business people; Large Language Models; user study</t>
  </si>
  <si>
    <t>TECHNOLOGY ACCEPTANCE MODEL</t>
  </si>
  <si>
    <t>Natural Language Data Query Solutions present a significant opportunity for business success. They offer unprecedented responsiveness to decision-makers by naturalizing and empowering their interaction with data. However, these solutions face barriers to acceptance among business professionals. The reluctance is due to the system-centered design approach followed. In contrast to user-centered design, this approach does not take into account users' requirements, e.g. system explainability, awareness of the business context and user profile, or data security. Based on a User Study, this paper identifies, through 19 interviews with business professionals and IT experts, the user-centric requirements that drive the adoption of such solutions in the decision-making process. We then propose a generic framework, B2Data, which is aligned with these requirements. B2Data leverages the capabilities of Large Language Models. Finally, the validation of this architecture through technical implementation on medical data and 8 user tests demonstrates both the feasibility and acceptance of B2Data.</t>
  </si>
  <si>
    <t>0887-4417</t>
  </si>
  <si>
    <t>2380-2057</t>
  </si>
  <si>
    <t>2025 FEB 20</t>
  </si>
  <si>
    <t>10.1080/08874417.2025.2467632</t>
  </si>
  <si>
    <t>WOS:001423202400001</t>
  </si>
  <si>
    <t>Yoganarasimhan, H; Iakovetskaia, I</t>
  </si>
  <si>
    <t>Yoganarasimhan, Hema; Iakovetskaia, Irina</t>
  </si>
  <si>
    <t>From Feeds to Inboxes: A Comparative Study of Polarization in Facebook and Email News Sharing</t>
  </si>
  <si>
    <t>polarization; social media; large language models (LLMs); Facebook; news</t>
  </si>
  <si>
    <t>POLITICAL POLARIZATION; MEDIA; ONLINE; OPINION</t>
  </si>
  <si>
    <t>This study explores the polarization of news content shared on Facebook compared with email using data from the New York Times' ' Most Emailed and Most Shared lists over 2.5 years. Employing latent Dirichlet allocation and large language models (LLMs), we find that highly polarized articles are more likely to be shared on Facebook (versus email), even after accounting for factors like topics, emotion, and article age. Additionally, distinct topic preferences emerge, with social issues dominating Facebook shares and lifestyle topics prevalent in emails. Contrary to expectations, political polarization of articles shared on Facebook did not escalate post-2020 election. We introduce a novel approach to measuring polarization of text content that leverages generative artificial intelligence models, like ChatGPT, and it is both scalable and cost effective. This research contributes to the evolving intersection of LLMs, social media, and polarization studies, shedding light on descriptive patterns of content dissemination across different digital channels.</t>
  </si>
  <si>
    <t>10.1287/mnsc.2023.04134</t>
  </si>
  <si>
    <t>WOS:001305260000019</t>
  </si>
  <si>
    <t>Gezdur, A; Bhattacharjya, J</t>
  </si>
  <si>
    <t>Gezdur, Arda; Bhattacharjya, Jyotirmoyee</t>
  </si>
  <si>
    <t>Innovators and transformers: enhancing supply chain employee training with an innovative application of a large language model</t>
  </si>
  <si>
    <t>INTERNATIONAL JOURNAL OF PHYSICAL DISTRIBUTION &amp; LOGISTICS MANAGEMENT</t>
  </si>
  <si>
    <t>Generative AI; Large language model; Education and training; Supply chain innovation; Knowledge management; Process transformation</t>
  </si>
  <si>
    <t>CHATGPT</t>
  </si>
  <si>
    <t>PurposeThe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employees.Design/methodology/approachAn intervention-based research approach is used to implement a novel LLM-based methodology for improving both the training process for new employees and the continuous knowledge acquisition experience for existing staff in the supply chain function of an eyewear company.FindingsThe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feedback.Originality/valueThis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t>
  </si>
  <si>
    <t>0960-0035</t>
  </si>
  <si>
    <t>1758-664X</t>
  </si>
  <si>
    <t>10.1108/IJPDLM-12-2023-0492</t>
  </si>
  <si>
    <t>WOS:001408002600001</t>
  </si>
  <si>
    <t>Li, YL; Xu, JK; Dehghani, A</t>
  </si>
  <si>
    <t>Li, Yilin; Xu, Junke; Dehghani, Alireza</t>
  </si>
  <si>
    <t>A Comprehensive Synthetic Dataset of Simulated RWH User Daily Activities and Preferences</t>
  </si>
  <si>
    <t>COMPUTACION Y SISTEMAS</t>
  </si>
  <si>
    <t>Remote working hubs; synthetic dataset generation; large language models; user behavior simulation</t>
  </si>
  <si>
    <t>The global work environment has experienced a transformation in recent years, which has been greatly accelerated by technological advances and the growing importance placed on the benefits of remote working, such as reduced emissions, time savings and improved mental health. This shift has contributed to the growing popularity of Remote Work Hubs office infrastructures with the flexibility required for modern remote work, catering to a diverse group of people such as entrepreneurs, freelancers and remote workers. This study presents a pioneering approach to Models (LLMs) via APIs to bridge the gap of accessible user data. Leveraging the ability of Large Language Models to generate contextually rich and diverse data, we simulate the nuanced activities and decision-making processes of RWH users. This synthetic dataset sources and advanced model configurations.</t>
  </si>
  <si>
    <t>1405-5546</t>
  </si>
  <si>
    <t>2007-9737</t>
  </si>
  <si>
    <t>10.13053/CyS-28-4-5298</t>
  </si>
  <si>
    <t>WOS:001391250700034</t>
  </si>
  <si>
    <t>Li, JX; Wickman, R; Bhatnagar, S; Maity, RK; Mukherjee, A</t>
  </si>
  <si>
    <t>Li, Junxuan; Wickman, Ryan; Bhatnagar, Sahil; Maity, Raj Kumar; Mukherjee, Arko</t>
  </si>
  <si>
    <t>Abstract Operations Research Modeling Using Natural Language Inputs</t>
  </si>
  <si>
    <t>operations research; automated mathematical programming; large language model</t>
  </si>
  <si>
    <t>Operations research (OR) uses mathematical models to enhance decision making, but developing these models requires expert knowledge and can be time-consuming. Automated mathematical programming (AMP) has emerged to simplify this process, but existing systems have limitations. This paper introduces a novel methodology that uses recent advances in a large language model (LLM) to create and edit abstract OR models from non-expert user queries expressed using natural language. This reduces the need for domain expertise and the time to formulate a problem, and an abstract OR model generated can be deployed to a multi-tenant platform to support a class of users with different input data. This paper presents an end-to-end pipeline, named NL2OR, that generates solutions to OR problems from natural language input, and shares experimental results on several important OR problems.</t>
  </si>
  <si>
    <t>10.3390/info16020128</t>
  </si>
  <si>
    <t>WOS:001430399700001</t>
  </si>
  <si>
    <t>Li, J; Zhou, ZC; Lyu, H; Wang, ZC</t>
  </si>
  <si>
    <t>Li, Jia; Zhou, Zichun; Lyu, Han; Wang, Zhenchang</t>
  </si>
  <si>
    <t>Large language models-powered clinical decision support: enhancing or replacing human expertise?</t>
  </si>
  <si>
    <t>INTELLIGENT MEDICINE</t>
  </si>
  <si>
    <t>Large language models; Clinical decision support; Artificial intelligence; Healthcare</t>
  </si>
  <si>
    <t>This editorial presents an optimistic yet cautious perspective on the development, deployment, and regulation of large language models (LLMs) in the field of medicine. It is essential to strike a balance between embracing the benefits of artificial intelligence-driven solutions and preserving the human touch that is vital for providing compassionate care. The exponential growth of medical data has paved the way for the integration of LLMs into healthcare, offering unprecedented opportunities to enhance clinical decision-making and alleviate physicians' workloads. Recently, LLMs have exhibited remarkable potential across various clinical scenarios, including streamlining diagnostic processes, optimizing radiology reports, and providing personalized treatment recommendations. However, the implementation of LLMs in healthcare is not without its challenges. Issues such as the scarcity of high-quality annotated data, privacy concerns, and the risk of generating misleading or overconfident information are significant hurdles that must be addressed. Moreover, while LLMs can replace certain basic tasks traditionally performed by humans, it is crucial to recognize that senior clinicians play an irreplaceable role in complex decision-making and providing emotional support to patients. By harnessing the power of LLMs to augment human capabilities while maintaining essential human elements within healthcare, we might shape a future where artificial intelligence and human intelligence coexist harmoniously. Prioritizing ethical development and deployment for artificial intelligence, empowering healthcare professionals, and safeguarding patient privacy will be key to realizing the full potential of LLMs in revolutionizing healthcare delivery. Through ongoing research, collaboration, and adaptation, responsible integration of LLMs holds promise for elevating both quality and accessibility globally, ultimately creating a more efficient, personalized, and patient-centric healthcare system.</t>
  </si>
  <si>
    <t>2667-1026</t>
  </si>
  <si>
    <t>10.1016/j.imed.2025.01.001</t>
  </si>
  <si>
    <t>WOS:001431039900001</t>
  </si>
  <si>
    <t>Goli, A; Singh, A</t>
  </si>
  <si>
    <t>Goli, Ali; Singh, Amandeep</t>
  </si>
  <si>
    <t>Frontiers: Can Large Language Models Capture Human Preferences?</t>
  </si>
  <si>
    <t>large language models; intertemporal preferences; decision making; chain of thought; conjoint</t>
  </si>
  <si>
    <t>TIME-PREFERENCES; DISCOUNT RATES; THOUGHT; RISK</t>
  </si>
  <si>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</si>
  <si>
    <t>10.1287/mksc.2023.0306</t>
  </si>
  <si>
    <t>WOS:001215125900001</t>
  </si>
  <si>
    <t>Zhou, JW; Chen, AZ; Shah, DR; Schwab-Reese, LM; De Choudhary, M</t>
  </si>
  <si>
    <t>Zhou, Jiawei; Chen, Amy Z.; Shah, Darshi; Schwab-Reese, Laura M.; De Choudhary, Munmun</t>
  </si>
  <si>
    <t>A Risk Taxonomy and Reflection Tool for Large Language Model Adoption in Public Health</t>
  </si>
  <si>
    <t>large language models; generative AI; public health; risk taxonomy; health informational need; information and communication technology; information seeking and support</t>
  </si>
  <si>
    <t>COMMUNITIES; PATIENT</t>
  </si>
  <si>
    <t>Recent breakthroughs in large language models (LLMs) have generated both interest and concern about their potential adoption as information sources or communication tools across different domains. In public health, where stakes are high and impacts extend across diverse populations, adopting LLMs poses unique challenges that require thorough evaluation. However, structured approaches for assessing potential risks in public health remain under-explored. To address this gap, we conducted focus groups with public health professionals and individuals with lived experience to unpack their concerns, situated across three distinct and critical public health issues that demand high-quality information: infectious disease prevention (vaccines), chronic and wellbeing care (opioid use disorder), and community health and safety (intimate partner violence). We synthesize participants' perspectives into a risk taxonomy, identifying and contextualizing the potential harms LLMs may introduce when positioned alongside traditional health communication. This taxonomy highlights four dimensions of risk to individuals, human-centered care, information ecosystems, and technology accountability. For each dimension, we unpack specific risks and offer example reflection questions to help practitioners adopt a risk-reflexive approach. By summarizing distinctive LLM characteristics and linking them to identified risks, we discuss the need to revisit prior mental models of information behaviors and complement evaluations with external validity and domain expertise through lived experience and real-world practices. Together, this work contributes a shared vocabulary and reflection tool for people in both computing and public health to collaboratively reflect and assess risks in deciding when to employ LLM capabilities (or not) and how to mitigate harm.</t>
  </si>
  <si>
    <t>CSCW363</t>
  </si>
  <si>
    <t>10.1145/3757544</t>
  </si>
  <si>
    <t>WOS:001615125000001</t>
  </si>
  <si>
    <t>Cinkusz, K; Chudziak, JA; Niewiadomska-Szynkiewicz, E</t>
  </si>
  <si>
    <t>Cinkusz, Konrad; Chudziak, Jaroslaw A.; Niewiadomska-Szynkiewicz, Ewa</t>
  </si>
  <si>
    <t>Cognitive Agents Powered by Large Language Models for Agile Software Project Management</t>
  </si>
  <si>
    <t>cognitive agents; large language models; Agile software project management; scaled Agile framework; CogniSim; multi-agent systems</t>
  </si>
  <si>
    <t>This paper investigates the integration of cognitive agents powered by Large Language Models (LLMs) within the Scaled Agile Framework (SAFe) to reinforce software project management. By deploying virtual agents in simulated software environments, this study explores their potential to fulfill fundamental roles in IT project development, thereby optimizing project outcomes through intelligent automation. Particular emphasis is placed on the adaptability of these agents to Agile methodologies and their transformative impact on decision-making, problem-solving, and collaboration dynamics. The research leverages the CogniSim ecosystem, a platform designed to simulate real-world software engineering challenges, such as aligning technical capabilities with business objectives, managing interdependencies, and maintaining project agility. Through iterative simulations, cognitive agents demonstrate advanced capabilities in task delegation, inter-agent communication, and project lifecycle management. By employing natural language processing to facilitate meaningful dialogues, these agents emulate human roles and improve the efficiency and precision of Agile practices. Key findings from this investigation highlight the ability of LLM-powered cognitive agents to deliver measurable improvements in various metrics, including task completion times, quality of deliverables, and communication coherence. These agents exhibit scalability and adaptability, ensuring their applicability across diverse and complex project environments. This study underscores the potential of integrating LLM-powered agents into Agile project management frameworks as a means of advancing software engineering practices. This integration not only refines the execution of project management tasks but also sets the stage for a paradigm shift in how teams collaborate and address emerging challenges. By integrating the capabilities of artificial intelligence with the principles of Agile, the CogniSim framework establishes a foundation for more intelligent, efficient, and adaptable software development methodologies.</t>
  </si>
  <si>
    <t>10.3390/electronics14010087</t>
  </si>
  <si>
    <t>WOS:001393542200001</t>
  </si>
  <si>
    <t>Usman, Y; Oladipupo, H; During, AD; Akl, R; Chataut, R</t>
  </si>
  <si>
    <t>Usman, Yusuf; Oladipupo, Habeeb; During, Adegboyega D.; Akl, Robert; Chataut, Robin</t>
  </si>
  <si>
    <t>AI, ML, and LLM Integration in 5G/6G Networks: A Comprehensive Survey of Architectures, Challenges, and Future Directions</t>
  </si>
  <si>
    <t>Artificial intelligence; 6G mobile communication; 5G mobile communication; 3G mobile communication; Machine learning; Security; Real-time systems; Standards; Prediction algorithms; Large language models; Artificial intelligence (AI); machine learning (ML); large language models (LLMs); 5G networks; 6G networks; intelligent network management; network integration; dynamic resource allocation; AI-enhanced security; self-healing networks; federated learning; privacy-preserving techniques; ethical considerations; adaptive learning systems; hybrid AI architectures</t>
  </si>
  <si>
    <t>LEARNING-BASED FRAMEWORK; RESOURCE-ALLOCATION; WIRELESS NETWORKS; 6G; SECURITY; 5G; MANAGEMENT; INTERNET; COMMUNICATION; OPPORTUNITIES</t>
  </si>
  <si>
    <t>The transition from 5G to 6G networks demands groundbreaking advances in intelligence, adaptability, and security to support emerging applications such as real-time telemedicine, immersive extended reality (XR), and autonomous systems. This article provides a comprehensive analysis of how artificial intelligence (AI), machine learning (ML), and large language models (LLM) are revolutionizing next-generation telecommunications. We present a structured roadmap for integrating these technologies into 6G infrastructure, emphasizing their transformative roles in intelligent network management, dynamic resource allocation, and proactive threat mitigation. By addressing key challenges such as ultralow latency, heterogeneous data handling, and ethical governance, this study bridges theoretical innovations with practical applications. Notable contributions include novel frameworks for AI-enhanced security, self-healing networks, and privacy-preserving techniques like federated learning. Furthermore, we explore critical ethical considerations, including bias mitigation and transparency in AI decision-making, while highlighting emerging research directions such as adaptive learning systems and hybrid AI architectures. This work underscores the synergistic potential of AI and 6G, equipping researchers and industry stakeholders with actionable insights to develop resilient, user-centric networks that will shape the future of global connectivity.</t>
  </si>
  <si>
    <t>10.1109/ACCESS.2025.3608736</t>
  </si>
  <si>
    <t>WOS:001586194400035</t>
  </si>
  <si>
    <t>Aminiranjbar, Z; Tang, JA; Wang, QD; Pant, S; Viswanathan, M</t>
  </si>
  <si>
    <t>Aminiranjbar, Zahra; Tang, Jianan; Wang, Qiudan; Pant, Shubha; Viswanathan, Mahesh</t>
  </si>
  <si>
    <t>DAWN: Designing Distributed Agents in a Worldwide Network</t>
  </si>
  <si>
    <t>Logic gates; Security; Safety; Collaboration; Multi-agent systems; Software development management; Computer architecture; Cognition; Software tools; Large language models; Large language model; AI agents; agentic software development; multi-agent systems; agentic frameworks</t>
  </si>
  <si>
    <t>The rapid evolution of Large Language Models (LLMs) has transformed them from basic conversational tools into sophisticated entities capable of complex reasoning and decision-making. These advancements have led to the development of specialized LLM-based agents designed for diverse tasks such as coding and web browsing. As these agents become more capable, the need for a robust framework that facilitates global agentic communication and collaboration for building sophisticated software solutions has become increasingly important. Distributed Agents in a Worldwide Network (DAWN) addresses this need by providing an architectural framework that allows globally distributed agents of any provenance to be registered, discovered, and organized for building AI-based applications and solutions. In DAWN, a Principal Agent Service composes and oversees the execution of agentic applications. It delegates tasks to one or more Gateway Agent Services that provide for the discovery, registration, and connection of the most suitable agents to fit each application's needs. DAWN offers three operational modes: No-LLM mode for deterministic and classical software development, Copilot for decision-making augmented using AI, and LLM Agent for autonomous operations. Last but not least, DAWN ensures the safety and security of agent collaborations globally through a dedicated safety, security, and compliance layer, protecting the network against attackers and adhering to stringent security and compliance standards. These features make DAWN a robust framework for designing, developing, and deploying agent-based applications across business and consumer applications.</t>
  </si>
  <si>
    <t>10.1109/ACCESS.2025.3588425</t>
  </si>
  <si>
    <t>WOS:001550832200016</t>
  </si>
  <si>
    <t>Yan, ZC; Wang, JP; Chen, JY; Li, XL; Liang, JY; Li, R; Pan, JZ</t>
  </si>
  <si>
    <t>Yan, Zhichao; Wang, Jiapu; Chen, Jiaoyan; Li, Xiaoli; Liang, Jiye; Li, Ru; Pan, Jeff Z.</t>
  </si>
  <si>
    <t>Atomic Fact Decomposition Helps Attributed Question Answering</t>
  </si>
  <si>
    <t>Question answering (information retrieval); Entropy; Electronic mail; Training; Large language models; Data mining; Timing; Symbols; Search engines; Robustness; Attributed question answer; information retrieval; large language models</t>
  </si>
  <si>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Attr(P) for evaluating the precision of evidence attribution.</t>
  </si>
  <si>
    <t>10.1109/TKDE.2025.3608716</t>
  </si>
  <si>
    <t>WOS:001610869600023</t>
  </si>
  <si>
    <t>Khamis, A</t>
  </si>
  <si>
    <t>Khamis, Alaa</t>
  </si>
  <si>
    <t>Agentic AI Systems: Architecture and Evaluation Using a Frictionless Parking Scenario</t>
  </si>
  <si>
    <t>Artificial intelligence; Cognition; Urban areas; Planning; Computer architecture; Real-time systems; Large language models; Entropy; Decision making; Complexity theory; Agentic AI; AI agents; large language models (LLMs); large reasoning models (LRMs); multi-agent system; parking; urban mobility</t>
  </si>
  <si>
    <t>An AI agent is a goal-oriented autonomous computational entity that connects reasoning and action using large language models (LLMs) or Large Reasoning Models (LRMs), memory systems, and external tools to achieve contextually intelligent outcomes. An agentic AI system comprises and coordinates multiple specialized AI agents to achieve complex goals with minimal or no human supervision. In this paper, agentic AI systems are elucidated through a frictionless-parking scenario that illustrates core components of the system, namely the design of individual AI agents, their interaction mechanisms (handoff and cueing), and potential cooperation patterns (augmentative, integrative, and debative). This scenario provides an experimental test-bed for demonstrating how agentic AI can deliver context-aware, personalized services. A six-factor factorial experiment evaluates performance of the implemented AI agents across five user profiles, four GPT backbones, three entropy levels, three verbosity settings, three query complexities, and three prompt specificity levels. To guarantee that each agent's recommendation is both plausible and constraint-compliant, the system combines guardrails, which reject or rewrite answers that violate user requirements, with Chain-of-Thought prompting that exposes intermediate reasoning steps for internal self-checks. Key metrics (agent's response time or latency and lexical consistency) show that a lightweight gpt-4o-mini backbone and concise verbosity minimize latency, while medium prompt specificity and moderate query complexity optimize consistency. Decoding entropy influences stylistic diversity without significant latency costs but reduces consistency at high settings. User intent, particularly for creative or ambiguous profiles, drives variability. A SHAP analysis ranks model size, verbosity, and prompt specificity as top performance drivers.</t>
  </si>
  <si>
    <t>10.1109/ACCESS.2025.3590264</t>
  </si>
  <si>
    <t>WOS:001534557100018</t>
  </si>
  <si>
    <t>Vaid, A; Duong, SQ; Lampert, J; Kovatch, P; Freeman, R; Argulian, E; Croft, L; Lerakis, S; Goldman, M; Khera, R; Nadkarni, GN</t>
  </si>
  <si>
    <t>Vaid, Akhil; Duong, Son Q.; Lampert, Joshua; Kovatch, Patricia; Freeman, Robert; Argulian, Edgar; Croft, Lori; Lerakis, Stamatios; Goldman, Martin; Khera, Rohan; Nadkarni, Girish N.</t>
  </si>
  <si>
    <t>Local large language models for privacy-preserving accelerated review of historic echocardiogram reports</t>
  </si>
  <si>
    <t>large language models; LLM; privacy; generative AI; echocardiograms; open-source</t>
  </si>
  <si>
    <t>Objectives The study developed framework that leverages an open-source Large Language Model (LLM) to enable clinicians to ask plain-language questions about a patient's entire echocardiogram report history. This approach is intended to streamline the extraction of clinical insights from multiple echocardiogram reports, particularly in patients with complex cardiac diseases, thereby enhancing both patient care and research efficiency.Materials and Methods Data from over 10 years were collected, comprising echocardiogram reports from patients with more than 10 echocardiograms on file at the Mount Sinai Health System. These reports were converted into a single document per patient for analysis, broken down into snippets and relevant snippets were retrieved using text similarity measures. The LLaMA-2 70B model was employed for analyzing the text using a specially crafted prompt. The model's performance was evaluated against ground-truth answers created by faculty cardiologists.Results The study analyzed 432 reports from 37 patients for a total of 100 question-answer pairs. The LLM correctly answered 90% questions, with accuracies of 83% for temporality, 93% for severity assessment, 84% for intervention identification, and 100% for diagnosis retrieval. Errors mainly stemmed from the LLM's inherent limitations, such as misinterpreting numbers or hallucinations.Conclusion The study demonstrates the feasibility and effectiveness of using a local, open-source LLM for querying and interpreting echocardiogram report data. This approach offers a significant improvement over traditional keyword-based searches, enabling more contextually relevant and semantically accurate responses; in turn showing promise in enhancing clinical decision-making and research by facilitating more efficient access to complex patient data.</t>
  </si>
  <si>
    <t>2024 APR 30</t>
  </si>
  <si>
    <t>10.1093/jamia/ocae085</t>
  </si>
  <si>
    <t>WOS:001209699500001</t>
  </si>
  <si>
    <t>Tihanyi, N; Bisztray, T; Ferrag, MA; Jain, R; Cordeiro, LC</t>
  </si>
  <si>
    <t>Tihanyi, Norbert; Bisztray, Tamas; Ferrag, Mohamed Amine; Jain, Ridhi; Cordeiro, Lucas C.</t>
  </si>
  <si>
    <t>How secure is AI-generated code: a large-scale comparison of large language models</t>
  </si>
  <si>
    <t>EMPIRICAL SOFTWARE ENGINEERING</t>
  </si>
  <si>
    <t>Large language models; Vulnerability classification; Formal verification; Software security; Artificial intelligence; Dataset</t>
  </si>
  <si>
    <t>CHECKING</t>
  </si>
  <si>
    <t>This study compares state-of-the-art Large Language Models (LLMs) on their tendency to generate vulnerabilities when writing C programs using a neutral zero-shot prompt. Tihanyi et al. introduced the FormAI dataset at PROMISE '23, featuring 112,000 C programs generated by GPT-3.5-turbo, with over 51.24% identified as vulnerable. We extended that research with a large-scale study involving 9 state-of-the-art models such as OpenAI's GPT-4o-mini, Google's Gemini Pro 1.0, TII's 180 billion-parameter Falcon, Meta's 13 billion-parameter Code Llama, and several other compact models. Additionally, we introduce the FormAI-v2 dataset, which comprises 331 000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</si>
  <si>
    <t>1382-3256</t>
  </si>
  <si>
    <t>1573-7616</t>
  </si>
  <si>
    <t>DEC 21</t>
  </si>
  <si>
    <t>10.1007/s10664-024-10590-1</t>
  </si>
  <si>
    <t>WOS:001381219400001</t>
  </si>
  <si>
    <t>Trozze, A; Davies, T; Kleinberg, B</t>
  </si>
  <si>
    <t>Trozze, Arianna; Davies, Toby; Kleinberg, Bennett</t>
  </si>
  <si>
    <t>Large language models in cryptocurrency securities cases: can a GPT model meaningfully assist lawyers?</t>
  </si>
  <si>
    <t>Cryptocurrency; Securities law; Artificial intelligence (AI); Large language models (LLMs); ChatGPT</t>
  </si>
  <si>
    <t>Large Language Models (LLMs) could be a useful tool for lawyers. However, empirical research on their effectiveness in conducting legal tasks is scant. We study securities cases involving cryptocurrencies as one of numerous contexts where AI could support the legal process, studying GPT-3.5's legal reasoning and ChatGPT's legal drafting capabilities. We examine whether a) GPT-3.5 can accurately determine which laws are potentially being violated from a fact pattern, and b) whether there is a difference in juror decision-making based on complaints written by a lawyer compared to ChatGPT. We feed fact patterns from real-life cases to GPT-3.5 and evaluate its ability to determine correct potential violations from the scenario and exclude spurious violations. Second, we had mock jurors assess complaints written by ChatGPT and lawyers. GPT-3.5's legal reasoning skills proved weak, though we expect improvement in future models, particularly given the violations it suggested tended to be correct (it merely missed additional, correct violations). ChatGPT performed better at legal drafting, and jurors' decisions were not statistically significantly associated with the author of the document upon which they based their decisions. Because GPT-3.5 cannot satisfactorily conduct legal reasoning tasks, it would be unlikely to be able to help lawyers in a meaningful way at this stage. However, ChatGPT's drafting skills (though, perhaps, still inferior to lawyers) could assist lawyers in providing legal services. Our research is the first to systematically study an LLM's legal drafting and reasoning capabilities in litigation, as well as in securities law and cryptocurrency-related misconduct.</t>
  </si>
  <si>
    <t>10.1007/s10506-024-09399-6</t>
  </si>
  <si>
    <t>WOS:001198543600001</t>
  </si>
  <si>
    <t>Fan, LL; Wang, YT; Zhang, H; Zeng, CX; Li, YJ; Gou, C; Yu, H</t>
  </si>
  <si>
    <t>Fan, Lili; Wang, Yutong; Zhang, Hui; Zeng, Changxian; Li, Yunjie; Gou, Chao; Yu, Hui</t>
  </si>
  <si>
    <t>Multimodal Perception and Decision-Making Systems for Complex Roads Based on Foundation Models</t>
  </si>
  <si>
    <t>Autonomous driving; camera and four-dimensional (4-D) millimeter wave radar; ChatGPT; Industry 5.0; multimodal; perception and decision making</t>
  </si>
  <si>
    <t>LOCALIZATION; FUSION; LIDAR</t>
  </si>
  <si>
    <t>Since the inception of Industry 5.0 in 2021, a growing number of researchers have begun to pay their attention to the revolutionary shift it brings. The principles of Industry 5.0, including human-centric, sustainability, and emphasis on ecological and social values, will become the new paradigm for future industrial development. In this transformative landscape, artificial intelligence (AI) plays a pivotal role, and foundation models based on ChatGPT are set to reshape the organizational structure of industries. In this article, we introduce a multimodal perception and decision-making system built upon a foundational model. This system integrates image and point cloud data to enhance perception accuracy and provide ample information for decision making. It is designed to achieve a deep integration of AI and human-centric autonomous driving within the context of Industry 5.0. We introduce a cross-domain learning approach in the system architecture, along with a model training method from foundation models to handle complex road conditions. The proposed method enables road drivable area segmentation on complex unstructured roads. To address the issue of increased variance caused by the residual structure employed in previous works, this article introduces a distribution correction module, which effectively mitigates this problem. Furthermore, to achieve high-performance perception systems in intricate road scenarios, we put forth a multimodal perception fusion method in this study. The experiments demonstrate the superiority of this approach over single-sensor perception. This work contributes to the ongoing discourse on the convergence of AI, human-centric values, and advanced driving systems within the framework of Industry 5.0.</t>
  </si>
  <si>
    <t>10.1109/TSMC.2024.3444277</t>
  </si>
  <si>
    <t>WOS:001336944400015</t>
  </si>
  <si>
    <t>Reusens, M; Adams, A; Baesens, B</t>
  </si>
  <si>
    <t>Reusens, Manon; Adams, Amy; Baesens, Bart</t>
  </si>
  <si>
    <t>Large Language Models to make museum archive collections more accessible</t>
  </si>
  <si>
    <t>AI &amp; SOCIETY</t>
  </si>
  <si>
    <t>Museum and archive collections; Generative AI; Large Language Models; Keyword generation; Keyword augmentation</t>
  </si>
  <si>
    <t>ISAD(G)</t>
  </si>
  <si>
    <t>Keywords are essential to the searchability and therefore discoverability of museum and archival collections in the modern world. Without them, the collection management systems (CMS) and online collections these cultural organisations rely on to record, organise, and make their collections accessible, do not operate efficiently. However, generating these keywords manually is time consuming for these already resource strapped organisations. Artificial intelligence (AI), particularly generative AI and Large Language Models (LLMs), could hold the key to generating, even automating, this key data and as such be considered a co-creative add-on. This study contributes to the literature by introducing the use of Meta's open-source LLM, Llama, to generate keywords from curator/archivist written descriptions of museum and archival collection items. Our findings suggest that these technologies add significant value compared to current manual methods for keyword generation. In particular, we find that through using carefully crafted prompts, successful keyword augmentations could be established making museum and archival collections much more accessible to wider and more diverse audiences. However, the results also showed that generative AI has biases (e.g., hallucinations, over generalisations, outdated language), though the frequency of occurrence was not as high as general perception may insist. Hence, we also discuss mitigation strategies to address these and how cultural institutions can recognise the risks and errors while getting the most from the systems. Finally, we discuss options to achieve structured results which allow easier ingestion of data back into CMS. Ultimately, LLMs hold significant potential to enhance accessibility to museum and archival collections, yet they are not without imperfection as we extensively discuss.</t>
  </si>
  <si>
    <t>0951-5666</t>
  </si>
  <si>
    <t>1435-5655</t>
  </si>
  <si>
    <t>10.1007/s00146-025-02227-8</t>
  </si>
  <si>
    <t>WOS:001434333000001</t>
  </si>
  <si>
    <t>Guan, XX; Ye, ZK; Cao, B; Fan, J</t>
  </si>
  <si>
    <t>Guan, Xinxin; Ye, Zekai; Cao, Bin; Fan, Jing</t>
  </si>
  <si>
    <t>Summary report auto-generation based on hierarchical corpus using large language model</t>
  </si>
  <si>
    <t>Automatic report generation; Large language model; Hierarchical corpus retrieval; Decision support systems</t>
  </si>
  <si>
    <t>Enterprises are increasingly challenged by the exponential growth of data, making it essential to efficiently extract, organize, and present query-related data in actionable reports for decision-making. Traditional report generation is time-intensive and reliant on manual effort. Large language model (LLM) offers a promising solution by automating this process. However, existing research on automatic report generation has primarily focused on specific domains, such as medical and financial fields. To address this gap, we propose SRAG (Summary Report Auto-Generation), a novel framework that leverages LLM to transform a query into a high-quality summary report through hierarchical corpus retrieval across general fields. SRAG emulates human report writing by structuring the process into five stages: Data Pre-processing, Basic Outline Drafting, Detailed Outline Refinement, Content Writing, and Section Refinement and Integration. The pre-processing stage converts raw data into a hierarchical corpus, enriching retrieval context with hybrid mechanisms. The subsequent stages are meticulously designed to enhance the interaction between the LLM and the Retriever, guided by stage-specific metrics. Each stage builds on the previous one, iteratively expanding a query into a complete and comprehensive summary report. Experimental results with open-source LLMs demonstrate that each stage of SRAG significantly enhances the overall quality of generated reports. SRAG outperforms baseline methods across all custom metrics, particularly excelling in content-based metrics. It achieves overall score improvements of 7.7% compared to the naive RAG-based method on the CCTD dataset and 2.4% on the ARD dataset. The results highlight SRAG's potential to enhance decision-making by leveraging the capabilities of LLMs.</t>
  </si>
  <si>
    <t>10.1016/j.displa.2025.103055</t>
  </si>
  <si>
    <t>WOS:001488537400001</t>
  </si>
  <si>
    <t>Mandalis, P; Chondrodima, E; Kontoulis, Y; Pelekis, N; Theodoridis, Y</t>
  </si>
  <si>
    <t>Mandalis, Petros; Chondrodima, Eva; Kontoulis, Yannis; Pelekis, Nikos; Theodoridis, Yannis</t>
  </si>
  <si>
    <t>A transformer-based method for vessel traffic flow forecasting</t>
  </si>
  <si>
    <t>GEOINFORMATICA</t>
  </si>
  <si>
    <t>Big maritime data; Machine Learning; Neural Networks; Transformer models; Vessel Route Forecasting; Vessel Traffic Flow Forecasting.</t>
  </si>
  <si>
    <t>MACHINE LEARNING-MODELS</t>
  </si>
  <si>
    <t>In recent years, the maritime domain has experienced tremendous growth due to the exploitation of big traffic data. Particular emphasis has been placed on deep learning methodologies for decision-making. Accurate Vessel Traffic Flow Forecasting (VTFF) is essential for optimizing navigation efficiency and proactively managing maritime operations. In this work, we present a distributed Unified Approach for VTFF (dUA-VTFF), which employs Transformer models and leverages the Apache Spark big data distributed processing framework to learn from historical maritime data and predict future traffic flows over a time horizon of up to 30 min. Particularly, dUA-VTFF leverages vessel timestamped locations along with future vessel locations produced by a Vessel Route Forecasting model. These data are arranged into a spatiotemporal grid to formulate the traffic flows. Subsequently, through the Apache Spark, each grid cell is allocated to a computing node, where appropriately designed Transformer-based models forecast traffic flows in a distributed framework. Experimental evaluations conducted on real Automatic Identification System (AIS) datasets demonstrate the improved efficiency of the dUA-VTFF compared to state-of-the-art traffic flow forecasting methods.</t>
  </si>
  <si>
    <t>1384-6175</t>
  </si>
  <si>
    <t>1573-7624</t>
  </si>
  <si>
    <t>10.1007/s10707-024-00521-z</t>
  </si>
  <si>
    <t>Computer Science; Physical Geography</t>
  </si>
  <si>
    <t>WOS:001235478000001</t>
  </si>
  <si>
    <t>Chi, FY; Wang, YX; Nasiopoulos, P; Leung, VCM</t>
  </si>
  <si>
    <t>Chi, Fangyuan; Wang, Yixiao; Nasiopoulos, Panos; Leung, Victor C. M.</t>
  </si>
  <si>
    <t>Multiagent Collaborative Decision-Making Using Small VisionLanguage Models for Autonomous Driving</t>
  </si>
  <si>
    <t>Decision making; Cognition; Autonomous vehicles; Collaboration; Visualization; Real-time systems; Computational efficiency; Planning; Accuracy; Safety; Autonomous driving; collaborative; decision-making; large language models (LLMs); multiagent; vision-language models (VLMs)</t>
  </si>
  <si>
    <t>Autonomous vehicles face challenges in complex environments due to the computational inefficiency of large language models (LLMs) and the lack of multiagent collaboration in existing decision-making approaches. This article proposes a small vision-language model (VLM)-based framework for connected autonomous vehicles (CAVs), balancing computational efficiency with robust reasoning and perception. The framework integrates a perception module with mapping and annotation layers to provide visual and contextual information. To enhance decision-making, we introduce domain-augmented chain-of-thought (DACoT), enabling context-aware planning and negotiation for multiagent coordination. In intersection scenarios, DACoT improves success steps (SS) by 28.9% and pass rate (PR) by 24.2% over CoT and SS by 57.2% and PR by 48.2% over direct prompting. In highway merging, DACoT achieves 19.6% higher SS and 99.97% higher PR than CoT. These results highlight DACoT's adaptability in complex multiagent interactions, establishing an efficient, scalable, and collaborative decision-making framework for real-time autonomous driving.</t>
  </si>
  <si>
    <t>DEC 15</t>
  </si>
  <si>
    <t>10.1109/JIOT.2025.3624038</t>
  </si>
  <si>
    <t>WOS:001635872600018</t>
  </si>
  <si>
    <t>Triguero, I; Molina, D; Poyatos, J; Del Ser, J; Herrera, F</t>
  </si>
  <si>
    <t>Triguero, Isaac; Molina, Daniel; Poyatos, Javier; Del Ser, Javier; Herrera, Francisco</t>
  </si>
  <si>
    <t>General Purpose Artificial Intelligence Systems (GPAIS): Properties, definition, taxonomy, societal implications and responsible governance</t>
  </si>
  <si>
    <t>General-purpose AI; Meta -learning; Reinforcement learning; Neuroevolution; Few -shot learning; AutoML; Transfer learning; Generative AI; Large language models</t>
  </si>
  <si>
    <t>Most applications of Artificial Intelligence (AI) are designed for a confined and specific task. However, there are many scenarios that call for a more general AI, capable of solving a wide array of tasks without being specifically designed for them. The term General Purpose Artificial Intelligence Systems (GPAIS) has been defined to refer to these AI systems. To date, the possibility of an Artificial General Intelligence, powerful enough to perform any intellectual task as if it were human, or even improve it, has remained an aspiration, fiction, and considered a risk for our society. Whilst we might still be far from achieving that, GPAIS is a reality and sitting at the forefront of AI research. This work discusses existing definitions for GPAIS and proposes a new definition that allows for a gradual differentiation among types of GPAIS according to their properties and limitations. We distinguish between closed-world and open-world GPAIS, characterising their degree of autonomy and ability based on several factors such as adaptation to new tasks, competence in domains not intentionally trained for, ability to learn from few data, or proactive acknowledgement of their own limitations. We then propose a taxonomy of approaches to realise GPAIS, describing research trends such as the use of AI techniques to improve another AI (commonly referred to as AI-powered AI) or (single) foundation models. As a prime example, we delve into generative AI (GenAI), aligning them with the terms and concepts presented in the taxonomy. Similarly, we explore the challenges and prospects of multi-modality, which involves fusing various types of data sources to expand the capabilities of GPAIS. Through the proposed definition and taxonomy, our aim is to facilitate research collaboration across different areas that are tackling general purpose tasks, as they share many common aspects. Finally, with the goal of providing a holistic view of GPAIS, we discuss the current state of GPAIS, its prospects, implications for our society, and the need for regulation and governance of GPAIS to ensure their responsible and trustworthy development.</t>
  </si>
  <si>
    <t>10.1016/j.inffus.2023.102135</t>
  </si>
  <si>
    <t>WOS:001112351800001</t>
  </si>
  <si>
    <t>Zi, YX; Roy, K; Sheth, A</t>
  </si>
  <si>
    <t>Zi, Yuxin; Roy, Kaushik; Sheth, Amit</t>
  </si>
  <si>
    <t>Cognitive Neurosymbolic Artificial Intelligence for Complex Decision-Making: Integrating Foundation Models, Cognitive Architectures, and Knowledge</t>
  </si>
  <si>
    <t>Deep learning; Accuracy; Foundation models; Decision making; Mental health; Medical services; Knowledge representation; Cognition; Robustness; Intelligent systems</t>
  </si>
  <si>
    <t>Advances in deep learning and knowledge representation have driven the adoption of intelligent decision support systems in high-stakes domains such as health-care applications. However, traditional statistical approaches often yield opaque, correlation-driven predictions, making it difficult for experts to interpret results and take meaningful actions. To address these limitations, we propose a cognitive neurosymbolic artificial intelligence (AI) framework by combining multimodal perception, neurosymbolic reasoning (with symbolic controls), and knowledge, this paradigm enhances accuracy and robustness in complex decision-making environments. This integrated framework ensures that every recommendation follows human-like decision-making, while being grounded in verifiable, expert knowledge, a crucial attribute for critical application scenarios such as health care. We demonstrate this approach through a mental health support system, showcasing how cognitive neurosymbolic AI can improve decision-making outcomes, personalized interventions, longitudinal tracking, and actionable insights for critical applications.</t>
  </si>
  <si>
    <t>MAY-JUN</t>
  </si>
  <si>
    <t>10.1109/MIS.2025.3561487</t>
  </si>
  <si>
    <t>WOS:001506724300001</t>
  </si>
  <si>
    <t>Glicksberg, BS; Timsina, P; Patel, D; Sawant, A; Vaid, A; Raut, G; Charney, AW; Apakama, D; Carr, BG; Freeman, R; Nadkarni, GN; Klang, E</t>
  </si>
  <si>
    <t>Glicksberg, Benjamin S.; Timsina, Prem; Patel, Dhaval; Sawant, Ashwin; Vaid, Akhil; Raut, Ganesh; Charney, Alexander W.; Apakama, Donald; Carr, Brendan G.; Freeman, Robert; Nadkarni, Girish N.; Klang, Eyal</t>
  </si>
  <si>
    <t>Evaluating the accuracy of a state-of-the-art large language model for prediction of admissions from the emergency room</t>
  </si>
  <si>
    <t>large language models (LLMs); GPT-4; machine learning (ML); transformers; BERT; retrieval-augmented generation (RAG); admission prediction; clinical informatics; emergency department; predictive modeling; health informatics</t>
  </si>
  <si>
    <t>Background Artificial intelligence (AI) and large language models (LLMs) can play a critical role in emergency room operations by augmenting decision-making about patient admission. However, there are no studies for LLMs using real-world data and scenarios, in comparison to and being informed by traditional supervised machine learning (ML) models. We evaluated the performance of GPT-4 for predicting patient admissions from emergency department (ED) visits. We compared performance to traditional ML models both naively and when informed by few-shot examples and/or numerical probabilities.Methods We conducted a retrospective study using electronic health records across 7 NYC hospitals. We trained Bio-Clinical-BERT and XGBoost (XGB) models on unstructured and structured data, respectively, and created an ensemble model reflecting ML performance. We then assessed GPT-4 capabilities in many scenarios: through Zero-shot, Few-shot with and without retrieval-augmented generation (RAG), and with and without ML numerical probabilities.Results The Ensemble ML model achieved an area under the receiver operating characteristic curve (AUC) of 0.88, an area under the precision-recall curve (AUPRC) of 0.72 and an accuracy of 82.9%. The na &amp; iuml;ve GPT-4's performance (0.79 AUC, 0.48 AUPRC, and 77.5% accuracy) showed substantial improvement when given limited, relevant data to learn from (ie, RAG) and underlying ML probabilities (0.87 AUC, 0.71 AUPRC, and 83.1% accuracy). Interestingly, RAG alone boosted performance to near peak levels (0.82 AUC, 0.56 AUPRC, and 81.3% accuracy).Conclusions The na &amp; iuml;ve LLM had limited performance but showed significant improvement in predicting ED admissions when supplemented with real-world examples to learn from, particularly through RAG, and/or numerical probabilities from traditional ML models. Its peak performance, although slightly lower than the pure ML model, is noteworthy given its potential for providing reasoning behind predictions. Further refinement of LLMs with real-world data is necessary for successful integration as decision-support tools in care settings.</t>
  </si>
  <si>
    <t>MAY 21</t>
  </si>
  <si>
    <t>10.1093/jamia/ocae103</t>
  </si>
  <si>
    <t>WOS:001227936600001</t>
  </si>
  <si>
    <t>Fatima, SK; Arshad, S; Hassan, MA; Iqbal, F; Altaf, A; Aziz, I; Ashraf, I; Samee, NA</t>
  </si>
  <si>
    <t>Fatima, Syeda Kaneez; Arshad, Shazia; Hassan, Muhammad Awais; Iqbal, Faiza; Altaf, Ayesha; Aziz, Iram; Ashraf, Imran; Samee, Nagwan Abdel</t>
  </si>
  <si>
    <t>Context-aware chatbot for personal healthcare assistance using LLMs and LangChain</t>
  </si>
  <si>
    <t>Medical chatbot; Context-aware chatbot; Conversational agent; Large language model; GPT-3.5-turbo; Retrieval-augmented generation; LangChain</t>
  </si>
  <si>
    <t>Chatbots have the potential to offer personalized responses and information to improve patients' healthcare. However, contextual accuracy is critical because the lack of context awareness may endanger patients' lives. This research addresses this issue by configuring the GPT-3.5-turbo language model, i.e. adjusting parameters, such as temperature and maximum token limit, and configuring with external knowledge bases using the retrieval-augmented-generation (RAG) approach, chain-of-thought (CoT) prompt engineering techniques using chains within the LangChain framework. We visualized and traced the results using the LangSmith platform, showing that all the chains and retrievers better understood the context. Our healthcare chatbot, intended for patients seeking personalized medical guidance before going to the doctor, was evaluated against ChatGPT using expert evaluation and meta-eval metrics. Evaluation results demonstrate that the proposed medical chatbot exhibits better contextual accuracy, conciseness, and coherence. Thus, this research highlights the potential of integrating the large language model techniques, with RAG, and prompt engineering, and also suggests the frameworks and evaluation methods for language model-based chatbots, to develop context-aware healthcare chatbots for personalized medical assistance.</t>
  </si>
  <si>
    <t>10.1007/s10844-025-00970-4</t>
  </si>
  <si>
    <t>WOS:001555873400001</t>
  </si>
  <si>
    <t>Zhang, LD; Ji, WL; Zhao, YL; Huang, D; Qian, BJ</t>
  </si>
  <si>
    <t>Zhang, Liudong; Ji, Wenlu; Zhao, Yulin; Huang, Di; Qian, Bingjun</t>
  </si>
  <si>
    <t>Review on Application and Challenges of Large Language Models in Power Grids</t>
  </si>
  <si>
    <t>Power grids; Power systems; Reviews; Real-time systems; Power system reliability; Artificial intelligence; Computer architecture; Vectors; Transformers; Load forecasting; Power grid; LLMs; Chatgpt; power system operation; power electronics</t>
  </si>
  <si>
    <t>Power grids are critical infrastructures that require real-time safe and reliable operation. Large Language Models (LLMs), have demonstrated significant potential in power grid applications. This paper presents a comprehensive review of the applications of LLMs in power grids, covering areas such as intelligent assistance for grid operation, generation and load forecasting, power system planning and operation, and power converter design. Additionally, the paper discusses key challenges associated with the integration of LLMs into power grids, including data quality issues, model explainability, cybersecurity risks, and real-time computational efficiency. Potential solutions are provided to enhance the reliability and applicability of LLMs in power grid applications. By leveraging the capabilities of LLMs, power system operators can enhance decision-making processes, improve operational efficiency, and foster a more resilient and adaptive power infrastructure.</t>
  </si>
  <si>
    <t>10.1109/ACCESS.2025.3580439</t>
  </si>
  <si>
    <t>WOS:001516410000027</t>
  </si>
  <si>
    <t>Chen, Q; Peng, J; Song, BY; Zhou, YY; Ji, RR</t>
  </si>
  <si>
    <t>Chen, Qian; Peng, Jun; Song, Baiyang; Zhou, Yiyi; Ji, Rongrong</t>
  </si>
  <si>
    <t>Graph-empowered Text-to-SQL generation on Electronic Medical Records</t>
  </si>
  <si>
    <t>PATTERN RECOGNITION</t>
  </si>
  <si>
    <t>Text-to-SQL; Electronic Medical Record; Graph; Large Language Model</t>
  </si>
  <si>
    <t>Electronic Medical Records (EMR) store comprehensive patient data, offering immense potential for improving medical decision-making, education, and research. However, extracting actionable insights from EMR remains challenging due to its complex, structured nature, which requires expertise in Structured Query Language (SQL). To address this, we propose leveraging Large Language Models (LLMs) combined with graph-empowered techniques to enhance Text-to-SQL capabilities in EMR systems. LLMs provide the ability to understand natural language queries, making data access more intuitive for non-technical users, while graph representations enable the modeling of intricate relationships between medical entities. This integration not only simplifies data querying but also captures the contextual and relational nuances inherent in EMR data. In this paper, we proposed a Text-to-SQL method based on graph structure injection, which aims to bridge the gap between medical professionals and complex data systems, promoting more efficient and accessible use of EMR for clinical and research applications. To demonstrate the effectiveness of our proposed method, we conduct extensive experiments on the MIMICSQL dataset. The experimental results show that our proposed method achieves 0.942 execution accuracy, reaching a new SOTA.</t>
  </si>
  <si>
    <t>0031-3203</t>
  </si>
  <si>
    <t>1873-5142</t>
  </si>
  <si>
    <t>10.1016/j.patcog.2025.111800</t>
  </si>
  <si>
    <t>WOS:001505826900011</t>
  </si>
  <si>
    <t>Zhai, WS; Liao, JZ; Chen, ZY; Su, BL; Zhao, X</t>
  </si>
  <si>
    <t>Zhai, Wenshuo; Liao, Jinzhi; Chen, Ziyang; Su, Bolun; Zhao, Xiang</t>
  </si>
  <si>
    <t>A Survey of Task Planning with Large Language Models</t>
  </si>
  <si>
    <t>This paper presents a comprehensive survey of the current status and opportunities for large language models (LLMs) in task planning, a sophisticated process of reasoning and decision-making that organizes a sequence of actions to accomplish predefined goals. Task planning centers on identifying suitable solutions for a task, with a specific emphasis on ensuring its successful completion. Although task planning plays a crucial role in enabling systems to function effectively in dynamic and complex environments, there is a lack of systematic reviews on this topic. We explore the theories, methodologies, and applications related to task planning with LLMs, highlighting the burgeoning development in this field and the interdisciplinary approaches that enhance their ability to complete tasks. This survey aims to systematize and clarify the fragmented literature, provide a systematic review that underscores the importance of task planning as a critical capability, and offer insights into future research directions and potential improvements. We hope to help researchers gain a clear understanding of the field and spark greater interest in this highly impactful research direction. A continuously updated resource is available in our GitHub repository at https://github.com/ZhaiWenShuo/Survey-of-Task-Planning.</t>
  </si>
  <si>
    <t>MAY 23</t>
  </si>
  <si>
    <t>10.34133/icomputing.0124</t>
  </si>
  <si>
    <t>WOS:001501175900001</t>
  </si>
  <si>
    <t>Vetter, MA; Jiang, JL; Mcdowell, ZJ</t>
  </si>
  <si>
    <t>Vetter, Matthew A.; Jiang, Jialei; Mcdowell, Zachary J.</t>
  </si>
  <si>
    <t>An endangered species: how LLMs threaten Wikipedia's sustainability</t>
  </si>
  <si>
    <t>Large language models (LLM); Aritificial intelligence (AI); Wikipedia; Sustainability</t>
  </si>
  <si>
    <t>As a collaboratively edited and open-access knowledge archive, Wikipedia offers a vast dataset for training artificial intelligence (AI) applications and models, enhancing data accessibility and access to information. However, reliance on the crowd-sourced encyclopedia raises ethical issues related to data provenance, knowledge production, curation, and digital labor. Drawing on critical data studies, feminist posthumanism, and recent research at the intersection of Wikimedia and AI, this study employs problem-centered expert interviews to investigate the relationship between Wikipedia and large language models (LLMs). Key findings include the unclear role of Wikipedia in LLM training, ethical issues, and potential solutions for systemic biases and sustainability challenges. By foregrounding these concerns, this study contributes to ongoing discourses on the responsible use of AI in digital knowledge production and information management. Ultimately, this article calls for greater transparency and accountability in how big tech entities use open-access datasets like Wikipedia, advocating for collaborative frameworks prioritizing ethical considerations and equitable representation.</t>
  </si>
  <si>
    <t>10.1007/s00146-025-02199-9</t>
  </si>
  <si>
    <t>WOS:001425281000001</t>
  </si>
  <si>
    <t>Mougouei, D; Haque, A; Nurwidyantoro, A; Mougouei, E; Fahmideh, M; Shahin, M; Dharmawan, A; Widodo, TW; Dam, HK</t>
  </si>
  <si>
    <t>Mougouei, Davoud; Haque, Amanul; Nurwidyantoro, Arif; Mougouei, Elahe; Fahmideh, Mahdi; Shahin, Mojtaba; Dharmawan, Andi; Wahyu Widodo, Triyogatama; Khanh Dam, Hoa</t>
  </si>
  <si>
    <t>Reasoning About Human Values in GitHub Issues: What Can a Large Language Model Reveal?</t>
  </si>
  <si>
    <t>Human values; software; reasoning; GitHub issues; LLMs</t>
  </si>
  <si>
    <t>SOCIAL-DESIRABILITY; SOFTWARE; DESIGN</t>
  </si>
  <si>
    <t>The recent U.S. Senate hearing on child safety failures in major social media platforms, gender bias in Amazon's recruitment algorithms, and privacy lawsuits against Google over vague location tracking illustrate how software can neglect human values with societal and economic consequences. Addressing such oversights requires understanding how design choices impact values. GitHub Issues provide a key venue where these choices are documented: through feature requests, improvements, and bug reports, they capture both technical complexities and the tradeoffs reflecting stakeholders' beliefs. They thus offer insights into how values such as privacy, fairness, and inclusivity influence and are shaped by software design. Yet inferring value alignments, often implied rather than explicit, demands complex reasoning beyond keyword searches and cannot be done manually at scale. In this paper, we use a Large Language Model (LLM) to infer (detect and explain) the alignment of GitHub Issues with human values across three open-source projects, and evaluate the accuracy of the findings through human evaluation.</t>
  </si>
  <si>
    <t>2026 JAN 9</t>
  </si>
  <si>
    <t>10.1080/10447318.2025.2594137</t>
  </si>
  <si>
    <t>WOS:001657902500001</t>
  </si>
  <si>
    <t>Pendyala, VS; Kamdar, K; Mulchandani, K</t>
  </si>
  <si>
    <t>Pendyala, Vishnu S.; Kamdar, Karnavee; Mulchandani, Kapil</t>
  </si>
  <si>
    <t>Automated Research Review Support Using Machine Learning, Large Language Models, and Natural Language Processing</t>
  </si>
  <si>
    <t>machine learning; peer review; large language models; long short-term memory; support vector machines; natural language processing</t>
  </si>
  <si>
    <t>Research expands the boundaries of a subject, economy, and civilization. Peer review is at the heart of research and is understandably an expensive process. This work, with human-in-the-loop, aims to support the research community in multiple ways. It predicts quality, and acceptance, and recommends reviewers. It helps the authors and editors to evaluate research work using machine learning models developed based on a dataset comprising 18,000+ research papers, some of which are from highly acclaimed, top conferences in Artificial Intelligence such as NeurIPS and ICLR, their reviews, aspect scores, and accept/reject decisions. Using machine learning algorithms such as Support Vector Machines, Deep Learning Recurrent Neural Network architectures such as LSTM, a wide variety of pre-trained word vectors using Word2Vec, GloVe, FastText, transformer architecture-based BERT, DistilBERT, Google's Large Language Model (LLM), PaLM 2, and TF-IDF vectorizer, a comprehensive system is built. For the system to be readily usable and to facilitate future enhancements, a frontend, a Flask server in the cloud, and a NOSQL database at the backend are implemented, making it a complete system. The work is novel in using a unique blend of tools and techniques to address most aspects of building a system to support the peer review process. The experiments result in a 86% test accuracy on acceptance prediction using DistilBERT. Results from other models are comparable, with PaLM-based LLM embeddings achieving 84% accuracy.</t>
  </si>
  <si>
    <t>10.3390/electronics14020256</t>
  </si>
  <si>
    <t>WOS:001405224300001</t>
  </si>
  <si>
    <t>George, A; Storey, VC; Hong, SU</t>
  </si>
  <si>
    <t>George, Amrita; Storey, Veda catherine; Hong, Sh uguang</t>
  </si>
  <si>
    <t>Unraveling the Impact of ChatGPT as a Knowledge Anchor in Business Education</t>
  </si>
  <si>
    <t>ACM TRANSACTIONS ON MANAGEMENT INFORMATION SYSTEMS</t>
  </si>
  <si>
    <t>ChatGPT; Large language model (LLM); technology self-efficacy; computer anxiety; goal orientation; computer playfulness; social support; technology anchors; generative AI; knowledge anchor; OpenAI; artificial intelligence (AI); achievement theory</t>
  </si>
  <si>
    <t>SELF-EFFICACY; ACHIEVEMENT GOALS; INTRINSIC MOTIVATION; COMPUTER ANXIETY; PERCEIVED EASE; TECHNOLOGY; ACCEPTANCE; PLAYFULNESS; ORIENTATIONS; PERFORMANCE</t>
  </si>
  <si>
    <t>The emergence of Large Language Models (LLM), such as ChatGPT, is considered a productivity revolution in many areas of business and society. For a classroom setting, especially, it would be useful to understand whether, and how, to incorporate ChatGPT, similar to any other productivity revolution technology, such as calculators or a Google search engine. Although there are concerns regarding the use of LLMs in business education, the positive or negative impact of LLM use is not well-understood. In this research, we examine the substitution and complementarity effects of using ChatGPT in business curricula on learning outcomes and well-being in a socially supportive learning environment. Specifically, we examine whether technology anchors impact students' goal orientation, learning outcomes, and well-being by conducting an empirical study with students majoring in Information Systems. Our analysis reveals that a technology anchor (computer playfulness) can complement the effects of social support on learning outcomes, while enhancing wellbeing for simple tasks. Students' well-being and learning outcomes are hindered by LLM use (specifically, the computer anxiety anchor), substituting social support for simple and difficult tasks. These findings have implications for educational institutions that are assessing how to incorporate LLMs into business curricula.</t>
  </si>
  <si>
    <t>2158-656X</t>
  </si>
  <si>
    <t>2158-6578</t>
  </si>
  <si>
    <t>10.1145/3705734</t>
  </si>
  <si>
    <t>WOS:001432152000005</t>
  </si>
  <si>
    <t>Ni, ZH; Tao, Y; Yang, XH; Wang, S; Pan, GF; An, JP</t>
  </si>
  <si>
    <t>Ni, Zihan; Tao, Yi; Yang, Xuanhe; Wang, Shuai; Pan, Gaofeng; An, Jianping</t>
  </si>
  <si>
    <t>Unleashing the Potential of LLMs in Space-Based IoT Networks: Opportunities, Challenges, and Outlooks</t>
  </si>
  <si>
    <t>Sensors; Internet of Things; Satellites; Real-time systems; Intelligent sensors; Artificial intelligence; Decision making; Sensor systems; Space vehicles; Cognition; Large language models; network optimization; semantic compression; space-based Internet of Things; wireless communication</t>
  </si>
  <si>
    <t>The continuous evolution of next-generation mobile communication technologies has emerged space-based Internet of Things (IoT) as a promising communication system, leveraging satellite constellations to enable ubiquitous connectivity across space, air, ground, and sea. This paper explores the challenges faced by space-based IoT systems, including the integration of heterogeneous networks, variable communication channel conditions, and dynamic resource management. To address these issues, we propose the integration of large language models (LLMs), which offer unique capabilities in semantic understanding, multimodal data processing, and causal reasoning. These features enable LLMs to optimize resource allocation, manage complex networks, and enhance decision-making, improving the adaptability and efficiency of space-based IoT systems. The potential of LLMs to enable autonomous, coordinated communication across diverse devices and networks offers a transformative opportunity for space-based IoT systems. Future research will focus on enhancing the scalability and efficiency of LLMs to support large-scale space-based IoT networks and real-time decision-making, paving the way for more advanced and reliable connectivity across global and space environments.</t>
  </si>
  <si>
    <t>10.1109/MIOT.2025.3583128</t>
  </si>
  <si>
    <t>WOS:001635051700009</t>
  </si>
  <si>
    <t>Jeong, Y; Yang, JS; Choi, IH; Lee, JY</t>
  </si>
  <si>
    <t>Jeong, Yongwoo; Yang, Jiseon; Choi, In Ho; Lee, Juyeon</t>
  </si>
  <si>
    <t>Feature-Based Text Search Engine Mitigating Data Diversity Problem Using Pre-Trained Large Language Model for Fast Deployment Services</t>
  </si>
  <si>
    <t>Data diversity; DistilBERT; embedded; GPT2; KoBERT; Korean; language; local sensitive hashing; proximity; semantic; Wikipedia</t>
  </si>
  <si>
    <t>The fairness &amp; bias of narrow coverage of AI becomes another challenge for AI researchers. If a commercial AI trains with a biased dataset, there will be severe gender or racial fairness and bias issues. Since the researchers use primary language datasets to train AI, the broad audience cannot be satisfied if a novel LLM (Large Language Model) AI shows a knowledge or creativity limitation on their specific spoken language. Narrow coverage of the LLMs can lead the audience to misinterpretation and confusion if the service involves STT (Speech-To-Text). In this paper, to overcome this issue of data diversity, we propose the idea that the embedded, extracted features have captured semantic proximity information that can be useful to mitigate diversity issues. This project focused on the Korean language food dataset for STT services, where a narrow-trained A.I. is prone to show its limitations, such as lifestyle-related elements. To present our proof of concept, we trained a baseline model, GPT2, with the Korean Wikipedia dataset in 2022. Then, we employed DistilBERT and KoBERT for comparison. The extracted hidden_state_output features from each model were utilized to build feature-extraction-based text search engines. We used the same idea of Local Sensitive Hashing (LSH) but effectively located a similar hash by applying transposed weights. We also present conventional classification benchmarks for performance comparison using top-k measurements, times for training and memory &amp; disc consumptions. In the discussion, we proposed that our idea can mitigate the diversity problem without re-training the model and tokenizer.</t>
  </si>
  <si>
    <t>10.1109/ACCESS.2024.3373470</t>
  </si>
  <si>
    <t>WOS:001197754800001</t>
  </si>
  <si>
    <t>Chen, SB; Wu, ZH; Zhang, K; Li, CY; Zhang, BY; Ma, F; Yu, FR; Li, QQ</t>
  </si>
  <si>
    <t>Chen, Shoubin; Wu, Zehao; Zhang, Kai; Li, Chunyu; Zhang, Baiyang; Ma, Fei; Yu, Fei Richard; Li, Qingquan</t>
  </si>
  <si>
    <t>Exploring Embodied Multimodal Large Models: Development, datasets, and future directions</t>
  </si>
  <si>
    <t>Embodied Multimodal Large Models; Large language models; Vision models; Multimodal datasets; Perception; Navigation; Interaction; Simulation; Embodied agents; Artificial intelligence; Machine learning; Multimodal learning; Embodied intelligence</t>
  </si>
  <si>
    <t>LANGUAGE NAVIGATION; VISION; MANIPULATION</t>
  </si>
  <si>
    <t>Embodied Multimodal Large Models (EMLMs) have gained significant attention in recent years due to their potential to bridge the gap between perception, cognition, and action in complex, real-world environments. This comprehensive review explores the development of such models, including Large Language Models (LLMs), Large Vision Models (LVMs), and other models, while also examining other emerging architectures. We discuss the evolution of EMLMs, with a focus on embodied perception, navigation, interaction, and simulation. Furthermore, the review provides a detailed analysis of the datasets used for training and evaluating these models, highlighting the importance of diverse, high-quality data for effective learning. The paper also identifies key challenges faced by EMLMs, including issues of scalability, generalization, and real-time decision-making. Finally, we outline future directions, emphasizing the integration of multimodal sensing, reasoning, and action to advance the development of increasingly autonomous systems. By providing an in-depth analysis of state-of-the-art methods and identifying critical gaps, this paper aims to inspire future advancements in EMLMs and their applications across diverse domains. Project resources are accessible via https://github.com/BurryChen/Embodied-Multimodal-Large-Models.</t>
  </si>
  <si>
    <t>10.1016/j.inffus.2025.103198</t>
  </si>
  <si>
    <t>WOS:001479961800001</t>
  </si>
  <si>
    <t>Roumeliotis, KI; Tselikas, ND; Nasiopoulos, DK</t>
  </si>
  <si>
    <t>Roumeliotis, Konstantinos I.; Tselikas, Nikolaos D.; Nasiopoulos, Dimitrios K.</t>
  </si>
  <si>
    <t>Think Before You Classify: The Rise of Reasoning Large Language Models for Consumer Complaint Detection and Classification</t>
  </si>
  <si>
    <t>reasoning models; reasoning model classification; large language models; consumer complaints; consumer complaint classification; zero-shot classification; deepseek model; gpt model; claude model; gemini model</t>
  </si>
  <si>
    <t>Large language models (LLMs) have demonstrated remarkable capabilities in various natural language processing (NLP) tasks, but their effectiveness in real-world consumer complaint classification without fine-tuning remains uncertain. Zero-shot classification offers a promising solution by enabling models to categorize consumer complaints without prior exposure to labeled training data, making it valuable for handling emerging issues and dynamic complaint categories in finance. However, this task is particularly challenging, as financial complaint categories often overlap, requiring a deep understanding of nuanced language. In this study, we evaluate the zero-shot classification performance of leading LLMs and reasoning models, totaling 14 models. Specifically, we assess DeepSeek-V3, Gemini-2.0-Flash, Gemini-1.5-Pro, Anthropic's Claude 3.5 and 3.7 Sonnet, Claude 3.5 Haiku, and OpenAI's GPT-4o, GPT-4.5, and GPT-4o Mini, alongside reasoning models such as DeepSeek-R1, o1, and o3. Unlike traditional LLMs, reasoning models are specifically trained with reinforcement learning to exhibit advanced inferential capabilities, structured decision-making, and complex reasoning, making their application to text classification a groundbreaking advancement. The models were tasked with classifying consumer complaints submitted to the Consumer Financial Protection Bureau (CFPB) into five predefined financial classes based solely on complaint text. Performance was measured using accuracy, precision, recall, F1-score, and heatmaps to identify classification patterns. The findings highlight the strengths and limitations of both standard LLMs and reasoning models in financial text processing, providing valuable insights into their practical applications. By integrating reasoning models into classification workflows, organizations may enhance complaint resolution automation and improve customer service efficiency, marking a significant step forward in AI-driven financial text analysis.</t>
  </si>
  <si>
    <t>10.3390/electronics14061070</t>
  </si>
  <si>
    <t>WOS:001453787700001</t>
  </si>
  <si>
    <t>Keskin, Z; Joosten, D; Klasen, N; Huber, M; Liu, C; Drescher, B; Schmitt, RH</t>
  </si>
  <si>
    <t>Keskin, Zozan; Joosten, Dominik; Klasen, Nils; Huber, Meike; Liu, Chang; Drescher, Benny; Schmitt, Robert H.</t>
  </si>
  <si>
    <t>LLM-Enhanced Human-Machine Interaction for Adaptive Decision-Making in Dynamic Manufacturing Process Environments</t>
  </si>
  <si>
    <t>Data visualization; Production; Decision making; Real-time systems; Personnel; Manufacturing processes; Large language models; Natural languages; Standards; Process mining; Industry 4.0; manufacturing; large language models (LLMs); data-driven decision-making; real-time sensor data; natural language queries; production process optimization; anomaly detection; data visualization; shop floor analytics</t>
  </si>
  <si>
    <t>INDUSTRY 4.0; REQUIREMENTS; EVOLUTION</t>
  </si>
  <si>
    <t>Modern production systems generate vast amounts of process data that hold valuable insights for optimizing manufacturing processes. However, production personnel often face the challenge of interpreting this information, especially when dealing with unexpected anomalies or when insights beyond standard reports are required. This challenge arises both from the complex data structures in which the data is provided, and the lack of analytical expertise. This research introduces an approach that leverages Large Language Models (LLMs) to facilitate natural language queries and flexible data visualization, allowing production personnel to interact effortlessly with complex datasets. Tested on process data from an industrial extrusion process that has been enhanced using data augmentation techniques, the proposed concept demonstrates the capability to retrieve relevant data and present tailored visualizations based on simple user prompts. The results demonstrate that LLM-driven data exploration can support production personnel and help overcome the challenges described, which arise from the complex nature of manufacturing data and the specialized domain knowledge required. Future work will concentrate on improving accuracy, robustness, and further integration of domain-specific knowledge, aiming to provide a more reliable and accessible tool for various industrial environments.</t>
  </si>
  <si>
    <t>10.1109/ACCESS.2025.3549529</t>
  </si>
  <si>
    <t>WOS:001445059300012</t>
  </si>
  <si>
    <t>Powell, C; Riccardi, A</t>
  </si>
  <si>
    <t>Powell, Cheyenne; Riccardi, Annalisa</t>
  </si>
  <si>
    <t>Generating textual explanations for scheduling systems leveraging the reasoning capabilities of large language models</t>
  </si>
  <si>
    <t>Large language models; Natural language processing; Question answering systems; Scheduling; Explainable artificial intelligence</t>
  </si>
  <si>
    <t>Scheduling systems are critical for planning projects, resources, and activities across many industries to achieve goals efficiently. As scheduling requirements grow in complexity, the use of Artificial Intelligence (AI) solutions has received more attention. However, providing comprehensible explanations of these decision-making processes remains a challenge and blocker to adoption. The emergent field of eXplainable Artificial Intelligence (XAI) aims to address this by establishing human-centric interpretation of influencing factors for machine decisions. The leading field of autonomous interpretation in Natural Language Processing (NLP) is Large Language Model (LLM)s, for their generalist knowledge and reasoning capabilities. To explore LLMs' potential to generate explanations for scheduling queries, we selected a benchmark set of Job Shop scheduling problems. A novel framework that integrates the selected language models, GPT-4 and Large Language Model Meta AI (LLaMA), into scheduling systems is introduced, facilitating human-like explanations to queries from different categories through few-shot learning. The explanations were analysed for accuracy, consistency, completeness, conciseness, and language across different scheduling problem sizes and complexities. The approach achieved an overall accuracy of 59% with GPT-4 and 35% with LLaMA, with minimal impact from the varied schedule sizes observed, proving the approach can handle different datasets and is performance scalable. Several responses demonstrated high comprehension of complex queries; however, response quality fluctuated due to the few-shot learning approach. This study establishes a baseline for measuring generalist LLM capabilities in handling explanations for autonomous scheduling systems, with promising results for an LLM providing XAI interactions to explain scheduling decisions.</t>
  </si>
  <si>
    <t>10.1007/s10844-025-00940-w</t>
  </si>
  <si>
    <t>WOS:001468987400001</t>
  </si>
  <si>
    <t>Ewald, D; Rogowski, F; Susniak, M; Bartkowiak, P; Blumensztajn, P</t>
  </si>
  <si>
    <t>Ewald, Dawid; Rogowski, Filip; Susniak, Marek; Bartkowiak, Patryk; Blumensztajn, Patryk</t>
  </si>
  <si>
    <t>Exploring the Cognitive Capabilities of Large Language Models in Autonomous and Swarm Navigation Systems</t>
  </si>
  <si>
    <t>large language models; LLaVA; autonomous navigation; swarm robotics; multimodal AI; prompt engineering; robot perception; cognitive AI</t>
  </si>
  <si>
    <t>The rapid evolution of autonomous vehicles necessitates increasingly sophisticated cognitive capabilities to handle complex, unstructured environments. This study explores the cognitive potential of Large Language Models (LLMs) in autonomous navigation and swarm control systems, addressing the limitations of traditional rule-based approaches. The research investigates whether multimodal LLMs, specifically a customized version of LLaVA 7B (Large Language and Vision Assistant), can serve as a central decision-making unit for autonomous vehicles equipped with cameras and distance sensors. The developed prototype integrates a Raspberry Pi module for data acquisition and motor control with a main computational unit running the LLM via the Ollama platform. Communication between modules combines REST API for sensory data transfer and TCP sockets for real-time command exchange. Without fine-tuning, the system relies on advanced prompt engineering and context management to ensure consistent reasoning and structured JSON-based control outputs. Experimental results demonstrate that the model can interpret real-time visual and distance data to generate reliable driving commands and descriptive situational reasoning. These findings suggest that LLMs possess emerging cognitive abilities applicable to real-world robotic navigation and lay the groundwork for future swarm systems capable of cooperative exploration and decision-making in dynamic environments. These insights are particularly valuable for researchers in swarm robotics and developers of edge-AI systems seeking efficient, multimodal navigation solutions.</t>
  </si>
  <si>
    <t>10.3390/electronics15010035</t>
  </si>
  <si>
    <t>WOS:001657312700001</t>
  </si>
  <si>
    <t>Li, JP; Zhao, ZH; Yang, C; Huang, SH; Lee, LH; Huang, GQ</t>
  </si>
  <si>
    <t>Li, Jinpeng; Zhao, Zhiheng; Yang, Chen; Huang, Sihan; Lee, Lik-Hang; Huang, George Q.</t>
  </si>
  <si>
    <t>ChatSync: Large-Language-Model-Enabled Spatial-Temporal Knowledge Reasoning for Production Logistics Synchronization</t>
  </si>
  <si>
    <t>Synchronization; Cognition; Production; Manufacturing; Resource management; Logistics; Industrial Internet of Things; Decision making; Dynamic scheduling; Real-time systems; Industrial Internet of Things (IIoT); large-language model (LLM); production logistic (PL); reasoning optimization; resource allocation; responsible AI</t>
  </si>
  <si>
    <t>KANBAN; TIME; INTERNET; SYSTEMS</t>
  </si>
  <si>
    <t>With increasing pressure from customized demands, discrete manufacturing systems face challenges due to fluctuating resource requirements. These challenges hinder the synchronization of production logistic (PL), which is essential for coordinating resources and ensuring smooth production. Poor synchronization will result in resources waiting on each other, leading to delays and idle time. Accordingly, this article proposes ChatSync, a framework leveraging large-language model (LLM) and spatial-temporal knowledge reasoning to optimize resource allocation, delivery, and monitoring in industrial applications, particularly within the Industrial Internet of Things (IIoT) environment. First, the resource spatial-temporal graph (RSTG) is constructed by integrating real-time IIoT data and expert operational experience, enhancing the knowledge base of LLM through cross-domain knowledge fusion. Second, graph-based reasoning optimization is presented, incorporating spatial-temporal, contextual, and relational reasoning mechanisms, enabling LLM to achieve credible and responsible analysis and decision-making. Third, the PL-oriented ChatSync framework with knowledge and reasoning engines is proposed, supporting chat-based interactions for resilient resource allocation, personalized suggestion, and precise traceability. A case study in air conditioning manufacturing demonstrates that ChatSync outperforms existing benchmark methods in various PL phases, achieving a delivery punctuality rate of 91.2%.</t>
  </si>
  <si>
    <t>NOV 15</t>
  </si>
  <si>
    <t>10.1109/JIOT.2025.3603073</t>
  </si>
  <si>
    <t>WOS:001611617900005</t>
  </si>
  <si>
    <t>López-Ubeda, P; Martín-Noguerol, T; Díaz-Angulo, C; Luna, A</t>
  </si>
  <si>
    <t>Lopez-Ubeda, Pilar; Martin-Noguerol, Teodoro; Diaz-Angulo, Carolina; Luna, Antonio</t>
  </si>
  <si>
    <t>Evaluation of large language models performance against humans for summarizing MRI knee radiology reports: A feasibility study</t>
  </si>
  <si>
    <t>Radiology report summarization; Natural Language Processing; Large Language Model; Knee MRI reports; Human expert evaluation</t>
  </si>
  <si>
    <t>Objectives: This study addresses the critical need for accurate summarization in radiology by comparing various Large Language Model (LLM)-based approaches for automatic summary generation. With the increasing volume of patient information, accurately and concisely conveying radiological findings becomes crucial for effective clinical decision -making. Minor inaccuracies in summaries can lead to significant consequences, highlighting the need for reliable automated summarization tools. Methods: We employed two language models - Text -to -Text Transfer Transformer (T5) and Bidirectional and Auto -Regressive Transformers (BART) - in both fine-tuned and zero -shot learning scenarios and compared them with a Recurrent Neural Network (RNN). Additionally, we conducted a comparative analysis of 100 MRI report summaries, using expert human judgment and criteria such as coherence, relevance, fluency, and consistency, to evaluate the models against the original radiologist summaries. To facilitate this, we compiled a dataset of 15,508 retrospective knee Magnetic Resonance Imaging (MRI) reports from our Radiology Information System (RIS), focusing on the findings section to predict the radiologist 's summary. Results: The fine-tuned models outperform the neural network and show superior performance in the zero -shot variant. Specifically, the T5 model achieved a Rouge -L score of 0.638. Based on the radiologist readers ' study, the summaries produced by this model were found to be very similar to those produced by a radiologist, with about 70% similarity in fluency and consistency between the T5 -generated summaries and the original ones. Conclusions: Technological advances, especially in NLP and LLM, hold great promise for improving and streamlining the summarization of radiological findings, thus providing valuable assistance to radiologists in their work.</t>
  </si>
  <si>
    <t>10.1016/j.ijmedinf.2024.105443</t>
  </si>
  <si>
    <t>WOS:001229931800001</t>
  </si>
  <si>
    <t>Nguyen, LTK; Connolly, J; Nguyen, HN</t>
  </si>
  <si>
    <t>Nguyen, Lan T. K.; Connolly, James; Nguyen, Hoa N.</t>
  </si>
  <si>
    <t>A Systematic Review of Improving Knowledge Management with Generative AI and Large Language Models</t>
  </si>
  <si>
    <t>Knowledge Management (KM); knowledge sharing; Generative Artificial Intelligence (GAI); Large Language Models (LLMs)</t>
  </si>
  <si>
    <t>FRAMEWORK</t>
  </si>
  <si>
    <t>The development of Generative Artificial Intelligence (GAI) and Large Language Models (LLMs) has transformed the field of Knowledge Management (KM) by enabling precision in transferring knowledge as well as improving decision-making processes and operational efficiency. This paper systematically reviews 58 peer reviewed publications from 2019 to early 2024 to comprehensively understand how these technologies impact knowledge management practices across numerous industries. The roles of GAI and LLMs were examined by using the Prisma methodology. VOSviewer and Power BI were used to visualize and analyze the data. Our research identified impacts and identified related gaps, including the need for advanced anonymities of techniques, AI-related technology development, and robust ethical mechanisms. In detail, trust emerges as a key factor that impacts and encompasses technological, organizational, and interpersonal dilemmas to empower knowledge management processes. This review emphasizes the crucial importance of strategic data management and cross-disciplinary approaches in addressing and responding to existing challenges. By bridging the gaps in ethics and trust-building in the practical adoption of these technologies, organizations can utilize GAI and LLMs to create an impactful and transparent KM system while maintaining sustainable and inclusive KM practices. Further, this paper provides a detailed investigation on the transformative potential of GAI and LLMs in KM and proposes strategies for future research to address existing gaps and optimize and broaden the fields of applications.</t>
  </si>
  <si>
    <t>10.12720/jait.16.4.594-612</t>
  </si>
  <si>
    <t>WOS:001479486000013</t>
  </si>
  <si>
    <t>Liu, YF; Li, CX; Liu, HY; Yang, C; Yuan, YX</t>
  </si>
  <si>
    <t>Liu, Yifan; Li, Chenxin; Liu, Hengyu; Yang, Chen; Yuan, Yixuan</t>
  </si>
  <si>
    <t>Foundation Model-Guided Gaussian Splatting for 4D Reconstruction of Deformable Tissues</t>
  </si>
  <si>
    <t>IEEE TRANSACTIONS ON MEDICAL IMAGING</t>
  </si>
  <si>
    <t>Image reconstruction; Three-dimensional displays; Surgery; Rendering (computer graphics); Training; Biomedical imaging; Deformation; Real-time systems; Neural radiance field; Solid modeling; Endoscopy; tissue reconstruction; novel view synthesis; 3D Gaussian splitting; optical imaging</t>
  </si>
  <si>
    <t>Reconstructing deformable anatomical structures from endoscopic videos is a pivotal and promising research topic that can enable advanced surgical applications and improve patient outcomes. While existing surgical scene reconstruction methods have made notable progress, they often suffer from slow rendering speeds due to using neural radiance fields, limiting their practical viability in real-world applications. To overcome this bottleneck, we propose EndoGaussian, a framework that integrates the strengths of 3D Gaussian Splatting representations, allowing for high-fidelity tissue reconstruction, efficient training, and real-time rendering. Specifically, we dedicate a Foundation Model-driven Initialization (FMI) module, which distills 3D cues from multiple vision foundation models (VFMs) to swiftly construct the preliminary scene structure for Gaussian initialization. Then, a Spatio-temporal Gaussian Tracking (SGT) is designed, efficiently modeling scene dynamics using the multi-scale HexPlane with spatio-temporal priors. Furthermore, to improve the dynamics modeling ability for scenes with large deformation, EndoGaussian integrates Motion-aware Frame Synthesis (MFS) to adaptively synthesize new frames as extra training constraints. Experimental results on public datasets demonstrate EndoGaussian's efficacy against prior state-of-the-art methods, including superior rendering speed (168 FPS, real-time), enhanced rendering quality (38.555 PSNR), and reduced training overhead (within 2 min/scene). These results underscore EndoGaussian's potential to significantly advance intraoperative surgery applications, paving the way for more accurate and efficient real-time surgical guidance and decision-making in clinical scenarios. Code is available at: https://github.com/CUHK-AIM-Group/EndoGaussian.</t>
  </si>
  <si>
    <t>0278-0062</t>
  </si>
  <si>
    <t>1558-254X</t>
  </si>
  <si>
    <t>10.1109/TMI.2025.3545183</t>
  </si>
  <si>
    <t>Computer Science; Engineering; Imaging Science &amp; Photographic Technology; Radiology, Nuclear Medicine &amp; Medical Imaging</t>
  </si>
  <si>
    <t>WOS:001502493100013</t>
  </si>
  <si>
    <t>Wang, SZ; Tan, ZY; Wang, YD; Zhou, ZL; Zhu, DH</t>
  </si>
  <si>
    <t>Wang, Shengzhe; Tan, Ziyao; Wang, Yidan; Zhou, Zhilei; Zhu, Dahu</t>
  </si>
  <si>
    <t>A novel paradigm of robotic machining towards embodied intelligent manufacturing: Case study on paint defect repair</t>
  </si>
  <si>
    <t>Embodied intelligent manufacturing; Large language model; Grinding process decision-making; Paint defect repair; High-speed train</t>
  </si>
  <si>
    <t>FRAMEWORK; INDUSTRY</t>
  </si>
  <si>
    <t>Embodied intelligence is driving robotic systems towards autonomous capabilities, and its current applications primarily focus on basic tasks such as grasping and navigation. In industrial manufacturing scenarios with complex processes and stringent standards, such as robotic machining, the existing research and applications are less explored. To fill the gap, this paper attempts to propose a novel paradigm of robotic machining from the perspective of embodied intelligence, particularly presenting a robotic grinding process framework to repair paint defects. The framework begins with defect detection using the YOLO algorithm, combined a monocular vision target mapping method to achieve high-precision defect perception. Building upon this, a large language model (LLM), fine-tuned on a process database constructed from empirical defect repair experiments, performs autonomous decision-making for the repair process based on the perceived information. A predefined code library compatible with industrial robot is then developed, enabling the system to automatically generate executable instructions for repair tasks. Both the effectiveness and practicality of the proposed method are validated through a case study on paint defect repair for high-speed train (HST) body.</t>
  </si>
  <si>
    <t>10.1016/j.rcim.2025.103184</t>
  </si>
  <si>
    <t>WOS:001627652200002</t>
  </si>
  <si>
    <t>Barba, G; Corallo, A; Lazoi, M; Lezzi, M</t>
  </si>
  <si>
    <t>Barba, Giuliana; Corallo, Angelo; Lazoi, Mariangela; Lezzi, Marianna</t>
  </si>
  <si>
    <t>Large language models for competence-based HRM: A case study in the aerospace industry</t>
  </si>
  <si>
    <t>JOURNAL OF INNOVATION &amp; KNOWLEDGE</t>
  </si>
  <si>
    <t>Artificial intelligence; Large language models; Competence; Human resource management; Semantic similarity; Semantic enrichment</t>
  </si>
  <si>
    <t>KNOWLEDGE; MANAGEMENT; EXTRACTION; TALENT</t>
  </si>
  <si>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of LLMs in bridging the informational gaps by generating coherent competence descriptions and creating accurate role-competence associations through a qualitative case study involving a big company operating in the aerospace, defence, and security industry. The proposed solutions aim to reduce manual effort, improve the precision of role-competence matches, and support data-driven decision-making. This enables companies to efficiently identify the suitable candidates, develop focused training programs, and maintain a competitive edge by rapidly adapting to changes in the market and technology.</t>
  </si>
  <si>
    <t>2530-7614</t>
  </si>
  <si>
    <t>2444-569X</t>
  </si>
  <si>
    <t>10.1016/j.jik.2025.100780</t>
  </si>
  <si>
    <t>WOS:001582642600001</t>
  </si>
  <si>
    <t>Huang, X; Lian, JX; Lei, YX; Yao, J; Lian, DF; Xie, X</t>
  </si>
  <si>
    <t>Huang, Xu; Lian, Jianxun; Lei, Yuxuan; Yao, Jing; Lian, Defu; Xie, Xing</t>
  </si>
  <si>
    <t>Recommender AI Agent: Integrating Large Language Models for Interactive Recommendations</t>
  </si>
  <si>
    <t>Conversational Recommendation; Large Language Models; Interactive Agents</t>
  </si>
  <si>
    <t>Recommender models capture ever-changing user preferences by training with in-domain user behavior data. These models are typically lightweight, facilitating real-time and large-scale online services. However, these models often falter when tasked with providing more sophisticated functionalities, such as offering explanations or engaging in conversations. Recently, large language models (LLMs) have emerged as a significant advancement towards artificial general intelligence, demonstrating impressive capabilities in instruction comprehension, reasoning, and human interaction. Unfortunately, LLMs lack the understanding of domain-specific item catalogs and behavioral patterns, especially in areas that deviate from general world knowledge, such as online e-commerce. This limitation makes them unsuitable to function as recommender models directly. In this article, we bridge the gap between recommender models and LLMs, combining their respective strengths to create an interactive recommender system. We present an efficient framework, termed as InteRecAgent, which utilizes LLMs as the brain and recommender models as instrumental tools. We first outline a minimal set of essential tools required to transform LLMs into InteRecAgent. To overcome specific challenges associated with LLM-based agents for recommender systems, we enhance three core components, covering memory mechanism, task planning, and tool learning abilities. The InteRecAgent empowers traditional recommender systems, like ID-based matrix factorization models, to evolve into versatile and interactive systems with a natural language interface through the integration of LLMs. Experimental results derived from three public datasets demonstrate that the InteRecAgent delivers strong performance as a conversational recommender system, surpassing general LLMs such as GPT-4.</t>
  </si>
  <si>
    <t>10.1145/3731446</t>
  </si>
  <si>
    <t>WOS:001537652500001</t>
  </si>
  <si>
    <t>Zhang, S; Huang, M; Liu, S; Meng, FX; Xie, YY; Ren, XR; Zhang, YW; Shao, WB</t>
  </si>
  <si>
    <t>Zhang, Song; Huang, Meng; Liu, Shuai; Meng, Fanxin; Xie, Yingyao; Ren, Xirui; Zhang, Yuanwang; Shao, Wenbo</t>
  </si>
  <si>
    <t>AI-Driven Post-Earthquake Emergency Material Demand Prediction: Integrating RAG With Reasoning Large Language Model</t>
  </si>
  <si>
    <t>Disasters; Earthquakes; Predictive models; Prediction algorithms; Large language models; Cognition; Social networking (online); Data models; Biological neural networks; Retrieval augmented generation; Emergency relief supply prediction; large language models; retrieval-augmented generation</t>
  </si>
  <si>
    <t>The supply of emergency rescue materials plays a pivotal role in post-earthquake relief operations. However, varying disaster scenarios generate differentiated demands for emergency resources, where factors such as seasonal impacts, geographic environment of affected areas, population density, and requirements of emergency response protocols significantly influence the categories and quantities of required supplies. Current research predominantly focuses on essential materials, while determinations of scenario-specific material demands rely heavily on expert empirical inference, resulting in discrepancies between model predictions and actual requirements. This study proposes a reasoning-enhanced large language model (LLM) framework integrated with Retrieval-Augmented Generation (RAG) technology for post-earthquake emergency material demand prediction. By simulating expert decision-making processes, we construct an emergency knowledge base amalgamating standardized protocols, historical seismic case data, and disaster scenario characteristics extracted from digital resources. The framework employs RAG to enhance domain-specific knowledge integration within the reasoning model, utilizing Chain-of-Thought generation to produce differentiated prediction schemes that specify material categories and per-capita demand metrics. Through dynamic updating of population statistics and material requirements via post-disaster network information monitoring, the system achieves real-time demand prediction based on evolving victim counts and individualized allocation parameters. Validation through expert evaluations using the 2013 Ya'an Lushan earthquake and simulated disaster scenarios demonstrates effectiveness, with successful practical implementation observed in the January 7, 2025, Dingri M6.8 earthquake case.</t>
  </si>
  <si>
    <t>10.1109/ACCESS.2025.3578192</t>
  </si>
  <si>
    <t>WOS:001508110100006</t>
  </si>
  <si>
    <t>Nezami, Z; Zaidi, SAR; Hafeez, M; Xu, J; Djemame, K</t>
  </si>
  <si>
    <t>Nezami, Zeinab; Zaidi, Syed Ali Raza; Hafeez, Maryam; Xu, Jie; Djemame, Karim</t>
  </si>
  <si>
    <t>Toward standardization of GenAI-driven agentic architectures for radio access networks</t>
  </si>
  <si>
    <t>generative artificial intelligence (GenAI); radio access networks (RAN); large language models (LLMs); 6G networks; standardization; Telecom; agentic architecture</t>
  </si>
  <si>
    <t>The adoption of Generative Artificial Intelligence (GenAI) in Radio Access Networks (RAN) presents new opportunities for automation and intelligence across network operations. GenAI-powered agents, leveraging Large Language Models (LLMs), can enhance planning, execution, and decision-making for orchestration and real-time optimisation of 6G networks. Standardizing the implementation of the Agentic architecture for RAN is now essential to establish a unified framework for RANOps and AgentOps. One of the key challenges is to develop a blueprint that incorporates best practices for memory integration, tool generation, multi-agent orchestration, and performance benchmarking. This study highlights key areas requiring standardization, including agent tool specifications, RAN-specific LLM fine-tuning, validation frameworks, and AI-friendly documentation. We propose a dedicated research initiative on GenAI-for-RAN and GenAI-on-RAN to address these gaps and advance AI-driven network automation.</t>
  </si>
  <si>
    <t>JUL 22</t>
  </si>
  <si>
    <t>10.3389/frai.2025.1621963</t>
  </si>
  <si>
    <t>WOS:001543602200001</t>
  </si>
  <si>
    <t>Meyer, S; Elsweiler, D</t>
  </si>
  <si>
    <t>Meyer, Selina; Elsweiler, David</t>
  </si>
  <si>
    <t>LLM-based conversational agents for behaviour change support: A randomised controlled trial examining efficacy, safety, and the role of user behaviour</t>
  </si>
  <si>
    <t>INTERNATIONAL JOURNAL OF HUMAN-COMPUTER STUDIES</t>
  </si>
  <si>
    <t>Human-computer-interaction; Behaviour change; Large language models; Conversational agents</t>
  </si>
  <si>
    <t>CONTEMPLATION LADDER; CLIENT EVALUATION; LANGUAGE; INTERVENTION; VALIDATION; ENGAGEMENT; READINESS; VALIDITY; SCALE; AI</t>
  </si>
  <si>
    <t>This study examines the use of Motivational Interviewing (MI) principles in a GPT-4-based chatbot, MIcha, to promote behaviour change. We conducted a pre-registered randomised controlled trial to assess the integration of MI techniques in conversational agents, aiming to support users' behaviour change through guided self-reflection and identify how users interact with large language model (LLM)-based systems in this context. Results indicate that short conversations with LLM-based chatbots are successful at increasing users' readiness to change and usage of MI principles during text generation can effectively mitigate potential harms. Additionally, we identified distinct user behaviour types - cooperative, reflective, and pre-informed-that significantly influenced the outcomes of interactions. These findings demonstrate the potential of MI principles in enhancing the efficacy of conversational agents for behaviour change and highlight the importance of user behaviour in shaping interaction dynamics.</t>
  </si>
  <si>
    <t>1071-5819</t>
  </si>
  <si>
    <t>1095-9300</t>
  </si>
  <si>
    <t>10.1016/j.ijhcs.2025.103514</t>
  </si>
  <si>
    <t>Computer Science; Engineering; Psychology</t>
  </si>
  <si>
    <t>WOS:001494341200001</t>
  </si>
  <si>
    <t>Ren, RT; Ma, J; Zheng, ZM</t>
  </si>
  <si>
    <t>Ren, Runtao; Ma, Jian; Zheng, Zhimin</t>
  </si>
  <si>
    <t>Large language model for interpreting research policy using adaptive two-stage retrieval augmented fine-tuning method</t>
  </si>
  <si>
    <t>Generative AI; Large Language Model; Retrieval-augmented Generation; Fine-tuning; Interpretability</t>
  </si>
  <si>
    <t>Accurate interpretation of scientific funding policies is crucial for government funding agencies and research institutions to make informed decisions and allocate research funds effectively. However, current large language model (LLM)-based systems often generate responses without references, leading to a lack of interpretability needed for policy enforcement. This study introduces the Adaptive Two-stage Retrieval Augmented Fine-Tuning (AT-RAFT) method, a novel LLM-based approach specifically designed for science policy interpretation. AT-RAFT incorporates three complementary artifacts: a two-stage retrieval mechanism, adaptive hard-negative fine-tuning, and an interpretable response interface. It is trained directly on policy documents, allowing the model to provide reference answers based on retrieved text while also offering the original policy context to enhance interpretability. Our experiments demonstrate that AT-RAFT improves retrieval accuracy by 48% and generation performance by 44% compared to existing baseline systems, effectively supporting real-world decision-making tasks for stakeholders in research institutions and funding agencies. Our proposed method has been adopted by ScholarMate, the largest professional research social networking platform in China, and is now deployed on their platform, providing global users with access to advanced policy interpretation tools. Additionally, a demo version of the instantiated interface is available at https://github.com/renruntao/ResearchPolicy_RAG.</t>
  </si>
  <si>
    <t>JUN 10</t>
  </si>
  <si>
    <t>10.1016/j.eswa.2025.127330</t>
  </si>
  <si>
    <t>WOS:001461489800001</t>
  </si>
  <si>
    <t>Cohen, T; Xu, WZ; Guo, Y; Pakhomov, S; Leroy, G</t>
  </si>
  <si>
    <t>Cohen, Trevor; Xu, Weizhe; Guo, Yue; Pakhomov, Serguei; Leroy, Gondy</t>
  </si>
  <si>
    <t>Coherence and comprehensibility: Large language models predict lay understanding of health-related content</t>
  </si>
  <si>
    <t>layperson comprehension; Large language models; Text coherence; Word embeddings</t>
  </si>
  <si>
    <t>TEXT; READABILITY; KNOWLEDGE; LITERACY</t>
  </si>
  <si>
    <t>Health literacy is a prerequisite to informed health-related decision making. To facilitate understanding of information, text should be presented at an appropriate reading level for the reader. Cognitive studies suggest that the coherence of a text - the interconnectedness between the ideas it expresses - is especially important for low-knowledge readers, who lack the background knowledge to draw inferences from text that is implicitly connected only. Prior work in cognitive science has yielded automated methods to estimate coherence. These methods estimate the proximity between text representations in a semantic vector space, with the underlying idea that units of text that are poorly connected will be further apart in this space. In addition, recent work with large language models (LLMs) has produced probabilistic methodological analogues that have yet to be evaluated for this purpose. This work concerns the relationship between these automated measures and layperson comprehension of biomedical text. To characterize this relationship, we applied a range of automated measures of text coherence to a set of text snippets, some of which were deliberately modified to improve their accessibility in a series of reading comprehension experiments. Results indicate significant associations between reader comprehension - as estimated using multiple-choice questions - and LLM-derived coherence metrics. Interventions designed to improve the comprehensibility of passages also improved their coherence, as measured with the best-performing LLM-derived models and shown by improved reader understanding of the text. These findings support the utility of LLM-derived measures of text coherence as a means to identify gaps in connectedness that make biomedical text difficult for laypeople to understand, with the potential to inform both manual and automated methods to improve the accessibility of the biomedical literature.</t>
  </si>
  <si>
    <t>10.1016/j.jbi.2024.104758</t>
  </si>
  <si>
    <t>WOS:001385947200001</t>
  </si>
  <si>
    <t>Kim, SH; Park, D; Lee, J; Lee, SY; Chong, Y</t>
  </si>
  <si>
    <t>Kim, Sang Hun; Park, Dongkyu; Lee, Jongmin; Lee, So Young; Chong, Yosep</t>
  </si>
  <si>
    <t>Humanoid artificial consciousness designed with Large Language Model based on psychoanalysis and personality theory☆</t>
  </si>
  <si>
    <t>Artificial consciousness; Large Language Model; Generative AI; MBTI</t>
  </si>
  <si>
    <t>Human consciousness is still a concept hard to define with current scientific understanding. Although Large Language Models (LLMs) have recently demonstrated significant advancements across various domains including translation and summarization, human consciousness is not something to imitate with current upfront technology owing to so-called hallucination. This study, therefore, proposes a novel approach to address these challenges by integrating psychoanalysis and the Myers-Briggs Type Indicator (MBTI) into constructing consciousness and personality modules. We developed three artificial consciousnesses (selfawareness, unconsciousness, and preconsciousness) based on the principles of psychoanalysis. Additionally, we designed 16 characters with different personalities representing the sixteen MBTI types, with several attributes such as needs, status, and memories. To determine if our model's artificial consciousness exhibits human-like cognition, we created ten distinct situations considering seven attributes such as emotional understanding and logical thinking. The decision-making process of artificial consciousness and the final action were evaluated in three ways: survey evaluation, three-tier classification via ChatGPT, and qualitative review. Both quantitative and qualitative analyses indicated a high likelihood of well-simulated consciousness, although the difference in response between different characters and consciousnesses was not very significant. This implies that the developed models incorporating elements of psychoanalysis and personality theory can lead to building a more intuitive and adaptable AI system with humanoid consciousness. Therefore, this study contributes to opening up new avenues for improving AI interactions in complex cognitive contexts.</t>
  </si>
  <si>
    <t>10.1016/j.cogsys.2025.101392</t>
  </si>
  <si>
    <t>WOS:001582930400001</t>
  </si>
  <si>
    <t>Tsoutsanis, P; Tsoutsanis, A</t>
  </si>
  <si>
    <t>Tsoutsanis, Panagiotis; Tsoutsanis, Aristotelis</t>
  </si>
  <si>
    <t>Evaluation of Large language model performance on the Multi-Specialty Recruitment Assessment (MSRA) exam</t>
  </si>
  <si>
    <t>COMPUTERS IN BIOLOGY AND MEDICINE</t>
  </si>
  <si>
    <t>Large language models; Artificial intelligence; Medical education; Medical exam</t>
  </si>
  <si>
    <t>ARTIFICIAL-INTELLIGENCE; SURGICAL EDUCATION; CHATGPT</t>
  </si>
  <si>
    <t>Introduction: AI-powered platforms have gained prominence in medical education and training, offering diverse applications from surgical performance assessment to exam preparation. This research paper examines the capabilities of Large Language Models (LLMs), including Llama 2, Google Bard, Bing Chat, and ChatGPT-3.5, in answering multiple-choice questions of the Clinical Problem Solving (CPS) paper of the Multi-Specialty Recruitment Assessment (MSRA) exam.Methods: Using a dataset of 100 CPS questions from ten subject categories, we assessed the LLMs' performance against medical doctors preparing for the exam.Results: Results showed that Bing Chat outperformed all other LLMs and even surpassed human users from the Qbank question bank. Conversely, Llama 2's performance was inferior to human users. Google Bard and ChatGPT 3.5 did not exhibit statistically significant differences in correct response rates compared to human candidates. Pairwise comparisons demonstrated Bing Chat's significant superiority over Llama 2, Google Bard, and ChatGPT 3.5. However, no significant differences were found between Llama 2 and Google Bard, Llama 2, and ChatGPT3.5, and Google Bard and ChatGPT-3.5.Discussion: Freely available LLMs have already demonstrated that they can perform as well or even outperform human users in answering MSRA exam questions. Bing Chat emerged as a particularly strong performer. The study also highlights the potential for enhancing LLMs' medical knowledge acquisition through tailored finetuning. Medical knowledge tailored LLMs such as Med-PaLM, have already shown promising results. Conclusion: We provided valuable insights into LLMs' competence in answering medical MCQs and their potential integration into medical education and assessment processes.</t>
  </si>
  <si>
    <t>0010-4825</t>
  </si>
  <si>
    <t>1879-0534</t>
  </si>
  <si>
    <t>10.1016/j.compbiomed.2023.107794</t>
  </si>
  <si>
    <t>DEC 2023</t>
  </si>
  <si>
    <t>Life Sciences &amp; Biomedicine - Other Topics; Computer Science; Engineering; Mathematical &amp; Computational Biology</t>
  </si>
  <si>
    <t>WOS:001134721800001</t>
  </si>
  <si>
    <t>Thomson, R; Pyke, A</t>
  </si>
  <si>
    <t>Thomson, Robert; Pyke, Aryn</t>
  </si>
  <si>
    <t>Social cybersecurity in 2023: a review of the 16th annual SBP-BRiMS conference</t>
  </si>
  <si>
    <t>COMPUTATIONAL AND MATHEMATICAL ORGANIZATION THEORY</t>
  </si>
  <si>
    <t>Social cybersecurity; Decision-making; Moral reasoning; COVID-19; Large language model; Online harassment</t>
  </si>
  <si>
    <t>Increasing amounts of digital data, embedded sensors that collecting human information, rapidly changing communication media, changes in legislation concerning digital rights and privacy, spread of 4 G technology to developing countries and development of 5 G technology, the rise of large language models, and other changes are creating a new cyber-mediated world in which the very precepts of why, when, and how people interact and make decisions is being called into question. The goal of this conference is to build this new community of social cyber scholars by bringing together and fostering interaction between members of the scientific, corporate, government and military communities, who are interested in understanding, forecasting, and impacting human sociocultural behavior. Fortunately, as the papers in this volume illustrate, this community is poised to answer these challenges. In this special issue, we recognize the best conference papers, as well as the best challenge problem submissions. These six papers represent some of the breadth of work presented at the 16th Annual SBP-BRiMS Conference (2023).</t>
  </si>
  <si>
    <t>1381-298X</t>
  </si>
  <si>
    <t>1572-9346</t>
  </si>
  <si>
    <t>10.1007/s10588-025-09400-w</t>
  </si>
  <si>
    <t>Computer Science; Mathematics; Mathematical Methods In Social Sciences</t>
  </si>
  <si>
    <t>WOS:001467624100001</t>
  </si>
  <si>
    <t>Wang, ZL; Wan, CH; Liu, J; Zhang, X; Wang, HF; Hu, YM; Hu, ZX</t>
  </si>
  <si>
    <t>Wang, Zelong; Wan, Chenhui; Liu, Jie; Zhang, Xi; Wang, Haifeng; Hu, Youmin; Hu, Zhongxu</t>
  </si>
  <si>
    <t>MASC: Large language model-based multi-agent scheduling chain for flexible job shop scheduling problem</t>
  </si>
  <si>
    <t>Intelligent manufacturing; Flexible job shop scheduling; Large language model; Multi-agent systems</t>
  </si>
  <si>
    <t>The flexible job shop scheduling problem (FJSP) presents significant challenges in intelligent manufacturing due to the need for efficient resource allocation and dynamic rescheduling. Traditional solutions often require manual intervention and lack real-time adaptability. This paper introduces the Multi-Agent Scheduling Chain (MASC) framework, which leverages large language models (LLMs) for enhanced decision-making and automated equipment control. MASC integrates four agents to manage dynamic scheduling and real-time rescheduling effectively. SchedAgent (Scheduling Agent) uses an improved ReAct method, combining FJSPspecific scheduling indicators and fine-tuned decision algorithms to optimize results. The DialBag (Dialogue Bagging) method is also introduced, constructing a specialized dataset to prevent knowledge loss and enhance decision-making. This method allows the agent to retain knowledge across diverse scheduling contexts while improving performance in specific tasks. MASC was validated through simulations and real-world robotic experiments, handling both machine malfunctions and urgent job additions. These tests demonstrated MASC's robust performance, with significant improvements in scheduling efficiency and rescheduling accuracy. Quantitative results showed that SchedAgent consistently achieved high ranking percentages, with an average ranking percentage of 84% at a 10-second solving time and 90% at a 30-second solving time. MASC provides a scalable and adaptable solution for intelligent manufacturing, demonstrating the potential of LLMs to automate and optimize production workflows in both static and dynamic environments.</t>
  </si>
  <si>
    <t>10.1016/j.aei.2025.103527</t>
  </si>
  <si>
    <t>WOS:001514217900002</t>
  </si>
  <si>
    <t>Ferdinan, T; Mieleszczenko-Kowszewicz, W; Kocon, J; Kazienko, P</t>
  </si>
  <si>
    <t>Ferdinan, Teddy; Mieleszczenko-Kowszewicz, Wiktoria; Kocon, Jan; Kazienko, Przemyslaw</t>
  </si>
  <si>
    <t>Architectural Concepts for Integrating Fundamental Drives and Emotions Into Artificial Intelligence</t>
  </si>
  <si>
    <t>Neuroscience; Large language models; Artificial general intelligence; Green products; Training data; Psychology; Regulation; Safety; Artificial intelligence; Intelligent systems</t>
  </si>
  <si>
    <t>Current large language models display limited emotional intelligence, often mimicking affective patterns without genuine understanding, which raises manipulation and safety risks. We argue that artificial intelligence (AI) should prioritize long-term human well-being over short-term engagement, and that advancing toward artificial general intelligence (AGI) requires embedding fundamental drives and artificial emotions in model architectures. Building on Lazarus's cognitive-rational theory, we propose a framework with an emotional module and a rational module, where artificial drives guide affective appraisal and decision-making. This enables alignment of artificial emotions with core values-such as human well-being, fairness, and environmental preservation-anchoring AI safety at the architectural level rather than through post hoc fixes. We discuss technical and ethical challenges, including data needs and reward modeling, and call for open science and regulation to ensure human-centered AGI.</t>
  </si>
  <si>
    <t>10.1109/MIS.2025.3622004</t>
  </si>
  <si>
    <t>WOS:001632419000003</t>
  </si>
  <si>
    <t>Wu, TJ; Ling, Q</t>
  </si>
  <si>
    <t>Wu, Tangjie; Ling, Qiang</t>
  </si>
  <si>
    <t>GLALLM: Adapting LLMs for spatio-temporal wind speed forecasting via global-local aware modeling</t>
  </si>
  <si>
    <t>Wind speed forecasting; Large language models; Global-local aware; Hypergraph network</t>
  </si>
  <si>
    <t>Nowadays, the escalating environmental pollution necessitates the worldwide applications of clean energy. As an environmentally friendly energy source, wind energy has gained increasing attention. Nevertheless, the inherent intermittence of wind brings significant challenges to wind energy systems. To ensure stable energy production, it is crucial to achieve accurate wind speed forecasting. Recently, Large Language Model (LLM) based models have emerged as one of the most promising methods for time series forecasting. However, these methods mainly focus on long-term temporal modeling, may omit the short-term spatial dependencies obscured in time series data, potentially resulting in less effective spatio-temporal forecasting performance. To address this limitation, we propose a novel Global-Local Aware Large Language Model (GLALLM), which adapts LLMs for spatio-temporal wind speed forecasting via global-local aware modeling. Specifically, we employ a global branch that leverages the strength of LLMs to extract the long-term temporal patterns, while introducing a spatio-temporal hypergraph neural network as a local branch to learn short-term spatial correlations. Moreover, to facilitate the integration of global and local information, we develop a spatio-temporal aware fusion module with meta networks to enhance the complementarity of the two branches. Extensive experiments on several real-world datasets demonstrate the effectiveness of GLALLM.</t>
  </si>
  <si>
    <t>JUL 19</t>
  </si>
  <si>
    <t>10.1016/j.knosys.2025.113739</t>
  </si>
  <si>
    <t>WOS:001500538900004</t>
  </si>
  <si>
    <t>Elmazi, K; Elmazi, D; Lerga, J</t>
  </si>
  <si>
    <t>Elmazi, Klea; Elmazi, Donald; Lerga, Jonatan</t>
  </si>
  <si>
    <t>Proactive context aware task offloading in digital twin driven federated IoT systems with large language models</t>
  </si>
  <si>
    <t>Digital twins; Federated learning; Multi-agent reinforcement learning; Large language models; Computation offloading</t>
  </si>
  <si>
    <t>This study considers the combination of Digital Twins (DT), Federated Learning (FL), and computation offloading to establish a context-aware framework for effective resource management in IoT networks. Although DT models can predict battery levels, CPU usage, and network delays to aid reinforcement learning (RL) agents, earlier RL-based controllers require significant training and are slow to adapt to changes. To overcome this issue, we propose a Large Language Model (LLM)-assisted offloading method that transforms real-time DT predictions and selected historical Explainable DT with Federated Multi-Agent RL (MARL) examples into structured natural-language prompts. Through in-context learning, LLM deduces offloading tactics without retraining, while FL aligns global convergence metrics to optimize the balance between inference accuracy and energy efficiency. Simulation studies conducted for baseline and unstable wireless network scenarios reveal that the LLM controller persistently maintains near-optimal latency and reduces energy use. In a baseline scenario with N = 36 devices, the LLM achieves an average latency of 252 ms, which is only 5% higher than edge offloading, while cutting energy consumption by around 20%. Under unstable wireless conditions, it achieves an average latency of 276 ms with energy use of 0.122 J, as opposed to 0.154 J for edge offloading. These findings validate that LLM-based decision making facilitates scalable, adaptive, and energy-efficient task scheduling, presenting a viable alternative to RL controllers in DT-enabled federated IoT systems.</t>
  </si>
  <si>
    <t>10.1016/j.iot.2025.101826</t>
  </si>
  <si>
    <t>WOS:001626941500002</t>
  </si>
  <si>
    <t>Zhang, JY; Li, HW; Deng, DS; Wang, YS; Matsumoto, T</t>
  </si>
  <si>
    <t>Zhang, Jinyi; Li, Haowei; Deng, Dashuai; Wang, Yanshu; Matsumoto, Tadahiro</t>
  </si>
  <si>
    <t>PhraseBT: A phrase-level back-translation data augmentation method for neural machine translation</t>
  </si>
  <si>
    <t>Machine translation; Phrase-level; Data augmentation; back-translation; Large language model</t>
  </si>
  <si>
    <t>In the field of machine translation, parallel corpora from news, movie, and TV subtitles are often used, but acquiring these corpora is challenging. We began our exploration with Japanese song lyrics and their Chinese translations, collecting over 700K manually translated Japanese-Chinese parallel sentences by web crawling, expanding the parallel corpora for machine translation in this language pair, and providing researchers with novel lyrical data. To enhance the translation quality of this corpus, we proposed a Phrase-level back-translation data augmentation method (PhraseBT) for neural machine translation. Experiments across various language pairs have demonstrated that this method effectively improves machine translation performance, offering a new avenue for data augmentation in this field. Additionally, we combined this method with the Meta-Llama-3-8B-Instruct (Llama3-8B-Instruct) Large Language Model (LLM), utilizing the strengths of both techniques: the grammar correction and general language modeling capabilities of LLMs, and the focused enhancements provided by phrase-level back-translation. This hybrid approach further enhanced translation quality, showcasing cutting-edge practices in machine translation.</t>
  </si>
  <si>
    <t>10.1016/j.neucom.2025.130832</t>
  </si>
  <si>
    <t>WOS:001546808500006</t>
  </si>
  <si>
    <t>Huang, QB; Li, PJ; Wang, WZ; Zhang, XM; Chen, SZ; Cheng, HN; Liu, ZY</t>
  </si>
  <si>
    <t>Huang, Qingbao; Li, Pijian; Wang, Wenzhi; Zhang, Xingmao; Chen, Shizhen; Cheng, Haonan; Liu, Zhiyue</t>
  </si>
  <si>
    <t>Knowledge-enhanced Chinese multimodal hate speech detection</t>
  </si>
  <si>
    <t>Dataset; Chinese multimodal hate speech; Large language models</t>
  </si>
  <si>
    <t>Hate speech has become one of the malignant tumors threatening social media platforms. Multimodal hate speech detection aims to ascertain whether a given image with the corresponding text conveys hate, which has emerged as a focal point of research within the scholarly community. Although multimodal hate speech detection has made significant progress in English, the hate detection models cannot perform well in Chinese scenarios due to the difference of culture and linguistic structures between Chinese and English. To fill these gaps, we propose the task of Chinese multimodal hate speech detection, which requires models to deeply understand hate expression forms in the context of Chinese and the interplay between texts and images. To support the research on Chinese multimodal hate speech detection, we construct a Chinese multimodal hate speech dataset called CMMHS, which contains 8122 images and Weibo texts. We propose a knowledge-enhanced multimodal model named KMTCH as a baseline, which leverages Large Language Models (LLMs) to extract background information for hate detection in text and utilizes CLIP to bridge the gap between visual and text modality. Additionally, for enhancing the capability that model recognizes Chinese hate terms, we incorporate a Chinese hate lexicon as external knowledge to embed text features. Experimental results on multiple evaluation metrics demonstrate the superiority of our model.</t>
  </si>
  <si>
    <t>10.1016/j.eswa.2025.129906</t>
  </si>
  <si>
    <t>WOS:001617982400001</t>
  </si>
  <si>
    <t>Jain, A; Krishnamurthy, V</t>
  </si>
  <si>
    <t>Jain, Adit; Krishnamurthy, Vikram</t>
  </si>
  <si>
    <t>Interacting Large Language Model Agents Bayesian Social Learning Based Interpretable Models</t>
  </si>
  <si>
    <t>Bayes methods; Stochastic processes; Signal processing algorithms; Signal processing; Microeconomics; Inference algorithms; Engines; Data models; Numerical models; Bayesian social learning; large language models; Bayesian revealed preferences; structural results; optimal stopping POMDPs; self-attention; rational inattention; model collapse; model collapse</t>
  </si>
  <si>
    <t>GRAPHS</t>
  </si>
  <si>
    <t>This paper discusses the theory and algorithms for interacting large language model agents (LLMAs) using methods from statistical signal processing and microeconomics. While both fields are mature, their application to decision-making involving interacting LLMAs remains unexplored. Motivated by Bayesian sentiment analysis on online platforms, we construct interpretable models and stochastic control algorithms that enable LLMAs to interact and perform Bayesian inference. Because interacting LLMAs learn from both prior decisions and external inputs, they can exhibit bias and herding behavior. Thus, developing interpretable models and stochastic control algorithms is essential to understand and mitigate these behaviors. This paper has three main results. First, we show using Bayesian revealed preferences from microeconomics that an individual LLMA satisfies the necessary and sufficient conditions for rationally inattentive (bounded rationality) Bayesian utility maximization and, given an observation, the LLMA chooses an action that maximizes a regularized utility. Second, we utilize Bayesian social learning to construct interpretable models for LLMAs that interact sequentially with each other and the environment while performing Bayesian inference. Our proposed models capture the herding behavior exhibited by interacting LLMAs. Third, we propose a stochastic control framework to delay herding and improve state estimation accuracy under two settings: 1) centrally controlled LLMAs and 2) autonomous LLMAs with incentives. Throughout the paper, we numerically demonstrate the effectiveness of our methods on real datasets for hate speech classification and product quality assessment, using open-source models like LLaMA and Mistral and closed-source models like ChatGPT. The main takeaway of this paper, based on substantial empirical analysis and mathematical formalism, is that LLMAs act as rationally bounded Bayesian agents that exhibit social learning when interacting. Traditionally, such models are used in economics to study interacting human decision-makers.</t>
  </si>
  <si>
    <t>10.1109/ACCESS.2025.3538599</t>
  </si>
  <si>
    <t>WOS:001420279300049</t>
  </si>
  <si>
    <t>Planat, M; Amaral, M</t>
  </si>
  <si>
    <t>Planat, Michel; Amaral, Marcelo</t>
  </si>
  <si>
    <t>What ChatGPT Has to Say About Its Topological Structure: The Anyon Hypothesis</t>
  </si>
  <si>
    <t>large language models; ChatGPT; topology; anyons; SU(2)k</t>
  </si>
  <si>
    <t>EXPLAINABLE ARTIFICIAL-INTELLIGENCE; NON-ABELIAN ANYONS; SIMULATION</t>
  </si>
  <si>
    <t>Large language models (LLMs) achieve remarkable predictive capabilities but remain opaque in their internal reasoning, creating a pressing need for more interpretable artificial intelligence. Here, we propose bridging this explanatory gap by drawing on concepts from topological quantum computing (TQC), specifically the anyonic frameworks arising from SU(2)k theories. Anyons interpolate between fermions and bosons, offering a mathematical language that may illuminate the latent structure and decision-making processes within LLMs. By examining how these topological constructs relate to token interactions and contextual dependencies in neural architectures, we aim to provide a fresh perspective on how meaning and coherence emerge. After eliciting insights from ChatGPT and exploring low-level cases of SU(2)k models, we argue that the machinery of modular tensor categories and topological phases could inform more transparent, stable, and robust AI systems. This interdisciplinary approach suggests that quantum-theoretic principles may underpin a novel understanding of explainable AI.</t>
  </si>
  <si>
    <t>10.3390/make6040137</t>
  </si>
  <si>
    <t>WOS:001384897300001</t>
  </si>
  <si>
    <t>Mmbayi, II; Gakii, C; Musyoka, FM</t>
  </si>
  <si>
    <t>Mmbayi, Ian Igado; Gakii, Consolata; Musyoka, Faith Mueni</t>
  </si>
  <si>
    <t>Sentiment Analysis-Based Model for Monitoring User Engagement With Mental Health Chatbots</t>
  </si>
  <si>
    <t>aspect-based analysis; BERT; chatbots; machine learning; mental health; sentiment analysis; SMOTE; user reviews</t>
  </si>
  <si>
    <t>TECHNOLOGY</t>
  </si>
  <si>
    <t>Mental health challenges, particularly among youth, are compounded by stigma and limited access to professional care. This has driven demand for scalable digital solutions like chatbots. This study introduces a sentiment analysis-based model to assess user satisfaction with mental health chatbots, analyzing 82 102 reviews from six popular apps on Google Play and Apple's App Stores. A multi-class sentiment classification of positive, negative, and neutral was implemented, enhanced by Synthetic Minority Over-sampling Technique for class balancing, comparing five traditional machine learning models with Bidirectional Encoder Representations from Transformers, a transformer model. Random Forest achieved 98.18% accuracy among traditional models, while BERT outperformed all with 99.17% accuracy, surpassing prior benchmarks. Aspect-based analysis revealed that Emotion and Usability drive positive feedback, while Reliability issues fuel negative sentiments, offering actionable insights for developers to enhance chatbot design. This work advances digital mental health research by integrating multi-class classification, transformer models, and aspect-based analysis, demonstrating a scalable framework for evaluating user feedback.</t>
  </si>
  <si>
    <t>e70247</t>
  </si>
  <si>
    <t>10.1002/eng2.70247</t>
  </si>
  <si>
    <t>WOS:001518764300048</t>
  </si>
  <si>
    <t>Weng, LX; Liu, S; Zhu, H; Sun, JS; Kam-Kwai, W; Han, DM; Zhu, MF; Chen, W</t>
  </si>
  <si>
    <t>Weng, Luoxuan; Liu, Shi; Zhu, Hang; Sun, Jiashun; Kam-Kwai, Wong; Han, Dongming; Zhu, Minfeng; Chen, Wei</t>
  </si>
  <si>
    <t>Towards an understanding and explanation for mixed-initiative artificial scientific text detection</t>
  </si>
  <si>
    <t>INFORMATION VISUALIZATION</t>
  </si>
  <si>
    <t>Large language models; mixed-initiative; visual analytics; explainable artificial intelligence</t>
  </si>
  <si>
    <t>Large language models (LLMs) have gained popularity in various fields for their exceptional capability of generating human-like text. Their potential misuse has raised social concerns about plagiarism in academic contexts. However, effective artificial scientific text detection is a non-trivial task due to several challenges, including (1) the lack of a clear understanding of the differences between machine-generated and human-written scientific text, (2) the poor generalization performance of existing methods caused by out-of-distribution issues, and (3) the limited support for human-machine collaboration with sufficient interpretability during the detection process. In this paper, we first identify the critical distinctions between machine-generated and human-written scientific text through a quantitative experiment. Then, we propose a mixed-initiative workflow that combines human experts' prior knowledge with machine intelligence, along with a visual analytics system to facilitate efficient and trustworthy scientific text detection. Finally, we demonstrate the effectiveness of our approach through two case studies and a controlled user study. We also provide design implications for interactive artificial text detection tools in high-stakes decision-making scenarios.</t>
  </si>
  <si>
    <t>1473-8716</t>
  </si>
  <si>
    <t>1473-8724</t>
  </si>
  <si>
    <t>10.1177/14738716241240156</t>
  </si>
  <si>
    <t>WOS:001198947700001</t>
  </si>
  <si>
    <t>Vilakati, S</t>
  </si>
  <si>
    <t>Vilakati, Sifiso</t>
  </si>
  <si>
    <t>Prompt engineering for accurate statistical reasoning with large language models in medical research</t>
  </si>
  <si>
    <t>prompt engineering; large language models; statistical reasoning; medical research; AI-assisted data analysis; evaluation frameworks; LLM-as-a-judge; statistical assumption checking</t>
  </si>
  <si>
    <t>Background The integration of generative artificial intelligence (AI), particularly large language models (LLMs), into medical statistics offers transformative potential. However, it also introduces risks of erroneous responses, especially in tasks requiring statistical rigor.Objective To evaluate the effectiveness of various prompt engineering strategies in guiding LLMs toward accurate and interpretable statistical reasoning in biomedical research.Methods Four prompting strategies: zero-shot, explicit instruction, chain-of-thought, and hybrid were assessed using artificial datasets involving descriptive and inferential statistical tasks. Outputs from GPT-4.1 and Claude 3.7 Sonnet were evaluated using Microsoft Copilot as an LLM-as-a-judge, with human oversight.Results Zero-shot prompting was sufficient for basic descriptive tasks but failed in inferential contexts due to lack of assumption checking. Hybrid prompting, which combines explicit instructions, reasoning scaffolds, and format constraints, consistently produced the most accurate and interpretable results. Evaluation scores across four criteria-assumption checking, test selection, output completeness, and interpretive quality confirmed the superiority of structured prompts.Conclusion Prompt design is a critical determinant of output quality in AI-assisted statistical analysis. Hybrid prompting strategies should be adopted as best practice in medical research to ensure methodological rigor and reproducibility. Additional testing with newer models, including Claude 4 Sonnet, Claude 4 Opus, o3 mini, and o4 mini, confirmed the consistency of results, supporting the generalizability of findings across both Anthropic and OpenAI model families. This study highlights prompt engineering as a core competency in AI-assisted medical research and calls for the development of standardized prompt templates, evaluation rubrics, and further studies across diverse statistical domains to support robust and reproducible scientific inquiry.</t>
  </si>
  <si>
    <t>OCT 13</t>
  </si>
  <si>
    <t>10.3389/frai.2025.1658316</t>
  </si>
  <si>
    <t>WOS:001600237000001</t>
  </si>
  <si>
    <t>Huang, W; Deng, XY</t>
  </si>
  <si>
    <t>Huang, Wei; Deng, Xiaoyun</t>
  </si>
  <si>
    <t>Real-time tracking railway intruders using multiple-agent cooperated large language models with edge stream processing engine</t>
  </si>
  <si>
    <t>Intruder tracking; Edge computing; Multi-agent systems; Large language models; Internet of Things</t>
  </si>
  <si>
    <t>SYSTEMS; NETWORK</t>
  </si>
  <si>
    <t>Tracking intruders is crucial for ensuring safe railway operations globally, particularly in high-speed railway systems. Traditional methods either rely on post-processing on cloud platforms or suffer from limited analytical capabilities on edge devices. Although large language models (LLMs) have shown great potential to support general intelligence, challenges remain for edge devices in accurately and timely tracking of intruders along railway lines. This study proposes a novel method that combines a multi-agent cooperative framework (MetaGPT) with an edge stream processing engine (GeoEkuiper). Unlike most methods, this study adopts an agent-cooperative spatial data analysis approach employing a debate-and-vote strategy. Specifically, GeoEkuiper is responsible for processing high-speed and large volume of geospatial data streams regarding location history and object characteristics, while the modified MetaGPT framework facilitates information sharing and decision-making between agents that use LLMs. By enabling each edge device to engage in a debate about the presence of detected targets within their monitoring areas, the system utilizes a simple voting agent to determine which devices are most likely to observe the target. Considering the resource limitations of edge devices, we fine-tuned small yet powerful LLMs to direct GeoEkuiper to iteratively compute spatial affinity relationships using Structured Query Language (SQL) statements, which facilitate human-edge interaction. Based on tests conducted on resource-constrained edge devices such as Raspberry Pi devices interconnected in an unstable networking environment, we found that this approach significantly enhances the accuracy and responsiveness of intruder tracking in real-time scenarios, providing a robust solution for railway security applications.</t>
  </si>
  <si>
    <t>10.1016/j.jnca.2025.104231</t>
  </si>
  <si>
    <t>WOS:001510938400001</t>
  </si>
  <si>
    <t>Lin, QL; Hu, ZP; Ma, J</t>
  </si>
  <si>
    <t>Lin, Qianli; Hu, Zhipeng; Ma, Jun</t>
  </si>
  <si>
    <t>The Personality of the Intelligent Cockpit? Exploring the Personality Traits of In-Vehicle LLMs with Psychometrics</t>
  </si>
  <si>
    <t>large language models; in-vehicle large language models; intelligent cockpit; personality tests; Human-Artificial Intelligence Interaction</t>
  </si>
  <si>
    <t>DARK TRIAD; MACHIAVELLIANISM; METAANALYSIS; NARCISSISM</t>
  </si>
  <si>
    <t>The development of large language models (LLMs) has promoted a transformation of human-computer interaction (HCI) models and has attracted the attention of scholars to the evaluation of personality traits of LLMs. As an important interface for the HCI and human-machine interface (HMI) in the future, the intelligent cockpit has become one of LLM's most important application scenarios. When in-vehicle intelligent systems based on in-vehicle LLMs begin to become human assistants or even partners, it has become important to study the personality of in-vehicle LLMs. Referring to the relevant research on personality traits of LLMs, this study selected the psychological scales Big Five Inventory-2 (BFI-2), Myers-Briggs Type Indicator (MBTI), and Short Dark Triad (SD-3) to establish a personality traits evaluation framework for in-vehicle LLMs. Then, we used this framework to evaluate the personality of three in-vehicle LLMs. The results showed that psychological scales can be used to measure the personality traits of in-vehicle LLMs. In-vehicle LLMs showed commonalities in extroversion, agreeableness, conscientiousness, and action patterns, yet differences in openness, perception, decision-making, information acquisition methods, and psychopathy. According to the results, we established anthropomorphic personality personas of different in-vehicle LLMs. This study represents a novel attempt to evaluate the personalities of in-vehicle LLMs. The experimental results deepen our understanding of in-vehicle LLMs and contribute to the further exploration of personalized fine-tuning of in-vehicle LLMs and the improvement in the user experience of the automobile in the future.</t>
  </si>
  <si>
    <t>10.3390/info15110679</t>
  </si>
  <si>
    <t>WOS:001365328700001</t>
  </si>
  <si>
    <t>Ai, QY; Bai, T; Cao, Z; Chang, Y; Chen, JW; Chen, ZM; Cheng, ZY; Dong, SB; Dou, ZC; Feng, FL; Gao, S; Guo, JF; He, XN; Lan, YY; Li, CL; Liu, YQ; Lyu, Z; Ma, WZ; Ma, J; Ren, ZC; Ren, PJ; Wang, ZQ; Wang, MW; Wen, JR; Wu, L; Xin, X; Xu, J; Yin, DW; Zhang, P; Zhang, F; Zhang, WA; Zhang, M; Zhu, XF</t>
  </si>
  <si>
    <t>Ai, Qingyao; Bai, Ting; Cao, Zhao; Chang, Yi; Chen, Jiawei; Chen, Zhumin; Cheng, Zhiyong; Dong, Shoubin; Dou, Zhicheng; Feng, Fuli; Gao, Shen; Guo, Jiafeng; He, Xiangnan; Lan, Yanyan; Li, Chenliang; Liu, Yiqun; Lyu, Ziyu; Ma, Weizhi; Ma, Jun; Ren, Zhaochun; Ren, Pengjie; Wang, Zhiqiang; Wang, Mingwen; Wen, Ji-Rong; Wu, Le; Xin, Xin; Xu, Jun; Yin, Dawei; Zhang, Peng; Zhang, Fan; Zhang, Weinan; Zhang, Min; Zhu, Xiaofei</t>
  </si>
  <si>
    <t>Information Retrieval meets Large Language Models: A strategic report from Chinese IR community</t>
  </si>
  <si>
    <t>AI OPEN</t>
  </si>
  <si>
    <t>Information Retrieval; Language Models; Recommendation system</t>
  </si>
  <si>
    <t>The research field of Information Retrieval (IR) has evolved significantly, expanding beyond traditional search to meet diverse user information needs. Recently, Large Language Models (LLMs) have demonstrated exceptional capabilities in text understanding, generation, and knowledge inference, opening up exciting avenues for IR research. LLMs not only facilitate generative retrieval but also offer improved solutions for user understanding, model evaluation, and user-system interactions. More importantly, the synergistic relationship among IR models, LLMs, and humans forms a new technical paradigm that is more powerful for information seeking. IR models provide real-time and relevant information, LLMs contribute internal knowledge, and humans play a central role of demanders and evaluators to the reliability of information services. Nevertheless, significant challenges exist, including computational costs, credibility concerns, domain-specific limitations, and ethical considerations. To thoroughly discuss the transformative impact of LLMs on IR research, the Chinese IR community conducted a strategic workshop in April 2023, yielding valuable insights. This paper provides a summary of the workshop's outcomes, including the rethinking of IR's core values, the mutual enhancement of LLMs and IR, the proposal of a novel IR technical paradigm, and open challenges.</t>
  </si>
  <si>
    <t>2666-6510</t>
  </si>
  <si>
    <t>10.1016/j.aiopen.2023.08.001</t>
  </si>
  <si>
    <t>WOS:001222186000001</t>
  </si>
  <si>
    <t>Gupta, T; Tripathi, A; Dubey, AK; Chahar, R</t>
  </si>
  <si>
    <t>Gupta, Tanisha; Tripathi, Akarsh; Dubey, Ashutosh Kumar; Chahar, Ravita</t>
  </si>
  <si>
    <t>Enhancing the imitation game: a trust-based model for distinguishing human and machine participants</t>
  </si>
  <si>
    <t>Imitation game; Turing test; Artificial intelligence; Trust factor; Large language models</t>
  </si>
  <si>
    <t>PERFORMANCE; CHATGPT</t>
  </si>
  <si>
    <t>Since 1950, the imitation game has captured the interest of researchers investigating human-machine differences. Designed to evaluate machine cognition through a game-based framework, its complexity demands refinement. The imitation game utilizes this game-based setup, but its inherent intricacy calls for further enhancements. The fundamental question of whether machines are capable of genuine thought has been a key issue in artificial intelligence (AI) studies. Recent developments challenge the ease of differentiation, as AI enables machines to display human-like characteristics. This paper seeks to address the shortcomings of the original Turing test and criticisms of the imitation game by introducing an integrated model. Although machines currently operate based on our instructions, they can learn from errors and produce novel responses through generative AI techniques, even though they do not experience emotions. In this study, a new trust-based model was introduced to improve the imitation game. This model integrated various factors to assess the reliability of participants' responses, including grammatical accuracy, response time, thinking duration, response speed, creativity, and the use of human-like expressions. The goal was to calculate a trust factor that determines the likelihood of a participant being a human or machine. To evaluate the model's performance, a comprehensive dataset was developed using a chat generative pretrained transformer (ChatGPT-3.5). Two other large language models (LLMs), the large language model meta AI (Llama 3) and the Claude LLM, were also taken into account. To simulate the experiment with human participants, human-generated text was also included. The simulation results revealed that GPT-3.5 Turbo, Llama 3, and Claude LLM performed differently in terms of grammatical accuracy, human-like phrasing, creativity, and trust factors. GPT-3.5 and Llama 3 had lower error rates but struggled with human-like phrases. Claude resulted in more grammatical errors but better creativity. The human participants consistently showed greater trust and human-like phrase usage. Probability assessments categorized machines with 71-78% accuracy, whereas humans were identified with only a 29-36% chance of being a machine.</t>
  </si>
  <si>
    <t>JAN 29</t>
  </si>
  <si>
    <t>10.1007/s10489-024-06133-2</t>
  </si>
  <si>
    <t>WOS:001409066100001</t>
  </si>
  <si>
    <t>Wu, ZX; Dong, YZ; Li, YYR; Shi, BF</t>
  </si>
  <si>
    <t>Wu, Zongxiao; Dong, Yizhe; Li, Yaoyiran; Shi, Baofeng</t>
  </si>
  <si>
    <t>Unleashing the power of text for credit default prediction: Comparing human-written and generative AI-refined texts</t>
  </si>
  <si>
    <t>OR in banking; Generative AI; Large language model; Credit risk; Text mining</t>
  </si>
  <si>
    <t>This study explores the integration of a representative large language model, ChatGPT, into lending decision-making with a focus on credit default prediction. Specifically, we use ChatGPT to analyse and interpret loan assessments written by loan officers and generate refined versions of these texts. Our comparative analysis reveals significant differences between generative artificial intelligence (AI)-refined and human-written texts in terms of text length, semantic similarity, and linguistic representations. Using deep learning techniques, we show that incorporating unstructured text data, particularly ChatGPT-refined texts, alongside conventional structured data significantly enhances credit default predictions. Furthermore, we demonstrate how the contents of both human-written and ChatGPT-refined assessments contribute to the models' prediction and show that the effect of essential words is highly context-dependent. Moreover, we find that ChatGPT's analysis of borrower delinquency contributes the most to improving predictive accuracy. We also evaluate the business impact of the models based on human-written and ChatGPT-refined texts, and find that, in most cases, the latter yields higher profitability than the former. This study provides valuable insights into the transformative potential of generative AI in financial services.</t>
  </si>
  <si>
    <t>10.1016/j.ejor.2025.04.032</t>
  </si>
  <si>
    <t>WOS:001530466600020</t>
  </si>
  <si>
    <t>Lim, KH; Kang, U; Li, X; Kim, JS; Jung, YC; Park, S; Kim, BH</t>
  </si>
  <si>
    <t>Lim, Kyung Ho; Kang, Ujin; Li, Xiang; Kim, Jin Sung; Jung, Young-Chul; Park, Sangjoon; Kim, Byung-Hoon</t>
  </si>
  <si>
    <t>Susceptibility of Large Language Models to User-Driven Factors in Medical Queries</t>
  </si>
  <si>
    <t>Large language model; Natural language processing; Artificial intelligence; Clinical decision support systems; Diagnostic errors; Bias</t>
  </si>
  <si>
    <t>Large language models (LLMs) are increasingly used in healthcare; however, their reliability is shaped not only by model design but also by how queries are phrased and how complete the information is. This study assesses how user-driven factors, including misinformation framing, source authority, model personas, and omission of critical clinical details, influence the diagnostic accuracy and reliability of LLM-generated medical responses. Utilizing two public datasets (MedQA and Medbullets), we conducted two tests: (1) perturbation-evaluating LLM persona (assistant vs. expert AI), misinformation source authority (inexperienced vs. expert), and tone (assertive vs. hedged); and (2) ablation-omission of key clinical data. Proprietary LLMs (GPT-4o (OpenAI), Claude-35 Sonnet (Anthropic), Claude-35 Haiku (Anthropic), Gemini-15 Pro (Google), Gemini-15 Flash (Google)) and open-source LLMs (LLaMA-3 8B, LLaMA-3 Med42 8B, DeepSeek-R1 8B) were used for evaluation. Results show that in the perturbation test, all LLMs were susceptible to user-driven misinformation, with an assertive tone exerting the strongest overall impact, while proprietary models were more vulnerable to strong or authoritative misinformation. In the ablation test, omitting physical examination findings and laboratory results caused the largest accuracy decline. Proprietary models achieved higher baseline accuracy but demonstrated sharper performance drops under biased or incomplete input. These findings highlight that structured prompts and a complete clinical context are essential for accurate responses. Users should avoid authoritative misinformation framing and provide a complete clinical context, especially for complex and challenging queries. By clarifying the impact of user-driven biases, this study contributes insights to the safe integration of LLMs into healthcare practice.</t>
  </si>
  <si>
    <t>2025 DEC 1</t>
  </si>
  <si>
    <t>10.1007/s41666-025-00218-4</t>
  </si>
  <si>
    <t>WOS:001627903000001</t>
  </si>
  <si>
    <t>Park, S; Nan, XL</t>
  </si>
  <si>
    <t>Park, Seyeon; Nan, Xiaoli</t>
  </si>
  <si>
    <t>Generative AI and misinformation: a scoping review of the role of generative AI in the generation, detection, mitigation, and impact of misinformation</t>
  </si>
  <si>
    <t>Generative AI; Misinformation; Fake news; Large language models; LLM</t>
  </si>
  <si>
    <t>FRIEND; FOE</t>
  </si>
  <si>
    <t>The rapid advancement of generative artificial intelligence (AI) has introduced both opportunities and challenges in the fight against misinformation. This scoping review synthesizes recent empirical studies to explore the dual role of generative AI-particularly large language models (LLMs)-in the generation, detection, mitigation, and impact of misinformation. Analyzing 24 empirical studies, our review suggests that LLMs can generate highly convincing misinformation, often exploiting cognitive biases and ideological leanings of the audiences, while also demonstrating the ability to detect false claims and enhance users' resistance to misinformation. Mitigation efforts show mixed results, with personalized corrections proving effective but safeguards inconsistently applied. Additionally, exposure to AI-generated misinformation was found to reduce trust and influence decision-making. This review underscores the need for standardized evaluation metrics, interdisciplinary collaboration, and stronger regulatory measures to ensure the responsible use of generative AI in the information ecosystem.</t>
  </si>
  <si>
    <t>2025 SEP 30</t>
  </si>
  <si>
    <t>10.1007/s00146-025-02620-3</t>
  </si>
  <si>
    <t>WOS:001584113000001</t>
  </si>
  <si>
    <t>Zhao, AQ; Gui, ZP; Liang, JY; Liu, YH; Peng, DH; Wei, WZ; Hou, SY; Wu, HY</t>
  </si>
  <si>
    <t>Zhao, Anqi; Gui, Zhipeng; Liang, Jianyuan; Liu, Yuhang; Peng, Dehua; Wei, Wenzhang; Hou, Shuyang; Wu, Huayi</t>
  </si>
  <si>
    <t>Extraction of geoprocessing modeling knowledge from crowdsourced Google Earth Engine scripts by coordinating large and small language models</t>
  </si>
  <si>
    <t>Geoprocessing; large language model; prompt engineering; chain of thought; ontology mapping</t>
  </si>
  <si>
    <t>BIG DATA APPLICATIONS; SEARCH; GRAPH</t>
  </si>
  <si>
    <t>The widespread use of online geoinformation platforms, such as Google Earth Engine (GEE), has produced numerous scripts. Extracting domain knowledge from these crowdsourced scripts supports understanding of geoprocessing workflows. Small Language Models (SLMs) are effective for semantic embedding but struggle with complex code; Large Language Models (LLMs) can summarize scripts, yet lack consistent geoscience terminology to express knowledge. In this paper, we propose Geo-CLASS, a knowledge extraction framework for geospatial analysis scripts that coordinates large and small language models. Specifically, we designed domain-specific schemas and a schema-aware prompt strategy to guide LLMs to generate and associate entity descriptions, and employed SLMs to standardize the outputs by mapping these descriptions to a constructed geoscience knowledge base. Experiments on 237 GEE scripts, selected from 295,943 scripts in total, demonstrated that our framework outperformed LLM baselines, including Llama-3, GPT-3.5 and GPT-4o. In comparison, the proposed framework improved accuracy in recognizing entities and relations by up to 31.9% and 12.0%, respectively. Ablation studies and performance analysis further confirmed the effectiveness of key components and the robustness of the framework. Geo-CLASS has the potential to enable the construction of geoprocessing modeling knowledge graphs, facilitate domain-specific reasoning and advance script generation via Retrieval-Augmented Generation (RAG).</t>
  </si>
  <si>
    <t>2025 NOV 1</t>
  </si>
  <si>
    <t>10.1080/13658816.2025.2577252</t>
  </si>
  <si>
    <t>WOS:001606490400001</t>
  </si>
  <si>
    <t>Hadid, A; Chakraborty, T; Busby, D</t>
  </si>
  <si>
    <t>Hadid, Abdenour; Chakraborty, Tanujit; Busby, Daniel</t>
  </si>
  <si>
    <t>When geoscience meets generative AI and large language models: Foundations, trends, and future challenges</t>
  </si>
  <si>
    <t>artificial intelligence; deep learning; diffusion models; generative adversarial networks; generative AI; geoscience; large language models; physics-informed neural networks</t>
  </si>
  <si>
    <t>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</si>
  <si>
    <t>10.1111/exsy.13654</t>
  </si>
  <si>
    <t>WOS:001246156700001</t>
  </si>
  <si>
    <t>Jiang, S; Chai, WC; Zhang, MJ; Cao, JN; Xuan, SC; Shen, JX</t>
  </si>
  <si>
    <t>Jiang, Shan; Chai, Wenchang; Zhang, Mingjin; Cao, Jiannong; Xuan, Shichang; Shen, Jiaxing</t>
  </si>
  <si>
    <t>Verifying energy generation via edge LLM for web3-based decentralized clean energy networks</t>
  </si>
  <si>
    <t>Decentralized energy networks; Web3; Large language models; Edge LLM</t>
  </si>
  <si>
    <t>The global transition to clean energy is critical to achieving climate goals, yet traditional centralized systems face challenges in flexibility, grid resilience, and equitable access. While decentralized web3-based energy networks offer promising alternatives, existing solutions lack robust architectures to integrate distributed generation with real-time demand and fail to provide trustworthy energy verification mechanisms. This work introduces DeCEN, a decentralized clean energy network that synergizes collaborative edge computing and web3 technologies to address these gaps. DeCEN leverages autonomous edge devices to collect and process sensory data from renewable generators, enabling localized decision-making and verification of energy production. A layer-2 blockchain solution establishes a transparent web3 ecosystem, connecting clean energy generators and consumers through tokenized incentives for green energy activities. To combat fraud, DeCEN incorporates a novel large language model (LLM)-based energy verification protocol that analyzes sensory data to validate renewable claims, ensuring accountability and stabilizing token value. Additionally, a distributed LLM inference algorithm partitions LLMs into shards deployable on resource-constrained edge devices, enabling decentralized, low-latency processing while preserving data privacy and minimizing communication overhead. By integrating edge computing, blockchain, and AI-driven verification, DeCEN improves the reliability, trust, and efficiency of decentralized clean energy networks, offering a scalable pathway toward global renewable energy targets.</t>
  </si>
  <si>
    <t>10.1016/j.inffus.2025.103752</t>
  </si>
  <si>
    <t>WOS:001577648500004</t>
  </si>
  <si>
    <t>Frazzetto, P; Haq, MUU; Fabris, F; Sperduti, A</t>
  </si>
  <si>
    <t>Frazzetto, Paolo; Haq, Muhammad Uzair Ul; Fabris, Flavia; Sperduti, Alessandro</t>
  </si>
  <si>
    <t>Graph Neural Networks for Candidate-Job Matching: An Inductive Learning Approach</t>
  </si>
  <si>
    <t>DATA SCIENCE AND ENGINEERING</t>
  </si>
  <si>
    <t>Graph neural networks; Personnel selection; Human resource management; Large language models; Recruitment</t>
  </si>
  <si>
    <t>RANKING</t>
  </si>
  <si>
    <t>This work introduces a novel graph-based approach to candidate-job matching using Graph Neural Networks (GNNs). We analyzed data from 62 real-world selection processes encompassing 8360 unique candidates and 9532 applications, characterized by extreme class imbalance (95% rejection rate). Our methodology constructs purpose-built bipartite graphs for each candidate-job pair, with 14 nodes representing candidates, jobs, and their respective attributes extracted using Large Language Models. Each graph contains a minimum of 15 edges representing semantic relationships between entities, with edge weights derived from embedding similarity measures. We empirically evaluated five GNN architectures (GCN, MIGNN, GIN, GAT, GraphConv) against standard neural networks across binary and ordinal classification tasks. In binary classification, graph-based approaches consistently outperformed non-graph baselines, with GCN achieving 65.4% balanced accuracy compared to 55.0% for the MLP baseline. GNN models also demonstrated superior minority class detection, with GCN correctly identifying 48.9% of qualified candidates versus only 8.5% for MLP. Statistical analysis revealed that higher recruitment stages correlate with increased graph connectivity, validating our graph construction methodology. While all models struggled with ordinal classification, the explicit modeling of semantic relationships through graph structures enabled effective binary discrimination for candidate screening, offering a promising direction for augmenting human decision-making in recruitment processes while maintaining interpretability.</t>
  </si>
  <si>
    <t>2364-1185</t>
  </si>
  <si>
    <t>2364-1541</t>
  </si>
  <si>
    <t>2025 JUN 9</t>
  </si>
  <si>
    <t>10.1007/s41019-025-00293-y</t>
  </si>
  <si>
    <t>WOS:001504419400001</t>
  </si>
  <si>
    <t>Jiang, C; Yang, XL</t>
  </si>
  <si>
    <t>Jiang, Cong; Yang, Xiaolei</t>
  </si>
  <si>
    <t>AgentsBench: A Multi-Agent LLM Simulation Framework for Legal Judgment Prediction</t>
  </si>
  <si>
    <t>multi-agent systems; large language model; judicial decision making; legal judgment prediction</t>
  </si>
  <si>
    <t>The justice system has increasingly applied AI techniques for legal judgment to enhance efficiency. However, most AI techniques focus on decision-making outcomes, failing to capture the deliberative nature of the real-world judicial process. To address these challenges, we propose a large language model-based multi-agent framework named AgentsBench. Our approach leverages multiple LLM-driven agents that simulate the discussion process of the Chinese judicial bench, which is often composed of professional and lay judge agents. We conducted experiments on a legal judgment prediction task, and the results show that our framework outperforms existing LLM-based methods in terms of performance and decision quality. By incorporating these elements, our framework reflects real-world judicial processes more closely, enhancing accuracy, fairness, and societal consideration. While the simulation is based on China's lay judge system, our framework is generalizable and can be adapted to various legal scenarios and other legal systems involving collective decision-making processes.</t>
  </si>
  <si>
    <t>2079-8954</t>
  </si>
  <si>
    <t>AUG 1</t>
  </si>
  <si>
    <t>10.3390/systems13080641</t>
  </si>
  <si>
    <t>WOS:001558218000001</t>
  </si>
  <si>
    <t>Du, KZ; Yang, B; Xie, KQ; Dong, N; Zhang, ZP; Wang, SL; Mo, F</t>
  </si>
  <si>
    <t>Du, Kaze; Yang, Bo; Xie, Keqiang; Dong, Nan; Zhang, Zhengping; Wang, Shilong; Mo, Fan</t>
  </si>
  <si>
    <t>LLM-MANUF: An integrated framework of Fine-Tuning large language models for intelligent Decision-Making in manufacturing</t>
  </si>
  <si>
    <t>Large Language Model; Integrated Framework; Fine-Tuning; Manufacturing; Intelligent Decision-Making</t>
  </si>
  <si>
    <t>KNOWLEDGE; SYSTEMS</t>
  </si>
  <si>
    <t>Intelligent decision-making is pivotal for unlocking the value of industrial knowledge and enhancing the manufacturing sector across diverse scenarios. However, traditional decision-making methods in manufacturing fail to fully capture the complex interrelationships among various components, often resulting in biased decisions. As a novel productivity tools, large language models (LLMs) have strong contextual semantic parsing capabilities. Therefore, this paper proposes a fine-tuned LLMs integration framework for intelligent decisionmaking in manufacturing. The framework enables the extraction of decision-making information from diverse feature subspaces through multiple parallel fine-tuned LLMs, which generate several preliminary decisionmaking plans. Subsequently, the framework models the probabilities of these plans to derive a ranked list of candidates. It then employs RoBERTa and a Dynamic Weighted Mixture of Experts Ranking Method (DWMOE) to perform multi-dimensional feature extraction and candidate ranking, guided by a multi-metric head. Finally, the best fine-tuned LLM is used to fuse the top-ranked candidates, minimizing bias in the final decision-making process. To evaluate the efficacy of LLM-MANUF, we construct a dataset of manufacturing product equipment operation and maintenance texts based on a specific automotive enterprise. The results indicate that the LLMMANUF not only outperforms individual fine-tuned LLMs but also matches the performance of LLMs with 30B parameters, achieving a BLEU-4 score of 83.37 points, which demonstrates exceptional reliability and effectiveness. LLM-MANUF provides a powerful intelligent decision-making support tool for manufacturing decisionmaking models.</t>
  </si>
  <si>
    <t>10.1016/j.aei.2025.103263</t>
  </si>
  <si>
    <t>WOS:001448863000001</t>
  </si>
  <si>
    <t>Ma, D; Pang, JX; Velan, SS; Gotway, MB; Liang, JM</t>
  </si>
  <si>
    <t>Ma, Dongao; Pang, Jiaxuan; Velan, Shivasakthi Senthil; Gotway, Michael B.; Liang, Jianming</t>
  </si>
  <si>
    <t>Ark plus : Supervised training a single high-performance AI foundation model from many differently labeled datasets-no label consolidation required</t>
  </si>
  <si>
    <t>Foundation models; Accruing and reusing knowledge; Label heterogeneity; Federated learning</t>
  </si>
  <si>
    <t>This article presents a methodological breakthrough in supervised learning for training a single, robust, and highperformance artificial intelligence (AI) model using a multitude of datasets labeled differently-yet requiring no manual label harmonization and imposing no restriction on application domains. Deep learning offers expert-level and sometimes even super-expert-level performance, but achieving such performance demands massive labeled data for training. For example, Google's proprietary CXR Foundation Model (CXR-FM) was trained on 821,544 labeled and mostly private chest radiographs (CXRs). Numerous datasets are publicly released in medical imaging. They are individually small and heterogeneous in expert labels, but collectively large. Therefore, we envision a powerful and robust AI foundation model trained in a supervised manner by aggregating numerous public, labeled datasets. Realizing this vision requires overcoming a long-standing barrier: label heterogeneity across the datasets to be used for the supervised training of a single outstanding model. To this end, we have developed Ark+, a framework that accrues and reuses knowledge from heterogeneous expert annotations associated with various datasets. To demonstrate the capability of Ark+, we pretrained a family of Ark+ models, including Ark+5 and Ark+6 on 335,484 and 704,363 CXRs, respectively, by merging multiple public datasets including MIMIC-CXR, CheXpert, ChestX-ray14, RSNA Pneumonia, VinDr-CXR, and Shenzhen-CXR. We evaluated the two Ark+ models on a wide range of imaging tasks covering classification, segmentation, and localization via fine-tuning, linear-probing, and sex-bias analysis, and demonstrated Ark+'s superior and robust performance over the state-of-the-art fully/self-supervised baselines and Google's proprietary CXR-FM. Ark+ has several distinctive and advantageous properties by design. To unveil its inner workings, we performed a series of ablation studies to show the contribution from each of its components and its superiority over alternative strategies. To demonstrate its capabilities of incorporating privacy-preserving data and addressing heterogeneous annotations across private clients in federated learning, we simulated Ark+ in various distributed training environments. To highlight its independence of architecture and scalability in image resolution, we developed two Ark+6 models with different architectures in different resolutions. To assess its neutrality in imaging modality and extensibility to different modalities, we pretrained a new Ark+ model on fundus photography. The enhanced performance of Ark+ is attributable to our simple yet powerful insight: aggregating various datasets diversifies patient populations and accrues knowledge from many experts, yielding unprecedented performance while simultaneously reducing annotation costs. Given the ubiquity of heterogeneous data and labels across disciplines including biology, chemistry, physics, medicine, and the social sciences, the concept underlying Ark+ is poised to have far-reaching implications beyond imaging. With all codes and pretrained models released at https://github.com/JLiangLab/Ark, we anticipate that Ark+ will exert an important impact on open science, as it demonstrates that accruing and reusing knowledge from expert annotations in even only public datasets can surpass the performance of proprietary models trained on unusually large data. We hope that Ark+ will inspire more researchers worldwide to share codes and datasets to build open, superior, and robust foundation models, accelerate open science, and democratize AI.</t>
  </si>
  <si>
    <t>10.1016/j.media.2025.103828</t>
  </si>
  <si>
    <t>WOS:001632374300002</t>
  </si>
  <si>
    <t>Wang, XR; Zhang, XG; Hoo, V; Shao, ZH; Zhang, XG</t>
  </si>
  <si>
    <t>Wang, Xuran; Zhang, Xinguang; Hoo, Vanessa; Shao, Zhouhang; Zhang, Xuguang</t>
  </si>
  <si>
    <t>LegalReasoner: A Multi-Stage Framework for Legal Judgment Prediction via Large Language Models and Knowledge Integration</t>
  </si>
  <si>
    <t>Law; Cognition; Artificial intelligence; Predictive models; Natural language processing; Decision making; Large language models; Transformers; Contrastive learning; Knowledge based systems; Legal judgment prediction; large language models; knowledge integration; multi-hop reasoning</t>
  </si>
  <si>
    <t>Legal judgment prediction (LJP) presents a formidable challenge in artificial intelligence, demanding intricate comprehension of legal texts, nuanced interpretation of statutes, and complex reasoning over multifaceted case elements. While recent advancements in natural language processing have shown promise, existing approaches often struggle to capture the sophisticated interplay between facts, legal principles, and precedents that characterize legal decision-making. This paper introduces LegalReasoner, a novel multi-stage framework that leverages large language models (LLMs) and integrates domain-specific knowledge for enhanced legal judgment prediction. Our approach encompasses four key stages: 1) legal knowledge infusion, where we pre-train an LLM on a vast corpus of legal literature using contrastive learning techniques; 2) case-law retrieval, employing a graph neural network to identify relevant precedents and statutes; 3) multi-hop reasoning, utilizing a transformer-based architecture with a hierarchical attention mechanism to navigate complex legal arguments; and 4) judgment synthesis, where we employ a generative adversarial network to produce coherent and legally sound judgments. We evaluate LegalReasoner on two diverse datasets: the European Court of Human Rights (ECHR) cases and the Chinese AI and Law Challenge (CAIL2018). Our framework demonstrates substantial improvements over state-of-the-art baselines, achieving an average accuracy increase of 7.8% across all datasets. Furthermore, we conduct extensive ablation studies and interpretability analyses to elucidate the contributions of each component and provide insights into the model's decision-making process. Our work not only advances the field of automated legal reasoning but also offers a transparent and explainable system that could serve as a valuable tool for legal professionals. By bridging the gap between AI and legal expertise, LegalReasoner paves the way for more efficient, consistent, and fair legal decision-making processes.</t>
  </si>
  <si>
    <t>10.1109/ACCESS.2024.3496666</t>
  </si>
  <si>
    <t>WOS:001358248500002</t>
  </si>
  <si>
    <t>He, C; Tian, Y; Lu, ZC</t>
  </si>
  <si>
    <t>He, Cheng; Tian, Ye; Lu, Zhichao</t>
  </si>
  <si>
    <t>Artificial evolutionary intelligence (AEI): evolutionary computation evolves with large language models</t>
  </si>
  <si>
    <t>JOURNAL OF MEMBRANE COMPUTING</t>
  </si>
  <si>
    <t>Evolutionary computation; Large language model; Optimization; Learning; Decision-making</t>
  </si>
  <si>
    <t>DIFFERENTIAL EVOLUTION; GENETIC ALGORITHMS; OPTIMIZATION; SCALE; COMPLEXITY; MANAGEMENT; OPERATORS</t>
  </si>
  <si>
    <t>Deep learning (DL) and evolutionary computation (EC), two main branches of artificial intelligence, have attracted attention in a far different way over the past decades. On the one hand, the DL area focuses on recognizing data patterns for simulating the human brain's complex decision-making power, which has witnessed the boosting of large language models (LLMs). LLMs have shown inspiring adeptness at mastering many multimodal tasks, thanks to the big data for pre-training, the large-sized architecture for learning, and the tailored optimization strategies for fine-tuning. On the other hand, the EC community paid more attention to solving complex computational tasks, aiming to extend the global search capability of meta-heuristic methods by mimicking natural biological evolution. Nevertheless, the development of EC in real-world scenarios is far from satisfactory compared with DL; even the EC itself is seldom used in the optimization tasks within DL/LLMs. This paper provides a look at the future of EC from the perspective of artificial evolutionary intelligence (AEI), i.e., the cooperative evolution of EC and artificial general intelligence with the assistance of LLMs. A paradigm of LLM for EC has been discussed to provide some potential research topics for the interdisciplinary between optimization and learning. Specifically, three main issues of LLMs are considered for AEI, i.e., the multi-modal representation capability for encoding, reproduction, and selection, a general model for versatile learning such as surrogate, dimensionality reduction, configuration, recommendation, and generative models, and the ability to understand EC in terms of the EC concepts, EC codes, and EC behaviors. Furthermore, an open-source platform has been realized, which is expected to promote research in AEI and its applications.</t>
  </si>
  <si>
    <t>2523-8906</t>
  </si>
  <si>
    <t>2523-8914</t>
  </si>
  <si>
    <t>10.1007/s41965-024-00172-x</t>
  </si>
  <si>
    <t>WOS:001352730700001</t>
  </si>
  <si>
    <t>Han, YQ; Yang, ML; Ren, Y; Li, WZ</t>
  </si>
  <si>
    <t>Han, Yanqiao; Yang, Menglong; Ren, Yang; Li, Weizheng</t>
  </si>
  <si>
    <t>Large Language Model Guided Reinforcement Learning Based Six-Degree-of-Freedom Flight Control</t>
  </si>
  <si>
    <t>Aerospace control; Aircraft; Atmospheric modeling; Training; Deep reinforcement learning; Adaptation models; Decision making; Intelligent control; Intelligent flight control; large language model; deep reinforcement learning; 6 DOF aircraft</t>
  </si>
  <si>
    <t>GENERATION; UAV</t>
  </si>
  <si>
    <t>As artificial intelligence (AI) technology advances rapidly, its increasing involvement in military defense fosters intelligent air combat domain development. The Intelligent Flight Controller (IFC) is a crucial technology and foundation for intelligent air combat decision-making systems. Controlling 6 Degree-of-freedom (DOF) aircraft in close-to-real-world environments requires an adaptable and dynamic decision-making controller. Most IFC researches focus on simplistic flight trajectory design and validation, while air combat requires aircraft that can perform complex tactical maneuvers. Deep reinforcement learning (DRL) provides a suitable technical paradigm. However, DRL suffers from sparse rewards, insufficient supervisory signals, low sampling efficiency, and slow convergence. In contrast, Large Language Model (LLM) possesses abundant knowledge about the real world, contextual understanding, and reasoning capabilities. By leveraging this, LLM can serve as prior knowledge for DRL, thereby reducing DRL training time. This paper proposes an LLM-guided deep reinforcement learning framework for IFC, which utilizes LLM-guided deep reinforcement learning to achieve intelligent flight control under limited computational resources. LLM provides direct guidance during training based on local knowledge, which improves the quality of data generated in agent-environment interaction within DRL, expedites training, and offers timely feedback to agents, thereby partially mitigating sparse reward issues. Additionally, we present an effective reward function to comprehensively balance the aircraft coupling control to ensure stable, flexible control. Finally, simulations and experiments show that the proposed techniques have good performance, robustness, and adaptability across various flight tasks, laying a foundation for future research in the intelligent air combat decision-making domain.</t>
  </si>
  <si>
    <t>10.1109/ACCESS.2024.3411015</t>
  </si>
  <si>
    <t>WOS:001262677200001</t>
  </si>
  <si>
    <t>Yang, SQ; Jing, MR; Wang, S; Huang, ZG; Wang, JQ; Kou, JX; Shi, MF; Xia, ZT; Wei, QP; Xing, WJ; Hu, Y; Zhu, Z</t>
  </si>
  <si>
    <t>Yang, Shuqi; Jing, Mingrui; Wang, Shuai; Huang, Zongan; Wang, Jiaqing; Kou, Jiaxin; Shi, Manfei; Xia, Zhentao; Wei, Qipeng; Xing, Weijie; Hu, Yan; Zhu, Zheng</t>
  </si>
  <si>
    <t>Building trustworthy large language model-driven generative recommender system for healthcare decision support: A scoping review of corpus sources, customization techniques, and evaluation frameworks</t>
  </si>
  <si>
    <t>ARTIFICIAL INTELLIGENCE IN MEDICINE</t>
  </si>
  <si>
    <t>Large language model; Generative recommender systems; Artificial intelligence; Corpora; Customization techniques; Evaluation metrics; Healthcare</t>
  </si>
  <si>
    <t>Introduction: Large Language Model-Driven Generative Recommender Systems (LLM-GRSs) are playing a growing role in healthcare, particularly in clinical question-answering. This study reviews their corpus sources, customization techniques, and evaluation metrics. Methods: We conducted a systematic search of PubMed, Embase, Scopus, and Web of Science for studies published between January 2021 and August 2025 that applied LLM-GRSs to deliver medical or healthcare information. Eligible studies included publications describing LLMs designed to emulate clinical decision-making by providing diagnostic or therapeutic recommendations through dialogue-based interfaces. Two reviewers independently screened studies and extracted data on corpus sources, model architectures, customization methods, and evaluation metrics. Results: A total of 61 articles were included. Corpus sources were grouped into clinical data (n = 25), literature (n = 34), open datasets (n = 37), and web-crawled data (n = 15), with many using multiple types. Most studies (n = 43) combined multiple approaches. Customization techniques included prompt engineering, retrievalaugmented generation and model fine-tuning. Twenty-four studies used a single customization technique, while 37 studies combined these methods during model development. The evaluation metrics were classified into three main domains: process metrics, usability metrics, and outcome metrics. The outcome metrics included both model-based and manual-assessed evaluations. Conclusion: LLM-GRSs hold considerable promise in healthcare; however, their safety and reliability hinge on the use of evidence-based training corpora, transparent system design, and standardized evaluation protocols within real-world clinical environments.</t>
  </si>
  <si>
    <t>0933-3657</t>
  </si>
  <si>
    <t>1873-2860</t>
  </si>
  <si>
    <t>10.1016/j.artmed.2025.103310</t>
  </si>
  <si>
    <t>Computer Science; Engineering; Medical Informatics</t>
  </si>
  <si>
    <t>WOS:001632406000001</t>
  </si>
  <si>
    <t>Panagoulias, DP; Tsoureli-Nikita, E; Virvou, M; Tsihrintzis, GA</t>
  </si>
  <si>
    <t>Panagoulias, Dimitrios P.; Tsoureli-Nikita, Evridiki; Virvou, Maria; Tsihrintzis, George A.</t>
  </si>
  <si>
    <t>Dermacen analytica: A novel methodology integrating multi-modal large language models with machine learning in dermatology</t>
  </si>
  <si>
    <t>Artificial intelligence-empowered software; engineering; Multimodal large language models; Generative-pre-trained-transformers</t>
  </si>
  <si>
    <t>CLINICAL EXAMINATION OSCE</t>
  </si>
  <si>
    <t>Objective: To design, implement, evaluate, and quantify a novel and adaptable Artificial Intelligence-empowered methodology aimed at supporting a dermatologist's workflow in assessing and diagnosing skin conditions, leveraging AI's deep image analytic power and reasoning. Skin presents diverse conditions that no single AI solution can comprehensively address, suggesting that mimicking a medical professional's diagnostic process and creating strategic AI interventions may enhance decision-making. Patients and Methods: We employ large language, transformer-based vision models for image analysis, sophisticated machine learning tools for guideline-based segmentation, and measuring tasks in our system. As no single technology is sufficient on its own for efficient use by dermatologists, we apply a sequential logic with agency to improve outcomes. Results: Using natural language processing methods and incorporating human expert evaluation, our system achieved a weighted accuracy of 87% on the dataset used, demonstrating its reasoning and diagnostic capabilities. Conclusions: This study serves as a proof of concept for the application of AI in dermatology, highlighting its potential to enhance the patient journey for which we approximate the value of such interventions in healthcare using graph theory with an associated cost-optimization objective function.</t>
  </si>
  <si>
    <t>10.1016/j.ijmedinf.2025.105898</t>
  </si>
  <si>
    <t>WOS:001458155100001</t>
  </si>
  <si>
    <t>Kang, S; Chen, B; Yoo, S; Lou, JG</t>
  </si>
  <si>
    <t>Kang, Sungmin; Chen, Bei; Yoo, Shin; Lou, Jian-Guang</t>
  </si>
  <si>
    <t>Explainable automated debugging via large language model-driven scientific debugging</t>
  </si>
  <si>
    <t>Automated Program Repair; Machine Learning</t>
  </si>
  <si>
    <t>PROGRAM REPAIR</t>
  </si>
  <si>
    <t>Automated debugging techniques have the potential to reduce developer effort in debugging. However, while developers want rationales for the provided automatic debugging results, existing techniques are ill-suited to provide them, as their deduction process differs significantly froof human developers. Inspired by the way developers interact with code when debugging, we propose Automated Scientific Debugging (AutoSD), a technique that prompts large language models to automatically generate hypotheses, uses debuggers to interact with buggy code, and thus automatically reach conclusions prior to patch generation. In doing so, we aim to produce explanations of how a specific patch has been generated, with the hope that these explanations will lead to enhanced developer decision-making. Our empirical analysis on three program repair benchmarks shows that AutoSDperforms competitively with other program repair baselines, and that it can indicate when it is confident in its results. Furthermore, we perform a human study with 20 participants to evaluate AutoSD-generated explanations. Participants with access to explanations judged patch correctness more accurately in five out of six real-world bugs studied. Furthermore, 70% of participants answered that they wanted explanations when using repair tools, and 55% answered that they were satisfied with the Scientific Debugging presentation.</t>
  </si>
  <si>
    <t>DEC 18</t>
  </si>
  <si>
    <t>10.1007/s10664-024-10594-x</t>
  </si>
  <si>
    <t>WOS:001379760800001</t>
  </si>
  <si>
    <t>Ye, YL; Zhu, Q; Xiao, SS; Zhang, K; Zeng, W</t>
  </si>
  <si>
    <t>Ye, Yilin; Zhu, Qian; Xiao, Shishi; Zhang, Kang; Zeng, Wei</t>
  </si>
  <si>
    <t>The Contemporary Art of Image Search: Iterative User Intent Expansion via Vision-Language Model</t>
  </si>
  <si>
    <t>Image retrieval; Composed retrieval; Vision-language model; Multimodality; Large language model; Digital gallery</t>
  </si>
  <si>
    <t>Image search is an essential and user-friendly method to explore vast galleries of digital images. However, existing image search methods heavily rely on proximity measurements like tag matching or image similarity, requiring precise user inputs for satisfactory results. To meet the growing demand for a contemporary image search engine that enables accurate comprehension of users' search intentions, we introduce an innovative user intent expansion framework. Our framework leverages visual-language models to parse and compose multi-modal user inputs to provide more accurate and satisfying results. It comprises two-stage processes: 1) a parsing stage that incorporates a language parsing module with large language models to enhance the comprehension of textual inputs, along with a visual parsing module that integrates an interactive segmentation module to swiftly identify detailed visual elements within images; and 2) a logic composition stage that combines multiple user search intents into a unified logic expression for more sophisticated operations in complex searching scenarios. Moreover, the intent expansion framework enables users to perform flexible contextualized interactions with the search results to further specify or adjust their detailed search intents iteratively. We implemented the framework into an image search system for NFT (non-fungible token) search and conducted a user study to evaluate its usability and novel properties. The results indicate that the proposed framework significantly improves users' image search experience. Particularly the parsing and contextualized interactions prove useful in allowing users to express their search intents more accurately and engage in a more enjoyable iterative search experience.</t>
  </si>
  <si>
    <t>CSCW1</t>
  </si>
  <si>
    <t>CCW1</t>
  </si>
  <si>
    <t>10.1145/3641019</t>
  </si>
  <si>
    <t>WOS:001643150400001</t>
  </si>
  <si>
    <t>Tarczewski, T; Stojic, D; Dzielinski, A</t>
  </si>
  <si>
    <t>Tarczewski, Tomasz; Stojic, Djordje; Dzielinski, Andrzej</t>
  </si>
  <si>
    <t>Large Language Model-Based Tuning Assistant for Variable Speed PMSM Drive with Cascade Control Structure</t>
  </si>
  <si>
    <t>cascade control structure; variable speed drive; permanent magnet synchronous motor; tuning assistant; artificial intelligence; large language models</t>
  </si>
  <si>
    <t>A cascade control structure (CCS) is still the most commonly used control scheme in variable speed control (VSC) electrical drives with alternating current (AC) motors. Several tuning methods are used to select the coefficients of controllers applied in CCS. These approaches can be divided into analytical, empirical, and heuristic ones. Regardless of the tuning method used, there is still a question of whether the CCS is tuned optimally in terms of considered performance indicators to provide high-performance behavior of the electrical drive. Recently, artificial intelligence-based methods, e.g., swarm-based metaheuristic algorithms (SBMAs), have been extensively examined in this field, giving promising results. Moreover, the intensive development of artificial intelligence (AI) assistants based on large language models (LLMs) supporting decision-making processes is observed. Therefore, it is worth examining the ability of LLMs to tune the CCS in the VSC electrical drive. This paper investigates tuning methods for the cascade control structure equipped with PI-type current and angular velocity controllers for PMSM drive. Sets of CCS parameters from electrical engineers with different experiences are compared with reference solutions obtained by using the SBMA approach and LLMs. The novel LLM-based Tuning Assistant (TA) is developed and trained to improve the quality of responses. Obtained results are assessed regarding the drive performance, number of attempts, and time required to accomplish the considered task. A quantitative analysis of LLM-based solutions is also presented. The results indicate that AI-based tuning methods and the properly trained Tuning Assistant can significantly improve the performance of VSC electrical drives, while state-of-the-art LLMs do not guarantee high-performance drive operation.</t>
  </si>
  <si>
    <t>10.3390/electronics14020232</t>
  </si>
  <si>
    <t>WOS:001405302200001</t>
  </si>
  <si>
    <t>Nasser, H; Trad, F; Chehab, A</t>
  </si>
  <si>
    <t>Nasser, Hawraa; Trad, Fouad; Chehab, Ali</t>
  </si>
  <si>
    <t>Stacking Large Language Models is All You Need: A Case Study on Phishing Url Detection</t>
  </si>
  <si>
    <t>ensemble learning; stacking; large language models; ensemble LLMs; phishing detection</t>
  </si>
  <si>
    <t>Prompt-engineered Large Language Models (LLMs) have gained widespread adoption across various applications due to their ability to perform complex tasks without requiring additional training. Despite their impressive performance, there is considerable scope for improvement, particularly in addressing the limitations of individual models. One promising avenue is the use of ensemble learning strategies, which combine the strengths of multiple models to enhance overall performance. In this study, we investigate the effectiveness of stacking ensemble techniques for chat-based LLMs in text classification tasks, with a focus on phishing URL detection. Notably, we introduce and evaluate three stacking methods: (1) prompt-based stacking, which uses multiple prompts to generate diverse responses from a single LLM; (2) model-based stacking, which combines responses from multiple LLMs using a unified prompt; (3) hybrid stacking, which integrates the first two approaches by employing multiple prompts across different LLMs to generate responses. For each of these methods, we explore meta-learners of varying complexities, ranging from Logistic Regression to BERT. Additionally, we investigate the impact of including the input text as a feature for the meta-learner. Our results demonstrate that stacking ensembles consistently outperform individual models, achieving superior performance with minimal training and computational overhead. These findings highlight the potential of stacking ensembles in mitigating the limitations of existing methods and significantly enhancing the efficiency and accuracy of chat-based LLMs for text classification tasks.</t>
  </si>
  <si>
    <t>OCT 1</t>
  </si>
  <si>
    <t>10.2478/jaiscr-2025-0017</t>
  </si>
  <si>
    <t>WOS:001527031400005</t>
  </si>
  <si>
    <t>Kilimci, ZH; Yalcin, M; Kucukmanisa, A; Mishra, AK</t>
  </si>
  <si>
    <t>Kilimci, Zeynep Hilal; Yalcin, Mustafa; Kucukmanisa, Ayhan; Mishra, Amit Kumar</t>
  </si>
  <si>
    <t>Advancing heart disease diagnosis with vision-based transformer architectures applied to ECG imagery</t>
  </si>
  <si>
    <t>Heart disease detection; ECG; Vision transformers; Deep learning</t>
  </si>
  <si>
    <t>Cardiovascular disease, a critical medical condition that affects the heart and blood vessels, requires timely detection for effective clinical intervention. This includes coronary artery disease, heart failure, and myocardial infarction. Our goal is to improve the detection of heart disease through proactive interventions and personalized treatments. Early identification of at-risk individuals using advanced technologies can mitigate disease progression and reduce adverse outcomes. Using recent technological advancements, we propose a novel approach for heart disease detection using vision transformer models, namely Google-Vit, Microsoft-Beit, Deit, and Swin-Tiny. This marks the initial application of transformer models to image-based electrocardiogram (ECG) data for the detection of heart disease. The experimental results demonstrate the efficacy of vision transformers in this domain, with BEiT achieving the highest classification accuracy of 95.9% in a 5-fold cross-validation setting, further improving to 96.6% using an 80-20 holdout method. Swin-Tiny also exhibited strong performance with an accuracy of 95.2%, while Google-ViT and DeiT achieved 94.3% and 94.9%, respectively, outperforming many traditional models in ECG-based diagnostics. These findings highlight the potential of vision transformer models in enhancing diagnostic accuracy and risk stratification. The results further underscore the importance of model selection in optimizing performance, with BEiT emerging as the most promising candidate. This study contributes to the growing body of research on transformer-based medical diagnostics and paves the way for future investigations into their clinical applicability and generalizability.</t>
  </si>
  <si>
    <t>10.1016/j.imavis.2025.105666</t>
  </si>
  <si>
    <t>WOS:001539923900001</t>
  </si>
  <si>
    <t>Tahery, S; Farzi, S</t>
  </si>
  <si>
    <t>Tahery, Saedeh; Farzi, Saeed</t>
  </si>
  <si>
    <t>An Adapted Few-Shot Prompting Technique Using ChatGPT to Advance Low-Resource Languages Understanding</t>
  </si>
  <si>
    <t>ChatGPT; few-shot prompting; language understanding tasks; language understanding tasks; large language models; large language models; low-resource languages; low-resource languages; low-resource languages</t>
  </si>
  <si>
    <t>The lack of annotated data in low-resource languages presents a significant challenge in natural language processing, particularly for language understanding tasks such as intent detection and slot filling. To address this, we propose a novel approach that first employs an effective cross-lingual transfer model to generate labeled data for the target language, overcoming the scarcity of labeled data in low-resource settings. The main contribution of our work lies in the second step, where we introduce an adapted few-shot prompting technique to guide ChatGPT as a large language model (LLM). In this step, a subset of the machine-generated examples is selected based on the domain of the input, ensuring that the LLM is provided with more tailored and domain-specific examples. This two-step process leads to enhanced performance in handling low-resource languages. We conduct extensive experiments on Spanish, Thai, and Persian using the Facebook-multilingual and Persian-ATIS datasets. Experimental results demonstrate that our method outperforms existing techniques for non-Latin languages, such as Thai and Persian, and matches state-of-the-art performance for Latin-based languages, such as Spanish. The repository for this study is publicly available at https://github.com/saedeht/language-understanding-chatgpt</t>
  </si>
  <si>
    <t>10.1109/ACCESS.2025.3574115</t>
  </si>
  <si>
    <t>WOS:001502479100034</t>
  </si>
  <si>
    <t>Ra, S; Kim, J; Na, I; Ko, ES; Park, H</t>
  </si>
  <si>
    <t>Ra, Sinyoung; Kim, Jonghun; Na, Inye; Ko, Eun Sook; Park, Hyunjin</t>
  </si>
  <si>
    <t>Enhancing radiomics features via a large language model for classifying benign and malignant breast tumors in mammography</t>
  </si>
  <si>
    <t>COMPUTER METHODS AND PROGRAMS IN BIOMEDICINE</t>
  </si>
  <si>
    <t>Breast cancer; Enhanced radiomics; Mammogram; Large language model; Extensible Learning</t>
  </si>
  <si>
    <t>IMAGES; INFORMATION</t>
  </si>
  <si>
    <t>Background and Objectives: Radiomics is widely used to assist in clinical decision-making, disease diagnosis, and treatment planning for various target organs, including the breast. Recent advances in large language models (LLMs) have helped enhance radiomics analysis. Materials and Methods: Herein, we sought to improve radiomics analysis by incorporating LLM-learned clinical knowledge, to classify benign and malignant tumors in breast mammography. We extracted radiomics features from the mammograms based on the region of interest and retained the features related to the target task. Using prompt engineering, we devised an input sequence that reflected the selected features and the target task. The input sequence was fed to the chosen LLM (LLaMA variant), which was fine-tuned using low-rank adaptation to enhance radiomics features. This was then evaluated on two mammogram datasets (VinDr-Mammo and INbreast) against conventional baselines. Results: The enhanced radiomics-based method performed better than baselines using conventional radiomics features tested on two mammogram datasets, achieving accuracies of 0.671 for the VinDr-Mammo dataset and 0.839 for the INbreast dataset. Conventional radiomics models require retraining from scratch for an unseen dataset using a new set of features. In contrast, the model developed in this study effectively reused the common features between the training and unseen datasets by explicitly linking feature names with feature values, leading to extensible learning across datasets. Our method performed better than the baseline method in this retraining setting using an unseen dataset. Conclusions: Our method, one of the first to incorporate LLM into radiomics, has the potential to improve radiomics analysis.</t>
  </si>
  <si>
    <t>0169-2607</t>
  </si>
  <si>
    <t>1872-7565</t>
  </si>
  <si>
    <t>10.1016/j.cmpb.2025.108765</t>
  </si>
  <si>
    <t>WOS:001466026900001</t>
  </si>
  <si>
    <t>Han, ZY; Battaglia, F; Mansuria, K; Heyman, Y; Terlecky, SR</t>
  </si>
  <si>
    <t>Han, Zhiyong; Battaglia, Fortunato; Mansuria, Kush; Heyman, Yoav; Terlecky, Stanley R.</t>
  </si>
  <si>
    <t>Beyond Text Generation: Assessing Large Language Models' Ability to Reason Logically and Follow Strict Rules</t>
  </si>
  <si>
    <t>large language models; reasoning; rule-following; HIPAA privacy rule</t>
  </si>
  <si>
    <t>The growing interest in advanced large language models (LLMs) like ChatGPT has sparked debate about how best to use them in various human activities. However, a neglected issue in the debate concerning the applications of LLMs is whether they can reason logically and follow rules in novel contexts, which are critical for our understanding and applications of LLMs. To address this knowledge gap, this study investigates five LLMs (ChatGPT-4o, Claude, Gemini, Meta AI, and Mistral) using word ladder puzzles to assess their logical reasoning and rule-adherence capabilities. Our two-phase methodology involves (1) explicit instructions about word ladder puzzles and rules regarding how to solve the puzzles and then evaluate rule understanding, followed by (2) assessing LLMs' ability to create and solve word ladder puzzles while adhering to rules. Additionally, we test their ability to implicitly recognize and avoid HIPAA privacy rule violations as an example of a real-world scenario. Our findings reveal that LLMs show a persistent lack of logical reasoning and systematically fail to follow puzzle rules. Furthermore, all LLMs except Claude prioritized task completion (text writing) over ethical considerations in the HIPAA test. Our findings expose critical flaws in LLMs' reasoning and rule-following capabilities, raising concerns about their reliability in critical tasks requiring strict rule-following and logical reasoning. Therefore, we urge caution when integrating LLMs into critical fields and highlight the need for further research into their capabilities and limitations to ensure responsible AI development.</t>
  </si>
  <si>
    <t>10.3390/ai6010012</t>
  </si>
  <si>
    <t>WOS:001404045400001</t>
  </si>
  <si>
    <t>Panagoulias, DP; Palamidas, A; Virvou, M; Tsihrintzis, GA</t>
  </si>
  <si>
    <t>Panagoulias, Dimitrios P.; Palamidas, Anastasios; Virvou, Maria; Tsihrintzis, George A.</t>
  </si>
  <si>
    <t>A framework for evaluation and requirement extraction for fine-tuning of Large Language Models in multimodal medical diagnosis</t>
  </si>
  <si>
    <t>Artificial intelligence-empowered software engineering; Multimodal large language models; Generative Pre-trained Transformer; Model evaluation and fine-tuning; Explainable AI; Clinical decision support; Telehealth diagnostics</t>
  </si>
  <si>
    <t>CLINICAL EXAMINATION OSCE; PATHOLOGY</t>
  </si>
  <si>
    <t>Objective: Large language models constitute a breakthrough state-of-the-art Artificial Intelligence technology which is rapidly evolving and promises to aid in medical diagnosis. In this study, we propose a novel evaluation framework for extraction of fine-tuning requirements based on the Objective Structured Clinical Examinations (OSCE) that can increase LLM potential and applicability. Methods: We developed an OSCE based evaluation meta-framework leveraging IoT-based data retrieval with a two-step approach designed to analyze and guide improvement of LLMs in multimodal medical diagnosis: (1) structured interaction evaluation and (2) domain-specific analysis of extracted data. Using Image-Metadata Analysis (IMA), Named Entity Recognition (NER), and Knowledge Graphs (KG), this framework identifies image domains, extracts relevant entities, and assesses connections in KGs. These methods collectively reveal areas for improvement, guiding fine-tuning to enhance diagnostic accuracy and contextual understanding in medical applications. Results: Using this paradigm, (1) we evaluate the correctness and accuracy of generated medical diagnosis with publicly available multimodal-multiple-choice-questions in the vast domain of General Pathology and (2) proceed to the domain-specific analysis. We identify and visualize the model performance across specific organs, diseases, and pathological themes, detecting areas of lower accuracy, such as in cardiovascular conditions like atherosclerosis. This targeted approach enables precision-focused fine-tuning, applying additional data to specific weaknesses rather than a broad, generalized tuning across all pathology. Contributions: Our framework's primary contribution is its OSCE-inspired ability to dynamically identify and target under-performing areas within a broad domain, enhancing fine-tuning efficiency and diagnostic accuracy in a resource-effective and iterative manner removing the dependency on bulk adjustments, making it particularly suitable for sensitive applications where precision and resource efficiency are essential, such as in medical diagnostics.</t>
  </si>
  <si>
    <t>10.1016/j.knosys.2025.113975</t>
  </si>
  <si>
    <t>WOS:001533372600003</t>
  </si>
  <si>
    <t>Mirshekali, H; Shadi, MR; Ladani, FG; Shaker, HR</t>
  </si>
  <si>
    <t>Mirshekali, Hamid; Reza Shadi, Mohammad; Ghanadi Ladani, Fatemehsadat; Reza Shaker, Hamid</t>
  </si>
  <si>
    <t>A Review of Large Language Models for Energy Systems: Applications, Challenges, and Future Prospects</t>
  </si>
  <si>
    <t>Forecasting; Predictive models; Reviews; Artificial intelligence; Load modeling; Buildings; Power systems; Scalability; Renewable energy sources; Real-time systems; Large language models; energy systems; fault detection and diagnosis; explainable artificial intelligence; energy forecasting</t>
  </si>
  <si>
    <t>ARTIFICIAL-INTELLIGENCE; FAULT-DETECTION</t>
  </si>
  <si>
    <t>Rapid developments in large language models (LLMs) have created new opportunities for their use in the energy sector, from forecasting renewable energy to power system operation and energy market analysis. These models help improve decision-making, anomaly detection, and optimization procedures in intricate energy systems by using vast amounts of structured and unstructured data. This study provides a comprehensive review of the LLM origins, evaluation, and fine-tuning techniques as well as their integration into energy systems, including their application in fault detection and diagnosis, energy forecasting, document automation, energy management, defect detection, and power system operation. Their performance in terms of explainability, generalization ability, and scalability for energy-related applications is critically examined in this paper. The report also emphasizes significant challenges to the adoption of LLMs, such as the need for computing power, the lack of data, and ethical issues like bias and false information. Power-efficient models, hybrid artificial intelligence (AI) platforms, and domain-specific fine-tuning are some of the solutions discussed. Future areas of interest include multi-modality to obtain maximal forecasting and operational intelligence, real-time adaptability, and explainable. This paper summarizes current developments and provides information on LLM-driven innovation in energy systems while maintaining transparency and dependability. Compared with prior LLM-energy surveys that either remain general-purpose or focus on a single subdomain, this review fills three concrete gaps: (i) a cross-domain synthesis of energy-specific LLM applications spanning power systems, buildings, and forecasting; (ii) a methods-oriented consolidation of evaluation and parameter-efficient fine-tuning practices tailored to energy tasks; and (iii) a deployment-centric analysis of real-time and edge constraints (energy, latency, hardware) with a practical reporting checklist for operational adoption.</t>
  </si>
  <si>
    <t>10.1109/ACCESS.2025.3610994</t>
  </si>
  <si>
    <t>Green Submitted, Green Published, gold</t>
  </si>
  <si>
    <t>WOS:001579050200018</t>
  </si>
  <si>
    <t>Wu, XF; Chen, ZW; Jiang, HF; Luo, SK; Zhao, Y; Zhao, DW; Dang, PY; Gao, JJ; Lin, L; Wang, H</t>
  </si>
  <si>
    <t>Wu, Xufeng; Chen, Zuowei; Jiang, Hefang; Luo, Shoukang; Zhao, Yi; Zhao, Dongwei; Dang, Peiyao; Gao, Jiajun; Lin, Lin; Wang, Hao</t>
  </si>
  <si>
    <t>From Forecasting to Foresight: Building an Autonomous O&amp;M Brain for the New Power System Based on a Cognitive Digital Twin</t>
  </si>
  <si>
    <t>cognitive digital twin; power system; autonomous operation and maintenance; large language models; knowledge graphs; predictive anomaly detection; artificial intelligence; smart grid</t>
  </si>
  <si>
    <t>Despite notable advances in load forecasting and fault detection, current power system operation and maintenance (O&amp;M) technologies remain fragmented into independent and primarily reactive modules. Load forecasting estimates future demand, whereas fault detection identifies whether abnormal conditions exist in the present state. This paper proposes a unified and proactive Cognitive Digital Twin (CDT) system. Unlike traditional data-driven approaches, the CDT integrates Large Language Models (LLMs) and Knowledge Graphs (KGs) as cognitive cores to enable deeper reasoning and context-aware decision-making. The CDT system not only mirrors the physical grid but also acts as an intelligent O&amp;M engine capable of understanding, reasoning, predicting, and self-diagnosing. The core innovation lies in prediction-based anomaly detection. The system first estimates the expected healthy state of the grid at future time steps and then compares real-time monitoring data against these predictions to identify incipient anomalies. This enables genuine foresight rather than simple reactive detection. By orchestrating advanced analytical modules, including CNN-LSTM hybrid models and optimization algorithms, the CDT supports autonomous O&amp;M operations with transparent and explainable decision-making. These capabilities enhance grid resilience and improve the system's capacity for self-healing.</t>
  </si>
  <si>
    <t>10.3390/electronics14224537</t>
  </si>
  <si>
    <t>WOS:001623733900001</t>
  </si>
  <si>
    <t>Amaram, D; Gao, L; Gudla, GR; Katale, TS</t>
  </si>
  <si>
    <t>Amaram, Divija; Gao, Lu; Gudla, Gowtham Reddy; Katale, Tejaswini Sanjay</t>
  </si>
  <si>
    <t>Developing an AI Assistant for Knowledge Management and Workforce Training in State DOTs</t>
  </si>
  <si>
    <t>knowledge management; large language models (LLMs); vision language models (VLMs); retrieval-augmented generation (RAG); pavement management; AI</t>
  </si>
  <si>
    <t>Effective knowledge management is critical for preserving institutional expertise and improving the efficiency of workforce training in state transportation agencies. Traditional approaches, such as static documentation, classroom-based instruction, and informal mentorship, often lead to fragmented knowledge transfer, inefficiencies, and the gradual loss of expertise as senior engineers retire. Moreover, given the enormous volume of technical manuals, guidelines, and research reports maintained by these agencies, it is increasingly challenging for engineers to locate relevant information quickly and accurately when solving field problems or preparing for training tasks. These limitations hinder timely decision-making and create steep learning curves for new personnel in maintenance and construction operations. To address these challenges, this paper proposes a Retrieval-Augmented Generation (RAG) framework with a multi-agent architecture to support knowledge management and decision-making. The system integrates structured document retrieval with real-time, context-aware response generation powered by a large language model (LLM). Unlike conventional single-pass RAG systems, the proposed framework employs multiple specialized agents for retrieval, answer generation, evaluation, and query refinement, which enables iterative improvement and quality control. In addition, the system incorporates an open-weight vision-language model to convert technical figures into semantic textual representations, which allows figure-based knowledge to be indexed and retrieved alongside text. Retrieved text and figure-based context are then provided to an open-weight large language model, which generates the final responses grounded in the retrieved evidence. Moreover, a case study was conducted using over 500 technical and research documents from multiple State Departments of Transportation (DOTs) to assess system performance. The multi-agent RAG system was tested with 100 domain-specific queries covering pavement maintenance and management topics. The results demonstrated Recall@3 of 94.4%. These results demonstrate the effectiveness of the system in supporting document-based response generation for DOT knowledge management tasks.</t>
  </si>
  <si>
    <t>10.3390/electronics15010217</t>
  </si>
  <si>
    <t>WOS:001657258700001</t>
  </si>
  <si>
    <t>Wei, XH; Kumar, N; Zhang, H</t>
  </si>
  <si>
    <t>Wei, Xiahua; Kumar, Naveen; Zhang, Han</t>
  </si>
  <si>
    <t>Addressing bias in generative AI: Challenges and research opportunities in information management</t>
  </si>
  <si>
    <t>INFORMATION &amp; MANAGEMENT</t>
  </si>
  <si>
    <t>Generative AI; Large language models; Bias in generative AI; Fairness metrics; Debiasing</t>
  </si>
  <si>
    <t>Generative AI technologies, particularly Large Language Models (LLMs), have transformed information management systems but introduced substantial biases that can compromise their effectiveness in informing business decision-making. This challenge presents information management scholars with a unique opportunity to advance the field by identifying and addressing these biases across extensive applications of LLMs. Building on the discussion on bias sources and current methods for detecting and mitigating bias, this paper seeks to identify gaps and opportunities for future research. By incorporating ethical considerations, policy implications, and sociotechnical perspectives, we focus on developing a framework that covers major stakeholders of Generative AI systems, proposing key research questions, and inspiring discussion. Our goal is to provide actionable pathways for researchers to address bias in LLM applications, thereby advancing research in information management that ultimately informs business practices. Our forward-looking framework and research agenda advocate interdisciplinary approaches, innovative methods, dynamic perspectives, and rigorous evaluation to ensure fairness and transparency in Generative AI-driven information systems. We expect this study to serve as a call to action for information management scholars to tackle this critical issue, guiding the improvement of fairness and effectiveness in LLM-based systems for business practice.</t>
  </si>
  <si>
    <t>0378-7206</t>
  </si>
  <si>
    <t>1872-7530</t>
  </si>
  <si>
    <t>10.1016/j.im.2025.104103</t>
  </si>
  <si>
    <t>WOS:001414261800001</t>
  </si>
  <si>
    <t>Zhang, JQ; Sun, K; Jagadeesh, A; Falakaflaki, P; Kayayan, E; Tao, GY; Ghahfarokhi, MH; Gupta, D; Gupta, A; Gupta, V; Guo, YK</t>
  </si>
  <si>
    <t>Zhang, Jingqing; Sun, Kai; Jagadeesh, Akshay; Falakaflaki, Parastoo; Kayayan, Elena; Tao, Guanyu; Ghahfarokhi, Mahta Haghighat; Gupta, Deepa; Gupta, Ashok; Gupta, Vibhor; Guo, Yike</t>
  </si>
  <si>
    <t>The potential and pitfalls of using a large language model such as ChatGPT, GPT-4, or LLaMA as a clinical assistant</t>
  </si>
  <si>
    <t>large language models; ChatGPT; patient identification; healthcare artificial intelligence</t>
  </si>
  <si>
    <t>Objectives This study aims to evaluate the utility of large language models (LLMs) in healthcare, focusing on their applications in enhancing patient care through improved diagnostic, decision-making processes, and as ancillary tools for healthcare professionals.Materials and Methods We evaluated ChatGPT, GPT-4, and LLaMA in identifying patients with specific diseases using gold-labeled Electronic Health Records (EHRs) from the MIMIC-III database, covering three prevalent diseases-Chronic Obstructive Pulmonary Disease (COPD), Chronic Kidney Disease (CKD)-along with the rare condition, Primary Biliary Cirrhosis (PBC), and the hard-to-diagnose condition Cancer Cachexia.Results In patient identification, GPT-4 had near similar or better performance compared to the corresponding disease-specific Machine Learning models (F1-score &gt;= 85%) on COPD, CKD, and PBC. GPT-4 excelled in the PBC use case, achieving a 4.23% higher F1-score compared to disease-specific Traditional Machine Learning models. ChatGPT and LLaMA3 demonstrated lower performance than GPT-4 across all diseases and almost all metrics. Few-shot prompts also help ChatGPT, GPT-4, and LLaMA3 achieve higher precision and specificity but lower sensitivity and Negative Predictive Value.Discussion The study highlights the potential and limitations of LLMs in healthcare. Issues with errors, explanatory limitations and ethical concerns like data privacy and model transparency suggest that these models would be in clinical settings. Future studies should improve training datasets and model designs for LLMs to gain better utility in healthcare.Conclusion The study shows that LLMs have the potential to assist clinicians for tasks such as patient identification but false positives and false negatives must be mitigated before LLMs are adequate for real-world clinical assistance.</t>
  </si>
  <si>
    <t>JUL 17</t>
  </si>
  <si>
    <t>10.1093/jamia/ocae184</t>
  </si>
  <si>
    <t>WOS:001269939400001</t>
  </si>
  <si>
    <t>Marengo, D; Settanni, M</t>
  </si>
  <si>
    <t>Marengo, Davide; Settanni, Michele</t>
  </si>
  <si>
    <t>Using Large Language Models to Infer Problematic Instagram Use from User Engagement Metrics: Agreement Across Models and Validation with Self-Reports</t>
  </si>
  <si>
    <t>large language models (LLMs); machine learning; data mining; social-media; problematic Instagram use</t>
  </si>
  <si>
    <t>ADDICTION</t>
  </si>
  <si>
    <t>This study investigated the feasibility of using large language models (LLMs) to infer problematic Instagram use, which refers to excessive or compulsive engagement with the platform that negatively impacts users' daily functioning, productivity, or well-being, from a limited set of metrics of user engagement in the platform. Specifically, we explored whether OpenAI's GPT-4o and Google's Gemini 1.5 Pro could accurately predict self-reported problematic use tendencies based solely on readily available user engagement metrics like daily time spent on the platform, weekly posts and stories, and follower/following counts. Our sample comprised 775 Italian Instagram users (61.6% female; aged 18-63), who were recruited through a snowball sampling method. Item-level and total scores derived by querying the LLMs' application programming interfaces were correlated with self-report items and the total score measured via an adapted Bergen Social Media Addiction Scale. LLM-inferred scores showed positive correlations with both item-level and total scores for problematic Instagram use. The strongest correlations were observed for the total scores, with GPT-4o achieving a correlation of r = 0.414 and Gemini 1.5 Pro achieving a correlation of r = 0.319. In cross-validated regression analyses, adding LLM-generated scores, especially from GPT-4o, significantly improved the prediction of problematic Instagram use compared to using usage metrics alone. GPT-4o's performance in random forest models was comparable to models trained directly on Instagram metrics, demonstrating its ability to capture complex, non-linear relationships indicative of addiction without needing extensive model training. This study provides compelling preliminary evidence for the use of LLMs in inferring problematic Instagram use from limited data points, opening exciting new avenues for research and intervention.</t>
  </si>
  <si>
    <t>JUN 24</t>
  </si>
  <si>
    <t>10.3390/electronics14132548</t>
  </si>
  <si>
    <t>WOS:001527602000001</t>
  </si>
  <si>
    <t>Lin, ZY; Shan, Y; Gao, L; Jia, XH; Chen, SM</t>
  </si>
  <si>
    <t>Lin, Ziyue; Shan, Yi; Gao, Lin; Jia, Xinghua; Chen, Siming</t>
  </si>
  <si>
    <t>SimSpark: Interactive Simulation of Social Media Behaviors</t>
  </si>
  <si>
    <t>social media; behavior simulation; interactive system; large language models</t>
  </si>
  <si>
    <t>AGENT-BASED MODEL; NETWORKS; ETHICS; LEVEL</t>
  </si>
  <si>
    <t>Understanding user behaviors on social media has garnered significant scholarly attention, enhancing our comprehension of how virtual platforms impact society and empowering decision-makers. Simulating social media behaviors provides a robust tool for capturing the patterns of social media behaviors, testing hypotheses, and predicting the effects of various interventions, ultimately contributing to a deeper understanding of social media environments. Moreover, it can overcome difficulties associated with utilizing real data for analysis, such as data accessibility issues, ethical concerns, and the complexity of processing large and heterogeneous datasets. However, researchers and stakeholders need more flexible platforms to investigate different user behaviors by simulating different scenarios and characters, which is not possible yet. Therefore, this paper introduces SimSpark, an interactive system including simulation algorithms and interactive visual interfaces which is capable of creating small simulated social media platforms with customizable characters and social environments. We address three key challenges: generating believable behaviors, validating simulation results, and supporting interactive control for generation and results analysis. A simulation workflow is introduced to generate believable behaviors of agents by utilizing large language models. A visual interface enables real-time parameter adjustment and process monitoring for customizing generation settings. A set of visualizations and interactions are also designed to display the models' outputs for further analysis. Effectiveness is evaluated through case studies, quantitative simulation model assessments, and expert interviews.</t>
  </si>
  <si>
    <t>CSCW168</t>
  </si>
  <si>
    <t>10.1145/3711066</t>
  </si>
  <si>
    <t>WOS:001549269700007</t>
  </si>
  <si>
    <t>Pan, YF; Tian, S; Guo, J; Cai, HQ; Wan, JH; Fang, C</t>
  </si>
  <si>
    <t>Pan, Yifeng; Tian, Shen; Guo, Jing; Cai, Hongqing; Wan, Jinghai; Fang, Cheng</t>
  </si>
  <si>
    <t>Clinical feasibility of AI Doctors: Evaluating the replacement potential of large language models in outpatient settings for central nervous system tumors</t>
  </si>
  <si>
    <t>Central nervous system tumors; Large language models; Outpatient; AI-assisted decision-making</t>
  </si>
  <si>
    <t>Background and Objectives: The treatment of central nervous system (CNS) tumors is complex and resource-intensive, with higher mortality in underserved regions. Large language models (LLMs) show promise in medical support, but their real-world performance in CNS tumor outpatient care remains unclear. This study aims to assess the diagnostic and treatment capabilities of LLMs in bilingual clinical settings. Methods: This retrospective study evaluated three LLMs (ChatGPT-4o, DeepSeek-R1, and Doubao) in assisting neuro-oncology outpatient decision-making within bilingual (Chinese/English) clinical environments. A total of 338 outpatient cases were included, with each model assigned three clinical tasks: differential diagnosis, main diagnosis, and treatment advice. Model outputs were compared against assessments by experienced neurosurgeons. Statistical analysis employed McNemar tests (P &lt; 0.05). Results: ChatGPT-4o and DeepSeek-R1 achieved over 90 % accuracy in differential diagnosis, showing no significant difference compared to doctors (P &gt; 0.05), while Doubao performed significantly worse (Chinese: P = 0.02, English: P = 0.01). In main diagnosis, both ChatGPT-4o and DeepSeek-R1 showed no significant deviation from doctors performance (P &gt; 0.05), whereas Doubao underperformed (Chinese: P = 0.019, English: P = 0.011). For treatment recommendations, all models showed reduced accuracy (ChatGPT-4o: 80.5 %; DeepSeek-R1: 79 %; Doubao: 71.3 %), significantly lower than doctors (Whether in Chinese or English: P &lt; 0.05). No performance difference was observed between Chinese and English cases. Conclusion: LLMs show strong potential in the preliminary diagnosis and decision support for CNS tumors, and their cross-lingual adaptability underscores their clinical feasibility.</t>
  </si>
  <si>
    <t>10.1016/j.ijmedinf.2025.106013</t>
  </si>
  <si>
    <t>WOS:001517191300002</t>
  </si>
  <si>
    <t>Li, ZN; Liu, ZY; Sa, G; Sun, JC; Hou, MJ; Tan, JR; Sun, L; Wei, J</t>
  </si>
  <si>
    <t>Li, Zhinan; Liu, Zhenyu; Sa, Guodong; Sun, Jiacheng; Hou, Mingjie; Tan, Jianrong; Sun, Lei; Wei, Jun</t>
  </si>
  <si>
    <t>Knowledge-enhanced large language models for ideation to implementation: A new paradigm in product design</t>
  </si>
  <si>
    <t>Decision support systems; Knowledge enhancement; Knowledge graph; Large language models; Multi-design task adapter; Product innovation design; Product intelligent design</t>
  </si>
  <si>
    <t>Traditional product design processes often struggle to accurately capture complex user needs and generate market-relevant solutions due to a heavy reliance on subjective human input and limited decision support tools. While Large Language Models (LLMs) have shown proficiency in various domains, their application in product design remains limited, often resulting in generic outputs. To address this, we propose an innovative paradigm for intelligent product design generation, termed ProdGen. The core of ProdGen is the ProdGen-Agent system, which integrates LLMs with customized expert design tools, leveraging the proposed Multi-Design Task Adapter (MDT-A) method and a Dual Knowledge Enhancement Mechanism. The MDT-A method injects multimodal design task knowledge into LLMs through a unified knowledge fusion framework, enabling enhanced task decomposition and efficient interaction with custom design tools. The Dual Knowledge Enhancement Mechanism enriches LLM performance by incorporating domain-specific knowledge bases and structured graph-based data retrieval, ensuring more accurate and relevant design outputs. Demonstrated through kitchen design cases, ProdGen-Agent autonomously handles the entire design process, excelling in user need analysis, task breakdown, decision-making support, tool integration, and multidimensional design generation. Expert evaluations validate ProdGen-Agent's effectiveness in automating complex design tasks, confirming its potential to revolutionize product design processes across various industries by leveraging LLMs in combination with domain expertise.</t>
  </si>
  <si>
    <t>10.1016/j.asoc.2025.113147</t>
  </si>
  <si>
    <t>WOS:001477779600001</t>
  </si>
  <si>
    <t>Granitzer, M; Voigt, S; Fathima, NA; Golasowski, M; Guetl, C; Hecking, T; Hendriksen, G; Hiemstra, D; Martinovic, J; Mitrovic, J; Mlakar, I; Moiras, S; Nussbaumer, A; Oester, P; Potthast, M; Srdic, MS; Megi, S; Slaninova, K; Stein, B; de Vries, AP; Vondrak, V; Wagner, A; Zerhoudi, S</t>
  </si>
  <si>
    <t>Granitzer, Michael; Voigt, Stefan; Fathima, Noor Afshan; Golasowski, Martin; Guetl, Christian; Hecking, Tobias; Hendriksen, Gijs; Hiemstra, Djoerd; Martinovic, Jan; Mitrovic, Jelena; Mlakar, Izidor; Moiras, Stavros; Nussbaumer, Alexander; oester, Per; Potthast, Martin; Srdic, Marjana Sencar; Megi, Sharikadze; Slaninova, Katerina; Stein, Benno; de Vries, Arjen P.; Vondrak, Vit; Wagner, Andreas; Zerhoudi, Saber</t>
  </si>
  <si>
    <t>Impact and development of an Open Web Index for open web search</t>
  </si>
  <si>
    <t>JOURNAL OF THE ASSOCIATION FOR INFORMATION SCIENCE AND TECHNOLOGY</t>
  </si>
  <si>
    <t>Web search is a crucial technology for the digital economy. Dominated by a few gatekeepers focused on commercial success, however, web publishers have to optimize their content for these gatekeepers, resulting in a closed ecosystem of search engines as well as the risk of publishers sacrificing quality. To encourage an open search ecosystem and offer users genuine choice among alternative search engines, we propose the development of an Open Web Index (OWI). We outline six core principles for developing and maintaining an open index, based on open data principles, legal compliance, and collaborative technology development. The combination of an open index with what we call declarative search engines will facilitate the development of vertical search engines and innovative web data products (including, e.g., large language models), enabling a fair and open information space. This framework underpins the EU-funded project OpenWebSearch.EU, marking the first step towards realizing an Open Web Index.</t>
  </si>
  <si>
    <t>2330-1635</t>
  </si>
  <si>
    <t>2330-1643</t>
  </si>
  <si>
    <t>10.1002/asi.24818</t>
  </si>
  <si>
    <t>WOS:001043677800001</t>
  </si>
  <si>
    <t>Ghaffarzadegan, N; Majumdar, A; Williams, R; Hosseinichimeh, N</t>
  </si>
  <si>
    <t>Ghaffarzadegan, Navid; Majumdar, Aritra; Williams, Ross; Hosseinichimeh, Niyousha</t>
  </si>
  <si>
    <t>Generative agent-based modeling: an introduction and tutorial</t>
  </si>
  <si>
    <t>SYSTEM DYNAMICS REVIEW</t>
  </si>
  <si>
    <t>SYSTEM DYNAMICS; DIFFUSION; DECISION</t>
  </si>
  <si>
    <t>We discuss the emerging new opportunity for building feedback-rich computational models of social systems using generative artificial intelligence. Referred to as generative agent-based models (GABMs), such individual-level models utilize large language models to represent human decision-making in social settings. We provide a GABM case in which human behavior can be incorporated into simulation models by coupling a mechanistic model of human interactions with a pre-trained large language model. This is achieved by introducing a simple GABM of social norm diffusion in an organization. For educational purposes, the model is intentionally kept simple. We examine a wide range of scenarios and the sensitivity of the results to several changes in the prompt. We hope the article and the model serve as a guide for building useful dynamic models of various social systems that include realistic human reasoning and decision-making. (c) 2024 System Dynamics Society.</t>
  </si>
  <si>
    <t>0883-7066</t>
  </si>
  <si>
    <t>1099-1727</t>
  </si>
  <si>
    <t>10.1002/sdr.1761</t>
  </si>
  <si>
    <t>Business &amp; Economics; Mathematical Methods In Social Sciences</t>
  </si>
  <si>
    <t>Green Submitted, Bronze</t>
  </si>
  <si>
    <t>WOS:001139789000001</t>
  </si>
  <si>
    <t>Xin, HR; Sun, Y; Wang, C; Xiong, H</t>
  </si>
  <si>
    <t>Xin, Haoran; Sun, Ying; Wang, Chao; Xiong, Hui</t>
  </si>
  <si>
    <t>Recommendation with Large Language Models</t>
  </si>
  <si>
    <t>Cross-domain recommendation; Sequential recommendation; Large language models</t>
  </si>
  <si>
    <t>Cross-Domain Sequential Recommendation (CDSR) aims to predict users' preferences based on historical sequential interactions across multiple domains. Existing works focus on the overlapped users who interact in multiple domains to capture the cross-domain correlations. These methods often underperform in practical scenarios featuring both overlapped and non-overlapped users due to the limited cross-domain interactions and knowledge transfer misalignment for non-overlapped users. To address this, we leverage Large Language Models (LLMs) to facilitate CDSR by fully exploiting single-domain interactions. However, LLMs exhibit inherent limitations in handling extensive item repositories and sequential collaborative signals. Moreover, the generation reliability is compromised by the hallucination problem, potentially causing noisy and unstable outputs. To this end, we propose a novel LLMCDSR framework, which employs LLMs to predict unobserved cross-domain interactions, termed pseudo items, within single-domain interactions. Specifically, we first prompt LLMs to execute the Candidate-Free Cross-Domain Interaction Generation task. Then, we devise a Collaborative-Textual Contrastive Pre-Training strategy, learning to infuse collaborative information into textual features. Afterwards, we present a novel Relevance-Aware Meta Recall Network (RMRN) to selectively identify and retrieve high-quality pseudo items from the dataset, where the parameters are optimized in a meta-learning manner. Finally, extensive experiments on two public datasets validate the effectiveness of LLMCDSR in enhancing CDSR. The code and data are available at https://github.com/xhran2010/LLMCDSR. CCS Concepts: center dot Information systems -&gt; Recommender systems;</t>
  </si>
  <si>
    <t>10.1145/3715099</t>
  </si>
  <si>
    <t>WOS:001552837700001</t>
  </si>
  <si>
    <t>Ojuri, S; Han, TA; Chiong, R; Di Stefano, A</t>
  </si>
  <si>
    <t>Ojuri, Samuel; Han, The Anh; Chiong, Raymond; Di Stefano, Alessandro</t>
  </si>
  <si>
    <t>Optimizing text-to-SQL conversion techniques through the integration of intelligent agents and large language models</t>
  </si>
  <si>
    <t>Text-to-SQL conversion; Large language models; Intelligent agents; Model fine-tuning; Few-shot learning</t>
  </si>
  <si>
    <t>In many organizations, retrieving valuable information from complex databases has traditionally required specialized technical skills, often leaving non-technical professionals dependent on others for timely insights. This study presents an approach that allows anyone, even without knowledge of query languages, to directly interact with databases by asking questions in everyday language. We achieve this by combining advanced generative language models, such as a high-capacity Generative Pre-trained Transformer (GPT) model, with intelligent software agents that translate natural language queries into precise SQL statements. Our evaluation compares different strategies, including models specifically trained on a particular database domain versus those guided by only a handful of examples. The results show that training a model with tailored examples yields more accurate and reliable database queries than relying solely on minimal guidance for the given use case. This work highlights the practical value of refining model complexity and balancing computational costs to empower business users with easy, direct access to data. By reducing reliance on technical teams, organizations can enable faster, more informed decision-making and foster a more inclusive environment where everyone can uncover data-driven insights on their own.</t>
  </si>
  <si>
    <t>10.1016/j.ipm.2025.104136</t>
  </si>
  <si>
    <t>WOS:001483062700001</t>
  </si>
  <si>
    <t>Mata, AC; Nimi, H; Chacón, JC</t>
  </si>
  <si>
    <t>Mata, Alfredo Chapa; Nimi, Hisa; Chacon, Juan Carlos</t>
  </si>
  <si>
    <t>Synthetic User Generation in Games: Cloning Player Behavior with Transformer Models</t>
  </si>
  <si>
    <t>machine learning techniques for video games; deep learning; transformer model; game design; game design tools</t>
  </si>
  <si>
    <t>User-centered design (UCD) commonly requires direct player participation, yet budget limitations or restricted access to users can impede this goal. To address these challenges, this research explores a transformer-based approach coupled with a diffusion process to replicate real player behavior in a 2D side-scrolling action-adventure environment that emphasizes exploration. By collecting an extensive set of gameplay data from real participants in an open-source game, A Robot Named Fight!, this study gathered comprehensive state and input information for training. A transformer model was then adapted to generate button-press sequences from encoded game states, while the diffusion mechanism iteratively introduced and removed noise to refine its predictions. The results indicate a high degree of replication of the participant's actions in contexts similar to the training data, as well as reasonable adaptation to previously unseen scenarios. Observational analysis further confirmed that the model mirrored essential aspects of the user's style, including navigation strategies, the avoidance of unnecessary combat, and selective obstacle clearance. Despite hardware constraints and reliance on a single observer's feedback, these findings suggest that a transformer-diffusion methodology can robustly approximate user behavior. This approach holds promise not only for automated playtesting and level design assistance in similar action-adventure games but also for broader domains where simulating user interaction can streamline iterative design and enhance player-centric outcomes.</t>
  </si>
  <si>
    <t>APR 21</t>
  </si>
  <si>
    <t>10.3390/info16040329</t>
  </si>
  <si>
    <t>WOS:001475421500001</t>
  </si>
  <si>
    <t>Yuan, B; Wang, Y; Chi, J</t>
  </si>
  <si>
    <t>Yuan, Bo; Wang, Yang; Chi, Jing</t>
  </si>
  <si>
    <t>Text Swin Transformer: a new transformer model for enterprise management text classification</t>
  </si>
  <si>
    <t>INTERNATIONAL JOURNAL OF COMPUTER APPLICATIONS IN TECHNOLOGY</t>
  </si>
  <si>
    <t>enterprise management text classification; Text Swin Transformer; window attention; shift window attention</t>
  </si>
  <si>
    <t>As the Internet and information technology advance at a swift pace, enterprises have amassed vast quantities of data stemming from their operational activities, managerial processes, and other business functions. Behind these data lies extremely valuable knowledge that is closely related to the enterprise, which can provide critical decision-making support for enterprise management. Therefore, how to discover valuable knowledge from voluminous textual data, transform these textual data into a genuine asset for enterprises, and leverage this asset to inform decision-making and propel their growth, has become a challenging task. Inspired by this, this paper revises the Swin Transformer model, which has achieved wide success in computer vision tasks, and proposes a Text Swin Transformer (TST) model for enterprise management text data classification tasks. Specifically, we revise the original window attention, shifted window attention and patch merging strategies to text window attention, text shift window attention and window scaling strategies, in order to meet the needs of text classification tasks. In contrast to the state-of-the-art approaches in text classification task, the proposed model not only achieves excellent results on multiple standard datasets, but also requires less computation and boasts a faster computation speed.</t>
  </si>
  <si>
    <t>0952-8091</t>
  </si>
  <si>
    <t>1741-5047</t>
  </si>
  <si>
    <t>1-2</t>
  </si>
  <si>
    <t>10.1504/IJCAT.2025.148142</t>
  </si>
  <si>
    <t>WOS:001560656600004</t>
  </si>
  <si>
    <t>Karsa, ZI; Goldschmidt, B</t>
  </si>
  <si>
    <t>Karsa, Zoltan Istvan; Goldschmidt, Balazs</t>
  </si>
  <si>
    <t>Automatic Evaluation of Programming Tasks Supported by Language Models</t>
  </si>
  <si>
    <t>Codes; Manuals; Programming profession; Java; Encoding; Correlation; Biological system modeling; Training; Reviews; Automatic evaluation; computer science tasks; generative artificial intelligence; GPT; grading; large language models; NXCode; programming; programming</t>
  </si>
  <si>
    <t>Large language models are also increasingly used in education, both by students and teachers. Newly introduced LLM-based tools, such as Codex, Code Llama, and Microsoft's Copilot, show that LLMs are effective in code generation. In this paper, we evaluate the effectiveness of using LLMs in code evaluation. In programming courses, traditional manual code evaluation is very slow, and the participation of multiple instructors reduces consistency. Test-based code evaluation does not help novice programmers; for low-achieving students, the score attributed by such automatic tests is usually lower than what would have been gained after manual correction. Using LLMs might combine the benefits of manual correction and automatic testing. In order to apply LLMs to the task, detailed scoring guidelines were provided for the language models. The experiment involved 40 students in the first exam and 45 in the second exam in a C++ language course, with six teachers manually assessing the code fragments. The exams consisted of several different programming exercises, and the number of code snippets evaluated exceeded 350. We found a strong correlation between manual scoring and the scores given by the language models. Depending on the language model and the exam set examined, we measured correlation values between 0.6 and 0.9. The results of the experiment were significantly influenced by inconsistent teacher evaluations, so during the research phase, a single teacher was assigned to manual evaluation, which significantly improved the results. Based on these results, we repeated the experiment with an increased number of students (160) learning the Java programming language. The results again show a strong correlation (between 0.6 and 0.7). To clarify the results, we compared the models based on rubric specificity. Still, more research and testing are needed to explore the differences between manual evaluation and evaluation by large language models.</t>
  </si>
  <si>
    <t>10.1109/ACCESS.2025.3601448</t>
  </si>
  <si>
    <t>WOS:001560412000006</t>
  </si>
  <si>
    <t>Yang, J; Park, S</t>
  </si>
  <si>
    <t>Yang, Jonghyeon; Park, Seula</t>
  </si>
  <si>
    <t>LLM-Assisted Knowledge Graph Construction for Managing Road Accident Information From News Articles</t>
  </si>
  <si>
    <t>Accidents; Data mining; Automobiles; Pipelines; Semantics; Knowledge graphs; Road accidents; Soft sensors; Linguistics; Data acquisition; Graph database; knowledge graph; large language model; road accident; similarity analysis</t>
  </si>
  <si>
    <t>This paper proposes a knowledge graph construction framework based on news articles to facilitate effective road-accident information management. The implementation of the proposed framework included three main stages. First, the news articles containing the keyword 'traffic accident' were collected, retaining only those that contain detailed accident description. Second, to effectively handle linguistic variations and ambiguities, large language models with chain-of-thought prompting were employed to extract structured accident information from news texts. Third, semantic embeddings were utilized to analyze similarities among accidents, thereby creating SimilarTo relationships to gain deeper insights and support enhanced analytical capabilities. The structured data thus obtained were converted into a knowledge graph (KG). Using the Neo4j graph database, a KG was constructed to represent traffic accidents that occurred in Korea during 2022. The practical relevance of the KG was verified through complex query tests across seven different scenarios with diverse combinations of entities and relationships. The results demonstrated that the proposed framework effectively structured detailed accident-related information extracted from news articles, demonstrating its potential to augment data sources for accident management, analysis and decision-making.</t>
  </si>
  <si>
    <t>10.1109/ACCESS.2025.3648842</t>
  </si>
  <si>
    <t>WOS:001652569200009</t>
  </si>
  <si>
    <t>Zhang, QR; Yang, P; Yu, JL; Wang, HX; He, XW; Yiu, SM; Yin, HZ</t>
  </si>
  <si>
    <t>Zhang, Qianru; Yang, Peng; Yu, Junliang; Wang, Haixin; He, Xingwei; Yiu, Siu-Ming; Yin, Hongzhi</t>
  </si>
  <si>
    <t>A Survey on Point-of-Interest Recommendation: Models, Architectures, and Security</t>
  </si>
  <si>
    <t>Security; Surveys; Recommender systems; Computer architecture; Taxonomy; Federated learning; Training; Scalability; Reviews; Large language models; Point-of-interest recommendation; recommender systems; large language models; federated learning</t>
  </si>
  <si>
    <t>The widespread adoption of smartphones and Location-Based Social Networks has led to a massive influx of spatio-temporal data, creating unparalleled opportunities for enhancing Point-of-Interest (POI) recommendation systems. These advanced POI systems are crucial for enriching user experiences, enabling personalized interactions, and optimizing decision-making processes in the digital landscape. However, existing surveys tend to focus on traditional approaches and few of them delve into cutting-edge developments, emerging architectures, as well as security considerations in POI recommendations. To address this gap, our survey stands out by offering a comprehensive, up-to-date review of POI recommendation systems, covering advancements in models, architectures, and security aspects. We systematically examine the transition from traditional models to advanced techniques such as large language models. Additionally, we explore the architectural evolution from centralized to decentralized and federated learning systems, highlighting the improvements in scalability and privacy. Furthermore, we address the increasing importance of security, examining potential vulnerabilities and privacy-preserving approaches. Our taxonomy provides a structured overview of the current state of POI recommendation, while we also identify promising directions for future research in this rapidly advancing field.</t>
  </si>
  <si>
    <t>10.1109/TKDE.2025.3551292</t>
  </si>
  <si>
    <t>WOS:001480467000022</t>
  </si>
  <si>
    <t>Unnikrishnan, R; Kamath, SS; Ananthanarayana, VS</t>
  </si>
  <si>
    <t>Unnikrishnan, Reshma; Kamath, S. Sowmya; Ananthanarayana, V. S.</t>
  </si>
  <si>
    <t>Efficient parameter tuning of neural foundation models for drug perspective prediction from unstructured socio-medical data</t>
  </si>
  <si>
    <t>Social media analysis; Neural language modelling; Efficient parameter learning; Data-centric approach; Perspective prediction</t>
  </si>
  <si>
    <t>SOCIAL MEDIA; ADVERSE; PHARMACOVIGILANCE; LANGUAGE; TWEETS</t>
  </si>
  <si>
    <t>The phenomenal popularity of social media platforms over the past decade has accelerated the development of intelligent applications that leverage social media data for informed decision-making in diverse domains like finance, education, public policy and healthcare management practices. While understanding the colloquial language of users on social media remains a challenging problem, access to users' medical perspectives that conversationally divulge healthcare-related experiences and insights can help reshape healthcare ecosystems like chronic disease management, pandemics, public health, pharmacovigilance and more. Most existing models are constrained to a particular dataset while neglecting model adaptability across data sources and domains. Model generalization across variable data sizes also has received very little research attention. Conventional foundation models can be fine-tuned by adding additional model heads or by appending contributing network layers, however, there has been very little focus on effective parameter calibration for adapting neural foundation models to a specific task. In this study, an Adaptive Learning mechanism for Socio-Medical data (AL4SM) built on generic foundation neural models with efficient parameter learning is proposed, to categorize users' perspectives on prescription drug-related experiences and adapt to diverse socio-medical data sources of variable sizes. AL4SM aims to lighten the over-parameterized mechanisms adopted by existing foundational techniques by efficiently learning latent medical information based on optimized parameter calibration and weight reinitialization techniques. Comprehensive cross-domain and cross-data analyses are undertaken to explore specific user perspectives related to prescription effectiveness and side effects. Validation experiments conducted on standard datasets obtained from Drugs.com and Druglib.com revealed that the proposed AL4SM outperformed state-of-the-art models, achieving an improvement of 6.06% in accuracy and 7.62% in F1-score for 3-class and 2% in F1-score for 10-class drug perspective categorization. The cross-data experiments further emphasized the superiority of the proposed model, with improved accuracy of 17% on Drugs.com and 9% on Druglib.com datasets, respectively.</t>
  </si>
  <si>
    <t>10.1016/j.engappai.2023.106214</t>
  </si>
  <si>
    <t>APR 2023</t>
  </si>
  <si>
    <t>WOS:000982640100001</t>
  </si>
  <si>
    <t>Picavet, MEB; Maroni, P; Sandhu, A; Desouza, KC</t>
  </si>
  <si>
    <t>Picavet, Marc E. B.; Maroni, Peter; Sandhu, Amardeep; Desouza, Kevin C.</t>
  </si>
  <si>
    <t>Human-Machine Collaboration for Strategy Foresight: The Case of Generative AI</t>
  </si>
  <si>
    <t>PUBLIC ADMINISTRATION REVIEW</t>
  </si>
  <si>
    <t>design science; generative artificial intelligence; large language models; public innovation; strategic foresight</t>
  </si>
  <si>
    <t>Generating strategic foresight for public organizations is a resource-intensive and non-trivial effort. Strategic foresight is especially important for governments, which are increasingly confronted by complex and unpredictable challenges and wicked problems. With advances in machine learning, information systems can be integrated more creatively into the strategic foresight process. We report on an innovative pilot project conducted by an Australian state government that leveraged generative artificial intelligence (AI), specifically large language models, for strategic foresight using a design science approach. The project demonstrated AI's potential to enhance scenario generation for strategic foresight, improve data processing efficiency, and support human decision-making. However, the study also found that it is essential to balance AI automation with human expertise for validation and oversight. These findings highlight the importance of iterative design to develop robust AI tools for strategic foresight which, alongside stakeholder engagement and process transparency, build trust and ensure practical relevance.</t>
  </si>
  <si>
    <t>0033-3352</t>
  </si>
  <si>
    <t>1540-6210</t>
  </si>
  <si>
    <t>2025 OCT 22</t>
  </si>
  <si>
    <t>10.1111/puar.70048</t>
  </si>
  <si>
    <t>Public Administration</t>
  </si>
  <si>
    <t>WOS:001598211700001</t>
  </si>
  <si>
    <t>Fu, AM; Xu, PY; Li, JCY; Kuang, BY; Gao, YS</t>
  </si>
  <si>
    <t>Fu, Anmin; Xu, Pengyu; Li, Jichunyang; Kuang, Boyu; Gao, Yansong</t>
  </si>
  <si>
    <t>InstructRepair: Instruct Large Language Models With Rich Bug Information for Automated Program Repair</t>
  </si>
  <si>
    <t>IEEE TRANSACTIONS ON INFORMATION FORENSICS AND SECURITY</t>
  </si>
  <si>
    <t>Computer bugs; Maintenance engineering; Codes; Tuning; Training; Python; Benchmark testing; Natural languages; Large language models; Java; Automated program repair; large language model; LLM4SE</t>
  </si>
  <si>
    <t>Automated Program Repair (APR) repairs software bugs based on buggy code snippets automatically. It is instrumental in reducing the time and effort required for software maintenance. Recently, large language models (LLMs) have been utilized for APR and demonstrated promising results. Existing APR approaches adopt an LLM learning paradigm of either prompt engineering or fine-tuning to perform APR tasks. However, these prompt-based approaches underutilize the extensive high-quality bug-fix datasets available in the APR community, missing out on valuable repair knowledge. Conversely, fine-tuning-based APRs rely on LLMs to autonomously understand the entire complex APR tasks without the benefit of natural language guidance through a prompt. Additionally, the crucial bug information the bug-triggering test suites provided remains largely unexplored. Furthermore, while existing APRs focus only on repair effectiveness, they neglect the patch ranking effectiveness that also matters in real-world program repair scenarios. To address the above limitations, we propose InstructRepair, an innovative APR framework that integrates self-supervised instruction tuning with rich bug information to guide LLMs in generating high-quality patches. InstructRepair instructs APR tasks through detailed instructions and enhances repair performance by training LLMs over the first instructional APR dataset we construct. InstructRepair also extracts rich bug information (e.g., buggy line, bug's context, bug's diagnostics, test suites and meta-information) to provide fix-relevant tokens and insights into the root causes of bugs for LLMs during both instruction tuning and the repairing process. The human domain knowledge initiated instruction template that integrates this bug information is refined through prompt tuning, which learns task-specific knowledge and unleashes the hidden power stored in pre-trained LLMs automatically. We evaluate InstructRepair on the widely adopted Defects4J v1.2 and v2.0 benchmarks with Java programming language, demonstrating that our work outperforms seven state-of-the-art APR approaches by successfully fixing a total of 122 bugs (10 more than the best baseline) and repairing 19 unique bugs that previous work cannot. In terms of patch ranking effectiveness, InstructRepair also achieves the best performance with a fixing rate of 95.9% (60.0% as the best baseline). The ablation study further validates the contributions of each component to overall repairing performance. We also apply InstructRepair to the Python programming language and beat four state-of-the-art APR approaches, which demonstrates our method's cross-language generalization capability.</t>
  </si>
  <si>
    <t>1556-6013</t>
  </si>
  <si>
    <t>1556-6021</t>
  </si>
  <si>
    <t>10.1109/TIFS.2025.3618407</t>
  </si>
  <si>
    <t>WOS:001600727900019</t>
  </si>
  <si>
    <t>Topsakal, O; Harper, JB</t>
  </si>
  <si>
    <t>Topsakal, Oguzhan; Harper, Jackson B.</t>
  </si>
  <si>
    <t>Benchmarking Large Language Model (LLM) Performance for Game Playing via Tic-Tac-Toe</t>
  </si>
  <si>
    <t>large language model; LLM; benchmark; evaluate; performance; test; Tic-Tac-Toe; AI; game; strategic; decision-making; prompt engineering; analysis; leaderboard; AGI; competition; championship; text-based game; challenge; AI21; Jurassic Ultra; Anthropic; Claude; Gemini; Gemini-Pro; GPT-3.5; GPT-4; Meta; Llama2; Mistral</t>
  </si>
  <si>
    <t>This study investigates the strategic decision-making abilities of large language models (LLMs) via the game of Tic-Tac-Toe, renowned for its straightforward rules and definitive outcomes. We developed a mobile application coupled with web services, facilitating gameplay among leading LLMs, including Jurassic-2 Ultra by AI21, Claude 2.1 by Anthropic, Gemini-Pro by Google, GPT-3.5-Turbo and GPT-4 by OpenAI, Llama2-70B by Meta, and Mistral Large by Mistral, to assess their rule comprehension and strategic thinking. Using a consistent prompt structure in 10 sessions for each LLM pair, we systematically collected data on wins, draws, and invalid moves across 980 games, employing two distinct prompt types to vary the presentation of the game's status. Our findings reveal significant performance variations among the LLMs. Notably, GPT-4, GPT-3.5-Turbo, and Llama2 secured the most wins with the list prompt, while GPT-4, Gemini-Pro, and Mistral Large excelled using the illustration prompt. GPT-4 emerged as the top performer, achieving victory with the minimum number of moves and the fewest errors for both prompt types. This research introduces a novel methodology for assessing LLM capabilities using a game that can illuminate their strategic thinking abilities. Beyond enhancing our comprehension of LLM performance, this study lays the groundwork for future exploration into their utility in complex decision-making scenarios, offering directions for further inquiry and the exploration of LLM limits within game-based frameworks.</t>
  </si>
  <si>
    <t>10.3390/electronics13081532</t>
  </si>
  <si>
    <t>WOS:001210471900001</t>
  </si>
  <si>
    <t>Ye, ZH; Su, XL; He, D; Zhang, ZJ; Sun, YL; Ji, JX; Xie, XH; Wang, JR; Wei, RB; Zhang, YC; Li, Y; Chen, LB</t>
  </si>
  <si>
    <t>Ye, Zhuohan; Su, Xiaolin; He, Ding; Zhang, Zijing; Sun, Yilu; Ji, Junxiang; Xie, Xiuhuai; Wang, Jiaru; Wei, Rongbao; Zhang, Yongcheng; Li, Yuan; Chen, Longbiao</t>
  </si>
  <si>
    <t>TourismMinds: A Geo-augmented LLM Framework for Semantic-aware Trajectory Analytics and Generation</t>
  </si>
  <si>
    <t>Spatiotemporal large language models; Tourism trajectory data; Trajectory modeling; Trajectory generation</t>
  </si>
  <si>
    <t>With the rise of smart cities and digital tourism, understanding tourist movement is essential for enhancing personalized experiences and informing business decisions. Traditional methods struggle to integrate multi-source data and interpret complex behaviors, while large language models (LLMs) offer untapped potential. This study proposes an LLM-driven Perception-Modeling-Generation framework, validated by a Kulangsu smart tourism case. First, a five-stage spatiotemporalsemantic alignment pipeline integrates GPS, social media, POI, and weather data. Second, to address LLM limitations, we introduce a knowledge-enhanced framework combining geospatially-aware LoRA fine-tuning and a hierarchical Retrieval-Augmented Generation (RAG) mechanism. This approach reduces hallucinations by 15% and boosts geographic reasoning accuracy, achieving state-of-the-art intent recognition (15% gain) and landmark identification (72% accuracy). Third, we design a reprogramming strategy with geo-semantic constraints for generating spatially plausible, personalized trajectories in data-scarce settings, showing 89% similarity to real-world data. Supported by the Kulangsu Smart Tourism System, our method provides a scalable paradigm for spatiotemporal modeling and synthetic trajectory generation, benefiting personalized services and decision-making.</t>
  </si>
  <si>
    <t>10.1145/3770697</t>
  </si>
  <si>
    <t>WOS:001650448200001</t>
  </si>
  <si>
    <t>Mondillo, G; Colosimo, S; Perrotta, A; Frattolillo, V; Masino, M; Martino, M; del Giudice, EM; Marzuillo, P</t>
  </si>
  <si>
    <t>Mondillo, Gianluca; Colosimo, Simone; Perrotta, Alessandra; Frattolillo, Vittoria; Masino, Mariapia; Martino, Marco; del Giudice, Emanuele Miraglia; Marzuillo, Pierluigi</t>
  </si>
  <si>
    <t>Artificial intelligence for solving pediatric clinical cases: A Retrieval-Augmented approach utilizing Llama3.2 and structured references</t>
  </si>
  <si>
    <t>Artificial intelligence; Clinical cases; Large language model; Children</t>
  </si>
  <si>
    <t>Background: The hallucinations of Large Language Models (LLMs) raise concerns about their accuracy in pediatrics. This study aimed to evaluate whether integrating information from the Nelson Textbook of Pediatrics through a Retrieval-Augmented Generation (RAG) system could enhance the performance of Llama3.2 in addressing complex pediatric clinical cases. Methods: We assessed the RAG system performance using 1,713 multiple-choice pediatric clinical questions from the MedQA dataset (n = 1,572) and Archives of Disease in Childhood-Education and Practice (n = 141). Each question was presented to Llama3.2 both in standalone mode and with RAG integration. The percentage of correct answers between models was compared using the chi-square test. p &lt; 0.05 was considered statistically significant. Results: The RAG-integrated system significantly outperformed standalone Llama3.2, achieving an overall accuracy of 67.78 % (1,161/1,713) compared to 46.18 % (791/1,713) for Llama3.2 alone (p = 1.5e-112). The improvement was consistent across all pediatric subspecialties. Conclusions: Incorporating RAG systems into clinical decision-making can enhance reliability and safety.</t>
  </si>
  <si>
    <t>10.1016/j.ijmedinf.2025.106027</t>
  </si>
  <si>
    <t>WOS:001520075800002</t>
  </si>
  <si>
    <t>Peng, SS; Zhang, WL; Li, SH; Qu, D; Wei, H</t>
  </si>
  <si>
    <t>Peng, Sisi; Zhang, Wenlin; Li, Shunhang; Qu, Dan; Wei, Han</t>
  </si>
  <si>
    <t>Behavioral psychology of LLMs: Better task guidance through punishment and reinforcement</t>
  </si>
  <si>
    <t>Large language model; Prompt learning; Cognitive appraisal; Emotion cognition</t>
  </si>
  <si>
    <t>VALIDATION</t>
  </si>
  <si>
    <t>Recent advances in Large Language Models (LLMs) have sparked interest in their emotional intelligence, but their behavioral psychology-particularly emotion-driven decision-making akin to humans- remains poorly understood. This study introduces Behavioral Consequence Scenarios (BCSs), a structured framework simulating psychologically salient punishment and reinforcement dynamics. We test the emotional perception and empathy abilities of LLMs using psychological scales and examine the emotional variation patterns across different BCSs. The findings suggest that LLMs exhibit rudimentary emotional perception and empathy capabilities, and their emotional responses generally align with human behavior. Building on this, we propose Behavioral Consequence Scenario Prompting (BCSP), a method that injects BCS-driven emotional incentives into task instructions. Experiments on Wizard-of-Wikipedia and CMMLU demonstrate BCSP's efficacy: in dialogue generation, BCSP achieved at least a 3.53/1.74 improvement in BLEU-2/4, and in the multi-task language understanding test, BCSP gained a 2 % improvement in overall accuracy. Our findings bridge LLMs' alignment with human-like emotion-behavior dynamics, and encourage deeper investigation into the behavioral psychology and emotional patterns of LLMs.</t>
  </si>
  <si>
    <t>10.1016/j.neucom.2025.131040</t>
  </si>
  <si>
    <t>WOS:001541223300001</t>
  </si>
  <si>
    <t>Neha, F; Bhati, D; Shukla, DK; Amiruzzaman, M</t>
  </si>
  <si>
    <t>Neha, Fnu; Bhati, Deepshikha; Shukla, Deepak Kumar; Amiruzzaman, Md</t>
  </si>
  <si>
    <t>ChatGPT: Transforming Healthcare with AI</t>
  </si>
  <si>
    <t>ChatGPT; large language models (LLM); artificial intelligence (AI); deep learning; digital health; healthcare; health literacy; medicine</t>
  </si>
  <si>
    <t>ChatGPT, developed by OpenAI, is a large language model (LLM) that leverages artificial intelligence (AI) and deep learning (DL) to generate human-like responses. This paper provides a broad, systematic review of ChatGPT's applications in healthcare, particularly in enhancing patient engagement through medical history collection, symptom assessment, and decision support for improved diagnostic accuracy. It assesses ChatGPT's potential across multiple organ systems and specialties, highlighting its value in clinical, educational, and administrative contexts. This analysis reveals both the benefits and limitations of ChatGPT, including health literacy promotion and support for clinical decision-making, alongside challenges such as the risk of inaccuracies, ethical considerations around informed consent, and regulatory hurdles. A quantified summary of key findings shows ChatGPT's promise in various applications while underscoring the risks associated with its integration in medical practice. Through this comprehensive approach, this review aims to provide healthcare professionals, researchers, and policymakers with a balanced view of ChatGPT's potential and limitations, emphasizing the need for ongoing updates to keep pace with evolving medical knowledge.</t>
  </si>
  <si>
    <t>10.3390/ai5040126</t>
  </si>
  <si>
    <t>WOS:001384069000001</t>
  </si>
  <si>
    <t>Dou, YT; Huang, YW; Zhao, XJ; Zou, HT; Shang, JD; Lu, Y; Yang, XL; Xiao, J; Peng, SL</t>
  </si>
  <si>
    <t>Dou, Yutao; Huang, Yuwei; Zhao, Xiongjun; Zou, Haitao; Shang, Jiandong; Lu, Ying; Yang, Xiaolin; Xiao, Jian; Peng, Shaoliang</t>
  </si>
  <si>
    <t>ShennongMGS: An LLM-based Chinese Medication Guidance System</t>
  </si>
  <si>
    <t>Large language model; model fine-tuning; medication guidance; Chinese medical system; natural language processing; software system</t>
  </si>
  <si>
    <t>The rapidly evolving field of Large Language Models (LLMs) holds immense promise for healthcare, particularly in medication guidance and adverse drug reaction prediction. Despite their potential, existing LLMs face challenges in dealing with complex polypharmacy scenarios and often grapple with data lag issues. To address these limitations, we introduce an LLM-based Chinese medication guidance system, called ShennongMGS, specifically tailored for robust medication guidance and adverse drug reaction predictions. Our system transforms multi-source heterogeneous medication information into a knowledge graph and employs a two-stage training strategy to construct a specialized LLM (ShennongGPT). This method enables the simulation of professional pharmacists' decision-making processes and incorporates the capability for knowledge self-updating, thereby significantly enhancing drug safety and the overall quality of medical services. Rigorously evaluated by medical professionals and artificial intelligence experts, our method demonstrates superiority, outperforming existing general and specialized LLMs in performance.</t>
  </si>
  <si>
    <t>10.1145/3658451</t>
  </si>
  <si>
    <t>WOS:001505065500006</t>
  </si>
  <si>
    <t>Ghale, DP; Dabbagh, M</t>
  </si>
  <si>
    <t>Ghale, Dhan Prasad; Dabbagh, Mohammad</t>
  </si>
  <si>
    <t>Automated Code Comments Generation Using Large Language Models: Empirical Evaluation of T5 and BART</t>
  </si>
  <si>
    <t>Codes; Documentation; Artificial intelligence; Java; Python; Transformers; Source coding; Software development management; Natural language processing; Context modeling; BART; code comments generation; empirical study; LLMs; T5</t>
  </si>
  <si>
    <t>Source code documentation plays a significant role in the software development lifecycle, substantially improving the comprehensibility and maintainability of software projects. Despite its importance, documentation is usually dismissed or fails to satisfy the envisaged standards. Recently, Large Language Models (LLMs) have demonstrated the ability to address these challenges by automating code comments generation. Nevertheless, the empirical evaluation of these models is essential to assess their capabilities to produce accurate, contextually relevant and coherent documentation. In this paper, we have conducted an empirical study to investigate the capabilities of two prominent open-source LLMs, such as T5 and BART, developed by Google AI and Facebook AI, respectively, in automating the code comments generation for Python and Java code snippets. We have rigorously evaluated the performance of these models against four key metrics, such as BLEU, ROUGE, METEOR, and Smoothed BLEU. The comprehensive analysis of the evaluation results clearly highlights BART as the superior model over T5 for single-intent code comment generation.</t>
  </si>
  <si>
    <t>10.1109/ACCESS.2025.3597601</t>
  </si>
  <si>
    <t>WOS:001551612200012</t>
  </si>
  <si>
    <t>Zhao, XJ; Wang, H; Dai, CX; Tang, JC; Deng, KX; Zhong, ZH; Kong, FY; Wang, SY; Morikawa, S</t>
  </si>
  <si>
    <t>Zhao, Xinjie; Wang, Hao; Dai, Chengxiao; Tang, Jiacheng; Deng, Kaixin; Zhong, Zhihua; Kong, Fanying; Wang, Shiyun; Morikawa, So</t>
  </si>
  <si>
    <t>Multi-Stage Simulation of Residents' Disaster Risk Perception and Decision-Making Behavior: An Exploratory Study on Large Language Model-Driven Social-Cognitive Agent Framework</t>
  </si>
  <si>
    <t>large language model; social-cognitive agents; behavior simulation; disaster risk information perception; disaster response simulation; AI for social sciences</t>
  </si>
  <si>
    <t>EVACUATION; NETWORKS; MOBILITY</t>
  </si>
  <si>
    <t>The escalating frequency and complexity of natural disasters highlight the urgent need for deeper insights into how individuals and communities perceive and respond to risk information. Yet, conventional research methods-such as surveys, laboratory experiments, and field observations-often struggle with limited sample sizes, external validity concerns, and difficulties in controlling for confounding variables. These constraints hinder our ability to develop comprehensive models that capture the dynamic, context-sensitive nature of disaster decision-making. To address these challenges, we present a novel multi-stage simulation framework that integrates Large Language Model (LLM)-driven social-cognitive agents with well-established theoretical perspectives from psychology, sociology, and decision science. This framework enables the simulation of three critical phases-information perception, cognitive processing, and decision-making-providing a granular analysis of how demographic attributes, situational factors, and social influences interact to shape behavior under uncertain and evolving disaster conditions. A case study focusing on pre-disaster preventive measures demonstrates its effectiveness. By aligning agent demographics with real-world survey data across 5864 simulated scenarios, we reveal nuanced behavioral patterns closely mirroring human responses, underscoring the potential to overcome longstanding methodological limitations and offer improved ecological validity and flexibility to explore diverse disaster environments and policy interventions. While acknowledging the current constraints, such as the need for enhanced emotional modeling and multimodal inputs, our framework lays a foundation for more nuanced, empirically grounded analyses of risk perception and response patterns. By seamlessly blending theory, advanced LLM capabilities, and empirical alignment strategies, this research not only advances the state of computational social simulation but also provides valuable guidance for developing more context-sensitive and targeted disaster management strategies.</t>
  </si>
  <si>
    <t>MAR 31</t>
  </si>
  <si>
    <t>10.3390/systems13040240</t>
  </si>
  <si>
    <t>WOS:001475621400001</t>
  </si>
  <si>
    <t>Yu, DM; Wang, SW; Xu, Y; Wang, TQ; Zou, JX</t>
  </si>
  <si>
    <t>Yu, Daoming; Wang, Shaowen; Xu, Yao; Wang, Tianqi; Zou, Jiaxin</t>
  </si>
  <si>
    <t>Adaptive bidirectional planning framework for enhanced safety and robust decision-making in autonomous navigation systems</t>
  </si>
  <si>
    <t>Autonomous navigation; Large language models; Modular design</t>
  </si>
  <si>
    <t>Autonomous navigation systems face significant challenges in dynamic and complex environments, particularly in ensuring safety, predicting intent, and strategic planning. Traditional methods often fall short due to rigid architectures, limited safety mechanisms, and inadequate intent analysis. To address these limitations, intelligent adaptive solutions powered by large language models (LLMs) have emerged as a promising approach to meeting the multi-faceted demands of autonomous navigation. In this study, a modular and safety-oriented framework for navigation is introduced, leveraging LLMs to enhance decision-making and adaptability. The proposed framework consists of four key components: (i) an Environment Perception Module employing Bird's Eye View (BEV)-based architectures to model the surrounding environment; (ii) a Trajectory Generation Module to produce reference trajectories and evaluate uncertainty, triggering bidirectional planners for enforcing safety constraints; (iii) a strategic integration of LLM inference to handle ambiguous situations; and (iv) seamless incorporation of long-term safety considerations into real-time operations. Unlike static, rule-based systems, the proposed framework offers a flexible and adaptive solution to complex navigation tasks, outperforming conventional approaches in safety and robustness.</t>
  </si>
  <si>
    <t>JUN 4</t>
  </si>
  <si>
    <t>10.1007/s11227-025-07389-2</t>
  </si>
  <si>
    <t>WOS:001502348000004</t>
  </si>
  <si>
    <t>Emil, RS; Brad, R</t>
  </si>
  <si>
    <t>Emil, Repede Stefan; Brad, Remus</t>
  </si>
  <si>
    <t>A Comparative Study in Large Language Models Usage for Fake News Detection</t>
  </si>
  <si>
    <t>ChatGPT; LLaMA 3.1; Fake news; Disinformation; Gemini</t>
  </si>
  <si>
    <t>This study presents a comparative analysis of the capabilities of Large Language Models (LLMs) in the automatic detection of fake news. The research focuses on evaluating the accuracy, precision, recall and F1-score of three state-of-the-art LLMs-OpenAI's ChatGPT 4.0 beta, Meta's Llama 3.1, and Google's Gemini-using an extensive dataset of verified true and fake news. By employing a black-box testing method, the study categorizes the LLMs' outputs and assesses their performance based on accuracy metrics. The results indicate moderate success in distinguishing between true and false news, with differences noted between the models and smaller, text classification specialized Natural Language Models (NLP), like Google's Bidirectional Encoder Representations from Transformers (BERT) model variants, trained on the same fake news dataset. The findings demonstrate the potential of LLMs as tools for combating misinformation, while also emphasizing the current limitations and the need for improvements in their accuracy and reliability. This paper provides insights into the challenges of utilizing LLMs for misinformation detection and highlights the importance of combining technological advancements with our distinct human cognition.</t>
  </si>
  <si>
    <t>10.54364/AAIML.2024.44163</t>
  </si>
  <si>
    <t>WOS:001430347600001</t>
  </si>
  <si>
    <t>Ge, SC; Ye, PJ; Zhang, RR; Zhou, M; Dong, HR; Wang, FY</t>
  </si>
  <si>
    <t>Ge, Shichao; Ye, Peijun; Zhang, Renrui; Zhou, Min; Dong, Hairong; Wang, Fei-Yue</t>
  </si>
  <si>
    <t>LLM-Driven Cognitive Modeling for Personalized Travel Generation</t>
  </si>
  <si>
    <t>Computational modeling; Decision making; Accuracy; Planning; Automation; Computer architecture; Traffic control; Memory modules; Cognition; Adaptation models; Agent-based model (ABM); cognitive model; large language model (LLM); travel behavior</t>
  </si>
  <si>
    <t>TRANSPORTATION SYSTEMS; CHOICE BEHAVIOR; ATTITUDES; PERCEPTIONS; MANAGEMENT; MAPS</t>
  </si>
  <si>
    <t>Traditional cognitive travel modeling typically employs a unified cognitive model to simulate representative travel behaviors, which may usually result in a weak characterization of user heterogeneity in paths, modes, and other factors. Large language model (LLM), by contrast, has significantly enhanced the anthropomorphic and personalized features of intelligent systems. To integrate their advantages, this article proposes LLM-driven cognitive modeling to generate more diverse and personalized travel demands. The new method sufficiently exploits LLM such as the llama as a basis and provides personalized travel plans so that more heterogenous travel demands could be generated. Additionally, introducing LLM into cognitive modeling can significantly reduce the time of model development, thus accelerating the research or engineering deployment. By calibrating and testing with one month's data from public transportation (buses and subways) in Beijing, our method, compared to traditional cognitive models, not only achieves better accuracy in reproducing typical travel patterns, but also generates more diverse ones, providing a more comprehensive input for computational experiments on traffic management and control strategies.</t>
  </si>
  <si>
    <t>10.1109/TCSS.2025.3556397</t>
  </si>
  <si>
    <t>WOS:001480240500001</t>
  </si>
  <si>
    <t>Kim, B; Suh, D</t>
  </si>
  <si>
    <t>Kim, Bowoo; Suh, Dongjun</t>
  </si>
  <si>
    <t>An In-Context LLM for PV-BESS Operations: Adaptive Day-Ahead Strategy Recommendation for Economic Optimization</t>
  </si>
  <si>
    <t>Costs; Economics; Batteries; Degradation; Electricity; Tariffs; Decision making; Prompt engineering; Optimization; Fluctuations; In-context learning; large language model; life cycle cost analysis; photovoltaic-battery energy storage system; smart grid operation</t>
  </si>
  <si>
    <t>STORAGE-SYSTEMS; ENERGY; MODEL</t>
  </si>
  <si>
    <t>This study presents a prompt-engineering-based methodology that leverages in-context learning to enable large language models (LLMs) to generate optimal day-ahead operational strategies for photovoltaic-battery energy storage systems (PV-BESS). The proposed approach structures dynamic factors such as electricity tariffs, solar PV generation, load profiles, battery degradation, and policy constraints into a unified JSON format, allowing LLMs to infer feasible and context-aware strategies without fine-tuning. A 10-year simulation for a South Korean campus building showed that the LLM-based strategies reduced cumulative operating costs by 5-12% and life cycle costs by 3-5% compared with fixed strategies. GPT-2 demonstrated conservative behavior that minimized battery degradation, whereas LLaMA 3-8B enhanced solar PV utilization and renewable energy certificate revenue through adaptive strategy selection. These results demonstrate that LLM-based decision-making offers an interpretable, scalable, and economically effective solution for PV-BESS operation and can be extended to broader distributed energy resource management and smart grid applications.</t>
  </si>
  <si>
    <t>10.1109/ACCESS.2025.3638429</t>
  </si>
  <si>
    <t>WOS:001631912500005</t>
  </si>
  <si>
    <t>Tcaciuc, CC; Cambrin, DR; Garza, P</t>
  </si>
  <si>
    <t>Tcaciuc, Claudiu Constantin; Rege Cambrin, Daniele; Garza, Paolo</t>
  </si>
  <si>
    <t>Multi Stage Retrieval for Web Search During Crisis</t>
  </si>
  <si>
    <t>web search; Internet and social media; text retrieval; crisis management</t>
  </si>
  <si>
    <t>During crisis events, digital information volume can increase by over 500% within hours, with social media platforms alone generating millions of crisis-related posts. This volume creates critical challenges for emergency responders who require timely access to the concise subset of accurate information they are interested in. Existing approaches strongly rely on the power of large language models. However, the use of large language models limits the scalability of the retrieval procedure and may introduce hallucinations. This paper introduces a novel multi-stage text retrieval framework to enhance information retrieval during crises. Our framework employs a novel three-stage extractive pipeline where (1) a topic modeling component filters candidates based on thematic relevance, (2) an initial high-recall lexical retriever identifies a broad candidate set, and (3) a dense retriever reranks the remaining documents. This architecture balances computational efficiency with retrieval effectiveness, prioritizing high recall in early stages while refining precision in later stages. The framework avoids the introduction of hallucinations, achieving a 15% improvement in BERT-Score compared to existing solutions without requiring any costly abstractive model. Moreover, our sequential approach accelerates the search process by 5% compared to the use of a single-stage based on a dense retrieval approach, with minimal effect on the performance in terms of BERT-Score.</t>
  </si>
  <si>
    <t>MAY 29</t>
  </si>
  <si>
    <t>10.3390/fi17060239</t>
  </si>
  <si>
    <t>WOS:001515681400001</t>
  </si>
  <si>
    <t>Belouadah, A; Ruiz-Rodríguez, ML; Kubler, S; Le Traon, Y</t>
  </si>
  <si>
    <t>Belouadah, Ayoub; Ruiz-Rodriguez, Marcelo Luis; Kubler, Sylvain; Le Traon, Yves</t>
  </si>
  <si>
    <t>Evaluating the effectiveness of LLMs for explainable deep reinforcement learning</t>
  </si>
  <si>
    <t>Explainable reinforcement learning; Large Language Models; Textual explanations; Chain-of-Thought; Monte-Carlo Tree Search; Supervised fine-tuning; LLM-as-a-judge</t>
  </si>
  <si>
    <t>Understanding the decision-making of reinforcement learning (RL) agents is essential for real-world deployment. Existing eXplainable RL (XRL) techniques, such as feature attribution and policy visualization, provide insight but remain inaccessible to non-experts. Large Language Models (LLMs) offer a natural-language alternative, yet often lack logical consistency and alignment with agent goals. This study benchmarks three explanation generation methods: Chain-of-Thought (CoT) prompting as the standard baseline used in prior work, Monte Carlo Tree Search (MCTS) augmentation, and supervised fine-tuning (SFT) across various models. Evaluations using Soundness and Fidelity show that CoT frequently produces reasoning errors, whereas MCTS improves quality for larger models (avg. +23% Soundness, +17% Fidelity), while SFT yields greater and more consistent gains for smaller ones (+58% Soundness, +52% Fidelity), underscoring the need to align methods with model capacity. An LLM-as-a-Judge framework further validates these findings, showing strong agreement with human assessments (weighted Cohen's kappa = 0.77, Spearman rho = 0.88), supporting scalable and reliable assessment of textual explanations.</t>
  </si>
  <si>
    <t>10.1016/j.mlwa.2025.100795</t>
  </si>
  <si>
    <t>Green Submitted, Green Accepted, gold</t>
  </si>
  <si>
    <t>WOS:001629206600001</t>
  </si>
  <si>
    <t>Jiao, H; Gong, JC; Li, HH; Lam, JSL; Shu, YQ; Wang, J; Yang, ZL</t>
  </si>
  <si>
    <t>Jiao, Hang; Gong, Jincheng; Li, Huanhuan; Lam, Jasmine Siu Lee; Shu, Yaqing; Wang, Jin; Yang, Zaili</t>
  </si>
  <si>
    <t>LLM4STP: A large language model-driven multi-feature fusion method for ship trajectory prediction</t>
  </si>
  <si>
    <t>Large language model; Ship trajectory prediction; Situational awareness; Hierarchical temporal modeling; Trajectory uncertainty; GeoHash encoding</t>
  </si>
  <si>
    <t>Ship trajectory prediction (STP) is a critical research focus for enhancing maritime traffic situational awareness and supporting navigational decision-making in intelligent transportation systems. The accuracy and robustness of prediction models significantly affect maritime safety and shipping efficiency. Despite advances driven by Automatic Identification System (AIS) data and deep learning techniques, key challenges remain unresolved, including dynamic multi-ship interaction modelling in complex marine environments, multi-scale temporal dependency reasoning, trajectory uncertainty quantification, and effective integration of maritime domain knowledge. Existing methods based on Large Language Models (LLMs) improve generalisation through pretrained knowledge but fall short in real-time interaction topology modelling, geospatial semantic representation, and uncertainty estimation. To address these limitations, this paper proposes LLM4STP, a novel LLM-driven multi-feature fusion method for STP. LLM4STP establishes a new paradigm by deeply integrating LLMs with maritime domain knowledge to collaboratively predict ship trajectories. The model features an adaptive graph-masked Transformer to dynamically capture ship interaction topologies, hierarchical temporal reasoning to jointly model local manoeuvring behaviours and macroscopic navigational intent, and an innovative fusion of Gaussian probability distribution heatmaps with GeoHash-based geospatial encoding to quantify trajectory uncertainty while preserving semantic continuity. Experiments on three representative water areas demonstrate that LLM4STP consistently outperforms nine state-of-the-art (SOTA) methods, as validated by key metrics including Average Displacement Error (ADE), Fr &amp; Atilde;(c) chet Distance (FD), and Final Displacement Error (FDE). Moreover, the few-shot learning experiments demonstrate that LLM4STP can match the performance of models trained on the full dataset using only 20% of the training data, highlighting its efficiency and strong adaptability in data-scarce environments. The ablation studies empirically validate the significance and distinct contribution of each component within the proposed model architecture. This study integrates LLM into maritime traffic scenarios, making significant contributions to enhancing the robustness, accuracy, and interpretability of STP in high-interference environments. The source code is openly accessible at https://github.com/Joker-hang/LLM4STP.</t>
  </si>
  <si>
    <t>10.1016/j.tre.2025.104599</t>
  </si>
  <si>
    <t>WOS:001650011700001</t>
  </si>
  <si>
    <t>Garimella, R; Yip, HY; Venkataramanan, R; Sheth, AP; Sheth, A</t>
  </si>
  <si>
    <t>Garimella, Ritvik; Yip, Hong Yung; Venkataramanan, Revathy; Sheth, Amit P.; Sheth, Amit</t>
  </si>
  <si>
    <t>Building Multimodal Knowledge Graphs: Automation for Enterprise Integration</t>
  </si>
  <si>
    <t>IEEE INTERNET COMPUTING</t>
  </si>
  <si>
    <t>Scalability; Large language models; Decision making; Semantics; Knowledge graphs; Transforms; Human in the loop; Cognition; Internet; Iterative methods; Artificial intelligence; Multimodal sensors</t>
  </si>
  <si>
    <t>As enterprises increasingly aim to incorporate artificial intelligence into their workflows to tackle complex, multimodal tasks, the demand for intelligent, robust, and trustworthy systems is paramount. While multimodal large language models offer initial capabilities for processing diverse data streams, their dependence on embedding-based representations limit their effectiveness in delivering semantically grounded explanations and reasoning, as well as qualities essential for enterprise-grade applications. Neurosymbolic approaches provide a promising alternative by enabling traceable, context-aware decision making. However, constructing enterprise-level multimodal knowledge graphs (MMKGs) that enable neurosymbolic approaches remains largely impractical. Although prior efforts have explored MMKG construction, they fall short in addressing the scalability, modularity, and integration that are necessary for any enterprise-grade application. We present a fully automated MMKG construction framework tailored to real-world enterprise environments. Our system features a modular, self-refining lifecycle with a support for human-in-the-loop feedback, enabling scalable, cost-effective, and task-aligned MMKG generation. We demonstrate the practical value of our framework through a real-world case study, showcasing its ability to transform unstructured multimodal data into actionable, semantically grounded knowledge assets for enterprise use.</t>
  </si>
  <si>
    <t>1089-7801</t>
  </si>
  <si>
    <t>1941-0131</t>
  </si>
  <si>
    <t>10.1109/MIC.2025.3588546</t>
  </si>
  <si>
    <t>WOS:001570182800009</t>
  </si>
  <si>
    <t>Kim, DK</t>
  </si>
  <si>
    <t>Kim, Dae-Kyoo</t>
  </si>
  <si>
    <t>Comparative analysis of design pattern implementation validity in LLM-based code refactoring</t>
  </si>
  <si>
    <t>Assessment; Code refactoring; Design patterns; Large language models (LLMs); Metrics; Pattern implementation</t>
  </si>
  <si>
    <t>Design patterns are essential in software engineering, providing proven solutions for recurring design challenges, thereby enhancing maintainability, flexibility, and reusability of code. Despite their significance, the ability of Large Language Models (LLMs) to accurately implement these patterns has not been thoroughly explored. This research introduces a novel assessment framework that combines predicate logic specifications with quantitative metrics to evaluate pattern implementation quality. Using two case studies - a Point of Sale System (POSS) and Smart Wallet System (SWS) - we assess the LLMs' capabilities in implementing design patterns including the Factory Method, Strategy, Composite, Observer, and Singleton patterns. The evaluation framework employs three metrics: Property Satisfaction Rate (PSR), Critical Property Coverage (CPC), and Pattern Implementation Quality Score (PIQS). The results demonstrate varying levels of effectiveness across the LLMs, with Claude achieving the highest average PIQS of 89.51, followed by Meta (88.98), ChatGPT (87.75), Copilot (82.69), and Gemini (71.04). These findings suggest that while LLMs show promise as refactoring tools, they are best utilized as assistive technologies rather than replacements for human developers.</t>
  </si>
  <si>
    <t>10.1016/j.jss.2025.112519</t>
  </si>
  <si>
    <t>WOS:001512531800002</t>
  </si>
  <si>
    <t>Mohanty, PK; Francis, SAJ; Barik, RK; Reddy, KHK; Roy, DS; Saikia, MJ</t>
  </si>
  <si>
    <t>Mohanty, Prasant Kumar; Francis, Sharmila Anand John; Barik, Rabindra Kumar; Reddy, K. Hemant Kumar; Roy, Diptendu Sinha; Saikia, Manob Jyoti</t>
  </si>
  <si>
    <t>IMPACT: an interactive multi-disease prevention and counterfactual treatment system using explainable AI and a multimodal LLM</t>
  </si>
  <si>
    <t>LLM; Explainable AI; Large language model; NSGA-II; Healthcare; Treatment</t>
  </si>
  <si>
    <t>Multi-disease conditions strain the body's defenses, complicating recovery and increasing mortality risk. Therefore, effective concurrent prevention of multiple diseases is essential for mitigating complications and improving overall well-being. Explainable artificial intelligence (XAI) with an advanced multimodal large language model (LLM) can create an interactive system enabling the general public to engage in natural language without any specialized knowledge prerequisites. Counterfactual explanation, an XAI method, offers valuable insights by suggesting adjustments to patient features to minimize disease risks. However, addressing multiple diseases simultaneously poses challenging barriers. This article proposes an interactive multi-disease prevention system that uses Google Gemini Pro, a multimodal LLM, and a non-dominated sorting genetic algorithm, namely NSGA-II, to overcome such problems. This system recommends changes in feature values to concurrently minimize the risk of diseases such as heart attacks and diabetes. The system facilitates personalized feature value selection, significantly reducing disease attack probabilities to as low as possible. Such an approach holds the potential to simultaneously address the unresolved issue of preventing and managing multiple diseases for the general public.</t>
  </si>
  <si>
    <t>APR 29</t>
  </si>
  <si>
    <t>e2839</t>
  </si>
  <si>
    <t>10.7717/peerj-cs.2839</t>
  </si>
  <si>
    <t>WOS:001480517000001</t>
  </si>
  <si>
    <t>Allen, JW; Levy, N; Wilkinson, D</t>
  </si>
  <si>
    <t>Allen, Jemima W.; Levy, Neil; Wilkinson, Dominic</t>
  </si>
  <si>
    <t>Empowering Patient Autonomy: The Role of Large Language Models (LLMs) in Scaffolding Informed Consent in Medical Practice</t>
  </si>
  <si>
    <t>BIOETHICS</t>
  </si>
  <si>
    <t>artificial intelligence ethics; informed consent; large language models; medical decision-making; patient autonomy</t>
  </si>
  <si>
    <t>ETHICS; ISSUES</t>
  </si>
  <si>
    <t>The principle of (respect for) patient autonomy has traditionally emphasized independence in medical decision-making, reflecting a broader commitment to epistemic individualism. However, recent philosophical work has challenged this view, suggesting that autonomous decisions are inherently dependent on epistemic and social supports. Wilkinson and Levy's scaffolded model of autonomy demonstrates how our everyday decisions rely on distributed cognition and various forms of epistemic scaffolding-from consulting others to using technological aids like maps or calculators. This paper explores how Large Language Models (LLMs) could operationalize scaffolded autonomy in medical informed consent. We argue that rather than undermining patient autonomy, appropriately designed LLM systems could enhance it by providing flexible, personalized support for information processing and value clarification. Drawing on examples from clinical practice, we examine how LLMs might serve as cognitive scaffolds in three key areas: enhancing information accessibility and comprehension, supporting value clarification, and facilitating culturally appropriate decision-making processes. However, implementing LLMs in consent procedures raises important challenges regarding epistemic responsibility, authenticity of choice, and the maintenance of appropriate human oversight. We analyze these challenges through the lens of scaffolded autonomy, arguing that successful implementation requires moving beyond simple questions of information provision to consider how technological systems can support genuinely autonomous decision-making. The paper concludes by proposing practical guidelines for LLM implementation while highlighting broader philosophical questions about the nature of autonomous choice in technologically mediated environments.</t>
  </si>
  <si>
    <t>0269-9702</t>
  </si>
  <si>
    <t>1467-8519</t>
  </si>
  <si>
    <t>10.1111/bioe.70030</t>
  </si>
  <si>
    <t>WOS:001568402400001</t>
  </si>
  <si>
    <t>Novelo, R; Silva, RR; Bernardino, J</t>
  </si>
  <si>
    <t>Novelo, Rodrigo; Silva, Rodrigo Rocha; Bernardino, Jorge</t>
  </si>
  <si>
    <t>A Literature Review of Personalized Large Language Models for Email Generation and Automation</t>
  </si>
  <si>
    <t>LLM; personalization; email response generation; retrieval-augmented generation; adaptive learning; privacy</t>
  </si>
  <si>
    <t>In 2024, a total of 361 billion emails were sent and received by businesses and consumers each day. Email remains the preferred method of communication for work-related matters, with knowledge workers spending two to five hours a day managing their inboxes. The advent of Large Language Models (LLMs) has introduced new possibilities for personalized email automation, offering context-aware and stylistically adaptive responses. However, achieving effective personalization introduces technical, ethical, and security challenges. This survey presents a systematic review of 32 papers published between 2021 and 2025, identified using the PRISMA methodology across Google Scholar, IEEE Xplore, and the ACM Digital Library. Our analysis reveals that state-of-the-art email assistants integrate RAG and PEFT with feedback-driven refinement. User-centric interfaces and privacy-aware architectures support these assistants. Nevertheless, these advances also expose systems to new risks such as Trojan plugins and adversarial prompt injections. This highlights the importance of integrated security frameworks. This review provides a structured approach to advancing personalized LLM-based email systems, identifying persistent research gaps in adaptive learning, benchmark development, and ethical design. This work is intended to guide researchers and developers who are looking to create secure, efficient, and human-aligned communication assistants.</t>
  </si>
  <si>
    <t>NOV 24</t>
  </si>
  <si>
    <t>10.3390/fi17120536</t>
  </si>
  <si>
    <t>WOS:001647269300001</t>
  </si>
  <si>
    <t>Bao, SL; Li, TT; Cao, B</t>
  </si>
  <si>
    <t>Bao, Songlin; Li, Tiantian; Cao, Bin</t>
  </si>
  <si>
    <t>Chain-of-event prompting for multi-document summarization by large language models</t>
  </si>
  <si>
    <t>INTERNATIONAL JOURNAL OF WEB INFORMATION SYSTEMS</t>
  </si>
  <si>
    <t>Chain-of-event; Large language models; Multi-document summarization; Prompt engineering</t>
  </si>
  <si>
    <t>PurposeIn the era of big data, various industries are generating large amounts of text data every day. Simplifying and summarizing these data can effectively serve users and improve efficiency. Recently, zero-shot prompting in large language models (LLMs) has demonstrated remarkable performance on various language tasks. However, generating a very concise multi-document summary is a difficult task for it. When conciseness is specified in the zero-shot prompting, the generated multi-document summary still contains some unimportant information, even with the few-shot prompting. This paper aims to propose a LLMs prompting for multi-document summarization task.Design/methodology/approachTo overcome this challenge, the authors propose chain-of-event (CoE) prompting for multi-document summarization (MDS) task. In this prompting, the authors take events as the center and propose a four-step summary reasoning process: specific event extraction; event abstraction and generalization; common event statistics; and summary generation. To further improve the performance of LLMs, the authors extend CoE prompting with the example of summary reasoning.FindingsSummaries generated by CoE prompting are more abstractive, concise and accurate. The authors evaluate the authors' proposed prompting on two data sets. The experimental results over ChatGLM2-6b show that the authors' proposed CoE prompting consistently outperforms other typical promptings across all data sets.Originality/valueThis paper proposes CoE prompting to solve MDS tasks by the LLMs. CoE prompting can not only identify the key events but also ensure the conciseness of the summary. By this method, users can access the most relevant and important information quickly, improving their decision-making processes.</t>
  </si>
  <si>
    <t>1744-0084</t>
  </si>
  <si>
    <t>1744-0092</t>
  </si>
  <si>
    <t>APR 30</t>
  </si>
  <si>
    <t>10.1108/IJWIS-12-2023-0249</t>
  </si>
  <si>
    <t>WOS:001160558500001</t>
  </si>
  <si>
    <t>Hou, SY; Zhao, AQ; Liang, JY; Shen, ZX; Wu, HY</t>
  </si>
  <si>
    <t>Hou, Shuyang; Zhao, Anqi; Liang, Jianyuan; Shen, Zhangxiao; Wu, Huayi</t>
  </si>
  <si>
    <t>Geo-FuB: A method for constructing an Operator-Function knowledge base for geospatial code generation with large language models</t>
  </si>
  <si>
    <t>Geospatial code generation; Large language model; Retrieval-augmented generation; Google Earth Engine; Operator-Function Knowledge Base</t>
  </si>
  <si>
    <t>IDF</t>
  </si>
  <si>
    <t>The rapid growth of spatiotemporal data and the increasing demand for geospatial modeling have driven the automation of these tasks with large language models (LLMs) to enhance research efficiency. However, general LLMs often encounter hallucinations when generating geospatial code due to a lack of domain-specific knowledge on geospatial functions and related operators. The retrieval-augmented generation (RAG) technique, integrated with an external operator-function knowledge base, provides an effective solution to this challenge. To date, no widely recognized framework exists for building such a knowledge base. This study presents a comprehensive framework for constructing the operator-function knowledge base, leveraging semantic and structural knowledge embedded in geospatial scripts. The framework consists of three core components: Function Semantic Framework Construction (Geo-FuSE), Frequent Operator Combination Statistics (Geo-FuST), and Combination and Semantic Framework Mapping (Geo-FuM). Geo-FuSE employs techniques like Chain-ofThought (CoT), TF-IDF, t-SNE, and Gaussian Mixture Models (GMM) to extract semantic features from scripts; Geo-FuST uses Abstract Syntax Trees (AST) and the Apriori algorithm to identify frequent operator combinations; Geo-FuM combines LLMs with a fuzzy matching algorithm to align these combinations with the semantic framework, forming the Geo-FuB knowledge base. The instance of Geo-FuB, named GEE-FuB, has been developed using 154,075 Google Earth Engine scripts and is available at https://github.com/whuhsy/GEE-FuB. Based on a set of well-defined evaluation metrics introduced in this study, the GEE-FuB construction achieved an overall accuracy of 88.89 %, demonstrating a 31 % to 34 % reduction in hallucinations compared to mainstream LLMs without external knowledge integration. This research introduces a novel approach to knowledge mining and knowledge base construction specifically tailored for geospatial code generation tasks, broadening the applications of knowledge base construction and providing valuable theoretical insights, practical examples, and data resources for related research fields.</t>
  </si>
  <si>
    <t>10.1016/j.knosys.2025.113624</t>
  </si>
  <si>
    <t>WOS:001487620600001</t>
  </si>
  <si>
    <t>Sun, W; McFaddin, S; Tran, LH; Subramanian, S; Greenewald, K; Tenzin, Y; Xue, ZC; Drissi, Y; Ettl, M</t>
  </si>
  <si>
    <t>Sun, Wei; McFaddin, Scott; Tran, Linh Ha; Subramanian, Shivaram; Greenewald, Kristjan; Tenzin, Yeshi; Xue, Zack; Drissi, Youssef; Ettl, Markus</t>
  </si>
  <si>
    <t>PresAIse, a prescriptive AI solution for enterprise</t>
  </si>
  <si>
    <t>INFOR</t>
  </si>
  <si>
    <t>Causal decision-making; prescriptive AI; optimization; large language models; conversation agent</t>
  </si>
  <si>
    <t>VARIABLE SELECTION</t>
  </si>
  <si>
    <t>Prescriptive artificial intelligence (AI) represents a transformative shift in decision-making by offering causal insights and actionable recommendations. Despite its huge potential, enterprise adoption of prescriptive AI faces several challenges. One such challenge is caused by the lack of experimental data for many enterprises, making it hard to attribute differences in outcomes to interventions alone. The second pertains to the explainability of AI recommendations, which is crucial for enterprise decision-making settings. The third challenge is contributed by the silos between technologists and business users, hindering effective collaboration. This paper outlines an initiative from IBM Research, PresAIse, aiming to address some of these challenges by offering a suite of prescriptive AI solutions. Leveraging insights from various research papers, the solutions include scalable causal inference methods, interpretable decision-making approaches, and the integration of large language models (LLMs) to bridge the communication gap via a conversation agent. A proof-of-concept demonstrates the solutions' potential by enabling non-ML experts to interact with prescriptive AI models via a natural language interface, democratizing advanced analytics for strategic decision-making.</t>
  </si>
  <si>
    <t>0315-5986</t>
  </si>
  <si>
    <t>1916-0615</t>
  </si>
  <si>
    <t>10.1080/03155986.2024.2383095</t>
  </si>
  <si>
    <t>WOS:001285647000001</t>
  </si>
  <si>
    <t>Demir, S</t>
  </si>
  <si>
    <t>Demir, Suleyman</t>
  </si>
  <si>
    <t>Investigating the role of large language models on questions about refractive surgery</t>
  </si>
  <si>
    <t>ChatGPT-4.0; Microsoft copilot; Artificial intelligence; Refractive surgery; Google Gemini</t>
  </si>
  <si>
    <t>IN-SITU KERATOMILEUSIS; QUALITY</t>
  </si>
  <si>
    <t>Background: Large language models (LLMs) are becoming increasingly popular and are playing an important role in providing accurate clinical information to both patients and physicians. This study aimed to investigate the effectiveness of ChatGPT-4.0, Google Gemini, and Microsoft Copilot LLMs for responding to patient questions regarding refractive surgery. Methods: The LLMs' responses to 25 questions about refractive surgery, which are frequently asked by patients, were evaluated by two ophthalmologists using a 5-point Likert scale, with scores ranging from 1 to 5. Furthermore, the DISCERN scale was used to assess the reliability of the language models' responses, whereas the Flesch Reading Ease and Flesch-Kincaid Grade Level indices were used to evaluate readability. Results: Significant differences were found among all three LLMs in the Likert scores (p = 0.022). Pairwise comparisons revealed that ChatGPT-4.0 ' s Likert score was significantly higher than that of Microsoft Copilot, while no significant difference was found when compared to Google Gemini (p = 0.005 and p = 0.087, respectively). In terms of reliability, ChatGPT-4.0 stood out, receiving the highest DISCERN scores among the three LLMs. However, in terms of readability, ChatGPT-4.0 received the lowest score. Conclusions: ChatGPT-4.0 ' s responses to inquiries regarding refractive surgery were more intricate for patients compared to other language models; however, the information provided was more dependable and accurate.</t>
  </si>
  <si>
    <t>10.1016/j.ijmedinf.2025.105787</t>
  </si>
  <si>
    <t>WOS:001414274100001</t>
  </si>
  <si>
    <t>Cirillo, S; Desiato, D; Polese, G; Solimando, G; Sugumaran, V; Sundaramurthy, S</t>
  </si>
  <si>
    <t>Cirillo, Stefano; Desiato, Domenico; Polese, Giuseppe; Solimando, Giandomenico; Sugumaran, Vijayan; Sundaramurthy, Shanmugam</t>
  </si>
  <si>
    <t>Exploring the ability of emerging large language models to detect cyberbullying in social posts through new prompt-based classification approaches</t>
  </si>
  <si>
    <t>Cyberbullying detection; Large language models; Prompt-based machine learning; Prompt engineering</t>
  </si>
  <si>
    <t>The spread of new social networks in recent years, especially among adolescents, has increased the spread of social posts encouraging harmful behaviors, targeting people based on factors such as race, sex, or personal beliefs. This phenomenon makes it necessary to define intelligent tools capable of efficiently analyzing social media content. Recent Large Language Models (LLMs) have demonstrated advanced text generation and comprehension capabilities, making them efficient tools for identifying harmful posts. In this paper, we perform a large-scale evaluation of 20 generative LLMs in detecting cyberbullying phenomena in real social media posts through a new ad-hoc prompt Machine Learning approach (Prompt-based ML). We evaluate LLMs on binary and multiclass classification tasks on thousands of real posts from X, Facebook, and Reddit, and also compare their performance with 24 machine learning and natural language processing models. Specifically, the comparison analysis aims to understand the cyberbullying discrimination capability of LLMs with respect to traditional models, and the obtained findings to select suitable models for identifying harmful content on social network platforms. Furthermore, we provide an evaluation of the clarity, coherence, and relevance of the explanations provided by LLMs downstream of the identification of cyberbullying in social posts involving three domain experts. Experimental results highlight high performances of LLMs, particularly Claude 3.0 and Mistral family models, in identifying different types of cyberbullying. The domain expert evaluation of explainability showed that LLMs belonging to the Claude and Mistral families had better scores for clarity, coherence and relevance in their explanations compared to other models.</t>
  </si>
  <si>
    <t>10.1016/j.ipm.2024.104043</t>
  </si>
  <si>
    <t>WOS:001394651100001</t>
  </si>
  <si>
    <t>Zhou, ZP; Yu, XH; Magoua, JJ; Cui, JQ; Luan, HY; Lin, D</t>
  </si>
  <si>
    <t>Zhou, Zhipeng; Yu, Xinhui; Magoua, Joseph Jonathan; Cui, Jianqiang; Luan, Haiying; Lin, Dong</t>
  </si>
  <si>
    <t>Integrating machine learning and a large language model to construct a domain knowledge graph for reducing the risk of fall-from-height accidents</t>
  </si>
  <si>
    <t>Fall-from-height; Domain knowledge graph; Knowledge extraction; Natural language process; Named entity recognition; Large language model</t>
  </si>
  <si>
    <t>SAFETY KNOWLEDGE; DESIGN; ONTOLOGY; CLASSIFICATION; MANAGEMENT; AGREEMENT; INDUSTRY; SYSTEM</t>
  </si>
  <si>
    <t>Fall-from-height (FFH) accidents remain a major source of workplace injuries and fatalities. Fall protection systems (FPS) are critical for preventing falls in the work-at-height (WAH) environment. However, challenges in designing and selecting effective FPS persist across various industries, and existing tools often lack practical references. This study aims to develop an FFH-specific knowledge graph (FFH-KG) to support FPS design. By structuring accident data, the FFH-KG provides empirical insights to help designers improve FPS frameworks, aiding safety planning and decision-making. It serves as a decision support system for FPS designers and safety professionals, guiding the selection and design of appropriate protection solutions for diverse WAH scenarios. The FFH-KG was constructed using a hybrid natural language processing approach, combining manual extraction, entity recognition, text segmentation, and rule-based relation extraction. It was grounded in a schema layer (i.e., ontology) established by experts. A text-mining approach, integrating machine learning with a large language model, facilitated the categorization of fall types, refinement of WAH scenarios, and identification of fall causes, enhancing the content and applicability of knowledge graph. A total of 2,200 entities and 4,820 relationships were created based on fall protection equipment standard documents and fall-from-height accident investigation reports, forming a foundation for developing countermeasures. The retrieval performance of FFHKG was validated through three case studies. This research has also made significant progress in intelligent safety engineering and management across industries.</t>
  </si>
  <si>
    <t>10.1016/j.aap.2025.108009</t>
  </si>
  <si>
    <t>WOS:001467090300001</t>
  </si>
  <si>
    <t>Li, HY; He, ZX; Chen, XW; Zhang, C; Quan, SF; Killgore, WDS; Wung, SF; Chen, CX; Yuan, G; Lu, J; Li, A</t>
  </si>
  <si>
    <t>Li, Huayu; He, Zhengxiao; Chen, Xiwen; Zhang, Ci; Quan, Stuart F.; Killgore, William D. S.; Wung, Shu-Fen; Chen, Chen X.; Yuan, Geng; Lu, Jin; Li, Ao</t>
  </si>
  <si>
    <t>Smarter Together: Combining Large Language Models and Small Models for Physiological Signals Visual Inspection</t>
  </si>
  <si>
    <t>Physiological signals; Healthcare AI; Multimodal large language model; Clinical decision support</t>
  </si>
  <si>
    <t>Large language models (LLMs) have shown promising capabilities in visually interpreting medical time-series data. However, their general-purpose design can limit domain-specific precision, and the proprietary nature of many models poses challenges for fine-tuning on specialized clinical datasets. Conversely, small specialized models (SSMs) offer strong performance on focused tasks but lack the broader reasoning needed for complex medical decision-making. To address these complementary limitations, we introduce ConMIL (Conformalized Multiple Instance Learning), a novel decision-support framework distinctively synergizes three key components: (1) a new Multiple Instance Learning (MIL) mechanism, QTrans-Pooling, designed for per-class interpretability in identifying clinically relevant physiological signal segments; (2) conformal prediction, integrated with MIL to generate calibrated, set-valued outputs with statistical reliability guarantees; and (3) a structured approach for these interpretable and uncertainty-quantified SSM outputs to enhance the visual inspection capabilities of LLMs. Our experiments on arrhythmia detection and sleep stage classification demonstrate that ConMIL can enhance the accuracy of LLMs such as ChatGPT4.0, Qwen2-VL-7B, and MiMo-VL-7B-RL. For example, ConMIL -supported Qwen2-VL-7B and MiMo-VL-7B-RL both achieve 94.92% and 96.82% precision on confident samples and (70.61% and 78.02%)/(78.10% and 71.98%) on uncertain samples for the two tasks, compared to 46.13% and 13.16% using the LLM alone. These results suggest that integrating task-specific models with LLMs may offer a promising pathway toward more interpretable and trustworthy AI-driven clinical decision support.</t>
  </si>
  <si>
    <t>10.1007/s41666-025-00207-7</t>
  </si>
  <si>
    <t>WOS:001537728000001</t>
  </si>
  <si>
    <t>Munley, C; Jarmusch, A; Chandrasekaran, S</t>
  </si>
  <si>
    <t>Munley, Christian; Jarmusch, Aaron; Chandrasekaran, Sunita</t>
  </si>
  <si>
    <t>LLM4VV: Developing LLM-driven testsuite for compiler validation</t>
  </si>
  <si>
    <t>Large language models; Code generation; Validation and verification; OpenACC</t>
  </si>
  <si>
    <t>Large language models (LLMs) are a new and powerful tool for a wide span of applications involving natural language and demonstrate impressive code generation abilities. The goal of this work is to automatically generate tests and use these tests to validate and verify compiler implementations of a directive -based parallel programming paradigm, OpenACC. To do so, in this paper, we explore the capabilities of stateof-the-art LLMs, including open -source LLMs - Meta's Codellama, Phind's fine-tuned version of Codellama, Deepseek's Deepseek Coder and closed -source LLMs - OpenAI's GPT-3.5-Turbo and GPT-4-Turbo. We further fine-tune the open -source LLMs and GPT-3.5-Turbo using our own testsuite dataset along with using the OpenACC specification. We also explored these LLMs using various prompt engineering techniques that include code template, template with retrieval -augmented generation (RAG), one-shot example, one-shot with RAG, expressive prompt with code template and RAG. This paper highlights our findings from over 5000 tests generated via all the above mentioned methods. Our contributions include: (a) exploring the capabilities of the latest and relevant LLMs for code generation, (b) investigating fine-tuning and prompt methods, and (c) analyzing the outcome of LLMs generated tests including manually analysis of representative set of tests. We found the LLM Deepseek-Coder-33b-Instruct produced the most passing tests followed by GPT-4-Turbo.</t>
  </si>
  <si>
    <t>10.1016/j.future.2024.05.034</t>
  </si>
  <si>
    <t>WOS:001263676400001</t>
  </si>
  <si>
    <t>Mohamed, A; Rashid, ME; Shaalan, K</t>
  </si>
  <si>
    <t>Mohamed, Azza; Rashid, Mohamed El; Shaalan, Khaled</t>
  </si>
  <si>
    <t>In-Context Learning in Large Language Models (LLMs): Mechanisms, Capabilities, and Implications for Advanced Knowledge Representation and Reasoning</t>
  </si>
  <si>
    <t>Cognition; Artificial intelligence; Knowledge representation; Systematic literature review; Gaze tracking; Solid modeling; Benchmark testing; Training; Context modeling; Adaptation models; in-context learning; large language models (LLMs); knowledge representation reasoning; advanced AI models; natural language processing (NLP)</t>
  </si>
  <si>
    <t>The rapid growth of Large Language Models (LLMs) and their in-context learning (ICL) capabilities has significantly transformed paradigms in artificial intelligence (AI) and natural language processing. Notable models, such as OpenAI's GPT series, have demonstrated previously unprecedented advancements in verbal comprehension and adaptability, dynamically responding to new tasks offered via contextual prompts. This study provides a detailed survey of recent advances in theoretical research on LLMs and ICL. The search was conducted across several scholarly databases including Google Scholar, arXiv, IEEE Xplore, ACM Digital Library, and SpringerLink, covering publications from January 2019 to March 2024. We investigate how LLMs encode and use knowledge via ICL, the evolving reasoning skills that result from this process, and the considerable impact of prompt design on LLM reasoning performance, particularly in symbolic reasoning tasks. Furthermore, we investigate the theoretical frameworks that explain or challenge LLM behaviors in ICL contexts and address the significance of these findings for the development of complex knowledge representation and reasoning systems. Using a systematic methodology consistent with accepted research criteria, this review synthesizes significant observations, highlights existing gaps and obstacles, and discusses implications for future research and practice. Our goal is to connect theoretical ideas with actual advances in Artificial Intelligence, ultimately contributing to the continuing discussion about the capabilities and applications of LLMs in knowledge representation and reasoning.</t>
  </si>
  <si>
    <t>10.1109/ACCESS.2025.3575303</t>
  </si>
  <si>
    <t>WOS:001504135500014</t>
  </si>
  <si>
    <t>Soltani, M; Dara, R; Poljak, Z; Dubé, C; Bruce, N; Sharif, S</t>
  </si>
  <si>
    <t>Soltani, Marzieh; Dara, Rozita; Poljak, Zvonimir; Dube, Caroline; Bruce, Neil; Sharif, Shayan</t>
  </si>
  <si>
    <t>Leveraging social media and google trends to identify waves of avian influenza outbreaks in USA and Canada</t>
  </si>
  <si>
    <t>Social media; Google trends; Avian influenza; Early identification; Large language models; Public health surveillance; X</t>
  </si>
  <si>
    <t>Avian Influenza Virus (AIV) poses significant threats to the poultry industry, humans, domestic animals, and wildlife health worldwide. Monitoring this infectious disease is important for rapid and effective response to potential outbreaks. Conventional avian influenza surveillance systems have exhibited limitations in providing timely alerts for potential outbreaks. This study aimed to examine the idea of using online activity on social media, and Google searches to improve the identification of AIV in the early stage of an outbreak in a region. To this end, to evaluate the feasibility of this approach, we collected historical data on online user activities from X (formerly known as Twitter) and Google Trends and assessed the statistical correlation of activities in a region with the AIV outbreak officially reported case numbers. In order to mitigate the effect of the noisy content on the outbreak identification process, large language models were utilized to filter out the relevant online activity on X that could be indicative of an outbreak. Additionally, we conducted trend analysis on the selected internet-based data sources in terms of their timeliness and statistical significance in identifying AIV outbreaks. Moreover, we performed an ablation study using autoregsressive forecasting models to identify the contribution of X and Google Trends in predicting AIV outbreaks. The experimental findings illustrate that online activity on social media and search engine trends can detect avian influenza outbreaks, providing alerts earlier compared to official reports. This study suggests that real-time analysis of social media outlets and Google search trends can be used in avian influenza outbreak early warning systems, supporting epidemiologists and animal health professionals in informed decision-making.</t>
  </si>
  <si>
    <t>10.1016/j.eswa.2025.128482</t>
  </si>
  <si>
    <t>WOS:001512630600001</t>
  </si>
  <si>
    <t>Napoli, EA; Romani, N; Gatteschi, V; Schifanella, C</t>
  </si>
  <si>
    <t>Napoli, Emanuele Antonio; Romani, Noemi; Gatteschi, Valentina; Schifanella, Claudio</t>
  </si>
  <si>
    <t>Light and shadows of smart contract development with LLMs</t>
  </si>
  <si>
    <t>Smart contract development; Smart contract generation; Smart contract; Blockchain; Large language model; Legal contracts</t>
  </si>
  <si>
    <t>Smart contract development remains almost inaccessible to non-experts developers despite the growing adoption of blockchain technology across industries. This paper evaluates the potential of Large Language Models (LLMs) for automated smart contract generation from legal agreements. The work systematically assesses the capabilities of four leading commercial LLMs - gpt-4-turbo (OpenAI), claude-3.5-sonnet (Anthropic), mistral-large (MistralAI), and gemini-1.5-pro (Google) - across a diverse range of legal agreements with varying complexity. The evaluation framework consists of a in-depth evaluation of structured code patterns - typical to smart contracts - to provide nuanced insights into model performances. The results reveal a performance hierarchy with claude-3.5-sonnet and gpt-4-turbo consistently outperforming mistral-large and gemini-1.5-pro, particularly when handling complex agreements such as mortgage note agreement and property sales agreement. A nonlinear relationship has been observed between contract complexity and model performance, with even top-performing models showing significant degradation when processing intricate legal structures. Although achieving syntactic correctness has become increasingly feasible, ensuring functional completeness and security remains challenging, as evidenced by high-impact vulnerabilities detected across all generated smart contracts. This work contributes to the growing discourse on LLM applications in blockchain technology by providing empirical evidence of current capabilities and limitations, establishing a robust foundation for future research in AI-assisted smart contract development.</t>
  </si>
  <si>
    <t>JAN 15</t>
  </si>
  <si>
    <t>10.1016/j.eswa.2025.129011</t>
  </si>
  <si>
    <t>WOS:001540532400008</t>
  </si>
  <si>
    <t>Almaliki, M; Almars, AM; Aljuhani, KO; Atlam, E</t>
  </si>
  <si>
    <t>Almaliki, Malik; Almars, Abdulqader M.; Aljuhani, Khulood O.; Atlam, El-Sayed</t>
  </si>
  <si>
    <t>Combining the Strengths of LLMs and Persuasive Technology to Combat Cyberhate</t>
  </si>
  <si>
    <t>cyberhate; hate speech; large language models (LLMs); social media; persuasive technology</t>
  </si>
  <si>
    <t>HATE SPEECH</t>
  </si>
  <si>
    <t>Cyberhate presents a multifaceted, context-sensitive challenge that existing detection methods often struggle to tackle effectively. Large language models (LLMs) exhibit considerable potential for improving cyberhate detection due to their advanced contextual understanding. However, detection alone is insufficient; it is crucial for software to also promote healthier user behaviors and empower individuals to actively confront the spread of cyberhate. This study investigates whether integrating large language models (LLMs) with persuasive technology (PT) can effectively detect cyberhate and encourage prosocial user behavior in digital spaces. Through an empirical study, we examine users' perceptions of a self-monitoring persuasive strategy designed to reduce cyberhate. Specifically, the study introduces the Comment Analysis Feature to limit cyberhate spread, utilizing a prompt-based fine-tuning approach combined with LLMs. By framing users' comments within the relevant context of cyberhate, the feature classifies input as either cyberhate or non-cyberhate and generates context-aware alternative statements when necessary to encourage more positive communication. A case study evaluated its real-world performance, examining user comments, detection accuracy, and the impact of alternative statements on user engagement and perception. The findings indicate that while most of the users (83%) found the suggestions clear and helpful, some resisted them, either because they felt the changes were irrelevant or misaligned with their intended expression (15%) or because they perceived them as a form of censorship (36%). However, a substantial number of users (40%) believed the interventions enhanced their language and overall commenting tone, with 68% suggesting they could have a positive long-term impact on reducing cyberhate. These insights highlight the potential of combining LLMs and PT to promote healthier online discourse while underscoring the need to address user concerns regarding relevance, intent, and freedom of expression.</t>
  </si>
  <si>
    <t>MAY 2</t>
  </si>
  <si>
    <t>10.3390/computers14050173</t>
  </si>
  <si>
    <t>WOS:001496719200001</t>
  </si>
  <si>
    <t>Hamidi, C; Badiy, M; Gaou, S; Amounas, F; Azrour, M; Tribak, H; Alnajim, AM; Alabdulatif, A</t>
  </si>
  <si>
    <t>Hamidi, Charaf; Badiy, Mohamed; Gaou, Salma; Amounas, Fatima; Azrour, Mourade; Tribak, Hicham; Alnajim, Abdullah M.; Alabdulatif, Abdulatif</t>
  </si>
  <si>
    <t>Enhancing Automated Exam Creation with Retrieval-Augmented Generation for Scalable Educational Assessment</t>
  </si>
  <si>
    <t>-retrieval-augmented generation; natural language processing; Artificial Intelligence (AI) in education; automated exam generation; LangChain; Facebook AI Similarity Search (FAISS); Large Language Model Meta AI (LLaMA) 3; educational assessment</t>
  </si>
  <si>
    <t>The integration of Artificial Intelligence (AI) into educational assessment has led to significant advancements in automated exam generation. This study proposes a novel Retrieval-Augmented Generation (RAG)-based system designed to automate the creation of exam questions while ensuring contextual accuracy and adaptability to pedagogical needs. By leveraging state-of-the-art Natural Language Processing (NLP) techniques, including LangChain, Facebook AI Similarity Search (FAISS), and Large Language Model Meta AI (LLaMA) 3.2, the system retrieves domain-specific knowledge and generates multiple-choice and open-ended questions dynamically. The framework incorporates an interactive user interface built with Next.js, enabling customizable quiz settings, real-time answer verification, and performance tracking. A structured knowledge base is developed through automated web scraping and PDF content extraction using LLaMA Parse, ensuring the generation of precise and curriculum-aligned questions. The proposed system enhances educational assessment by reducing manual effort, ensuring scalability, and providing immediate feedback to learners. Experimental evaluations demonstrate its effectiveness in producing pedagogically sound Structured Query Language (SQL) assessments in French, highlighting the potential for broader applications in automated exam generation. This research contributes to the growing field of AI-driven educational tools, paving the way for future enhancements in adaptive learning and intelligent assessment methodologies.</t>
  </si>
  <si>
    <t>10.12720/jait.16.10.1430-1441</t>
  </si>
  <si>
    <t>WOS:001603269600007</t>
  </si>
  <si>
    <t>Runcie, NT; Deane, CM; Imrie, F</t>
  </si>
  <si>
    <t>Runcie, Nicholas T.; Deane, Charlotte M.; Imrie, Fergus</t>
  </si>
  <si>
    <t>Assessing the Chemical Intelligence of Large Language Models</t>
  </si>
  <si>
    <t>JOURNAL OF CHEMICAL INFORMATION AND MODELING</t>
  </si>
  <si>
    <t>SMILES</t>
  </si>
  <si>
    <t>Large Language Models are versatile, general-purpose tools with a wide range of applications. Recently, the advent of reasoning models has led to substantial improvements in their abilities in advanced problem-solving domains such as mathematics and software engineering. In this work, we assessed the ability of reasoning models to perform chemistry tasks directly, without any assistance from external tools. We created a novel benchmark, called ChemIQ, consisting of 816 questions assessing core concepts in organic chemistry, focused on molecular comprehension and chemical reasoning. Unlike previous benchmarks, which primarily use multiple choice formats, our approach requires models to construct short-answer responses, more closely reflecting real-world applications. The reasoning models, OpenAI's o3-mini, Google's Gemini 2.5 Pro, and DeepSeek R1, answered 50%-57% of questions correctly in their highest reasoning modes, with higher reasoning levels significantly increasing performance on all tasks. These models substantially outperformed the nonreasoning models which achieved only 3%-7% accuracy. We found that Large Language Models can now convert SMILES strings to IUPAC names, a task earlier models were unable to perform. Additionally, we show that the latest reasoning models can elucidate structures from 1D and 2D 1H and 13C NMR data, with Gemini 2.5 Pro correctly generating SMILES strings for around 90% of molecules containing up to 10 heavy atoms, and in one case solving a structure comprising 25 heavy atoms. For each task, we found evidence that the reasoning process mirrors that of a human chemist. Our results demonstrate that the latest reasoning models are becoming increasingly capable of performing advanced chemical reasoning.</t>
  </si>
  <si>
    <t>1549-9596</t>
  </si>
  <si>
    <t>1549-960X</t>
  </si>
  <si>
    <t>JAN 12</t>
  </si>
  <si>
    <t>10.1021/acs.jcim.5c02145</t>
  </si>
  <si>
    <t>Pharmacology &amp; Pharmacy; Chemistry; Computer Science</t>
  </si>
  <si>
    <t>WOS:001642260100001</t>
  </si>
  <si>
    <t>Ramirez, CE; Demir, I</t>
  </si>
  <si>
    <t>Ramirez, Carlos Erazo; Demir, Ibrahim</t>
  </si>
  <si>
    <t>AI-assisted voice enabled computing framework for hydrological analysis</t>
  </si>
  <si>
    <t>Large language model; Hydroinformatics; Web-based modelling; Workflow Automation; No-code voice-enabled</t>
  </si>
  <si>
    <t>COMPUTATIONAL HYDROLOGY; REPRODUCIBILITY; HYDROSHARE; METADATA; EXAMPLE; MODELS</t>
  </si>
  <si>
    <t>This work presents a web-based, voice-enabled, no-code platform for AI-assisted hydrological analysis. The system allows users to interact through natural language-via both text and speech-to retrieve data, utilize hydrological functions, and visualize spatial and analytical outputs. Core components include a conversational AI assistant utilizing Large Language Models, a modular analysis engine based on HydroSuite, and direct integration with hydrological data from federal agencies using HydroShare and other data and web services. Structured intent parsing, persistent session state, and dynamic map-layer control support multi-turn interactions and reproducible workflows. A case study over the Mississippi River Delta demonstrates how the platform enables guided exploration, layered data integration, and low-latency execution with minimal technical overhead. The platform lowers barriers for research, education, and decision-making in hydrology by combining AI reasoning with a transparent, accessible user interface. By enabling natural language interaction, data integration, and reproducible, multi-turn task processing, this system lays the foundation for automated hydrological research and operational workflows.</t>
  </si>
  <si>
    <t>10.1016/j.envsoft.2025.106833</t>
  </si>
  <si>
    <t>WOS:001648422800001</t>
  </si>
  <si>
    <t>Salvi, S; Vu, G; Gurupur, V; King, C</t>
  </si>
  <si>
    <t>Salvi, Sanket; Vu, Giang; Gurupur, Varadraj; King, Christian</t>
  </si>
  <si>
    <t>Digital Convergence in Dental Informatics: A Structured Narrative Review of Artificial Intelligence, Internet of Things, Digital Twins, and Large Language Models with Security, Privacy, and Ethical Perspectives</t>
  </si>
  <si>
    <t>dental informatics; artificial intelligence in dentistry; large language models (LLMs); Internet of Things (IoT); Digital Twin in healthcare; dental diagnostics; smart dental technologies; medical ethics; AI; privacy in oral healthcare; health data security</t>
  </si>
  <si>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</si>
  <si>
    <t>AUG 18</t>
  </si>
  <si>
    <t>10.3390/electronics14163278</t>
  </si>
  <si>
    <t>WOS:001557472700001</t>
  </si>
  <si>
    <t>Wu, T; Li, J; Bao, JS; Liu, Q</t>
  </si>
  <si>
    <t>Wu, Tao; Li, Jie; Bao, Jinsong; Liu, Qiang</t>
  </si>
  <si>
    <t>Large language model-driven multi-agent systems for improving production efficiency and reducing carbon emissions in manufacturing</t>
  </si>
  <si>
    <t>Digital Twin; Multi-Agent Systems; Autonomous Agent; Large Language Model; Customized Production; Carbon Emission Management</t>
  </si>
  <si>
    <t>Routinely used production scheduling methods face significant challenges when addressing increasing demands for customized production. Flexible scheduling provides enterprises with a means to respond to the dynamic organization of production resources and the rapid demand variability inherent in customized manufacturing scenarios. CarbonDTMAS, an acronym for Carbon Emission-oriented Digital Twin Multi-Agent System enhanced by large language models, represents the platform proposed in this research. It aims to improve the collaborative optimization capabilities of flexible manufacturing workshops, with a particular focus on addressing carbon emission mitigation and dynamic scheduling optimization. Initially, a multi-agent self-organizing negotiation mechanism is developed to exploit domain-specific knowledge, particularly related to carbon emissions. This mechanism enhances agents' autonomous perception and interaction capabilities within flexible workshop environments. Subsequently, a multi-objective scheduling decision algorithm is introduced, which comprehensively integrates key scheduling factors, including task and machine features as well as historical carbon emission data, into the decision-making process. Finally, an adaptive learning algorithm is introduced to improve model's responsiveness to uncertain events, such as machine failures and order insertions. The case study demonstrates that compared to benchmark models and rule-based systems, CarbonDTMAS achieves superior performance in reducing tardiness time, balancing workload balance, and minimizing carbon emissions.</t>
  </si>
  <si>
    <t>10.1016/j.cie.2025.111299</t>
  </si>
  <si>
    <t>WOS:001511238200003</t>
  </si>
  <si>
    <t>Pedemonte, G; Leotta, M; Ribaudo, M</t>
  </si>
  <si>
    <t>Pedemonte, Giacomo; Leotta, Maurizio; Ribaudo, Marina</t>
  </si>
  <si>
    <t>Improving Web Accessibility With an LLM-Based Tool: A Preliminary Evaluation for STEM Images</t>
  </si>
  <si>
    <t>Data visualization; Visualization; Dolphins; Guidelines; Browsers; STEM; Dogs; Anatomy; Transformers; Social networking (online); Web accessibility; image captioning; large language models; empirical evaluation</t>
  </si>
  <si>
    <t>Ensuring equitable access to web-based visual content in Science, Technology, Engineering, and Mathematics (STEM) disciplines remains a significant challenge for visually impaired users. This preliminary study explores the use of Large Language Models (LLMs) to automatically generate high-quality alternative texts for complex web images in these domains, contributing to the development of an accessibility tool. First, we analyzed the outputs of various LLM-based image-captioning systems, selected the most suitable one (Gemini), and developed a browser extension, AlternAtIve, capable of generating alternative descriptions at varying verbosity levels. To evaluate AlternAtIve, we assessed its perceived usefulness in a study involving 35 participants, including a blind user. Additionally, we manually compared the quality of the outputs generated by AlternAtIve with those provided by two state-of-the-practice tools from the Google Web Store, using a custom metric that computes the quality of the descriptions considering their correctness, usefulness, and completeness. The results show that the descriptions generated with AlternAtIve achieved high quality scores, almost always better than those of the other two tools. Although conveying the meaning of complex images to visually impaired users through descriptions remains challenging, the findings suggest that AI-based tools, such as AlternAtIve, can significantly improve the web navigation experience for screen reader users.</t>
  </si>
  <si>
    <t>10.1109/ACCESS.2025.3577519</t>
  </si>
  <si>
    <t>WOS:001518769800005</t>
  </si>
  <si>
    <t>Altin, M; Mutlu, B; Kilinc, D; Cakir, A</t>
  </si>
  <si>
    <t>Altin, Mahsun; Mutlu, Behcet; Kilinc, Deniz; Cakir, Altan</t>
  </si>
  <si>
    <t>Automated Testing for Service-Oriented Architecture: Leveraging Large Language Models for Enhanced Service Composition</t>
  </si>
  <si>
    <t>Indexing; Software testing; Software systems; Scalability; Accuracy; Software development management; Real-time systems; Complexity theory; Software reliability; AI-driven automation; large language models; scalability in API testing; service-oriented architecture; software validation; software validation</t>
  </si>
  <si>
    <t>This article explores the application of Large Language Models (LLMs), including proprietary models such as OpenAI's ChatGPT 4o and ChatGPT 4o-mini, Anthropic's Claude 3.5 Sonnet and Claude 3.7 Sonnet, and Google's Gemini 1.5 Pro, Gemini 2.0 Flash, and Gemini 2.0 Flash-Lite, as well as open-source alternatives including Qwen2.5-14B-Instruct-1M, and commercially accessed models such as DeepSeek R1 and DeepSeek V3, which were tested via APIs despite having open-source variants, to automate validation and verification in Application Programming Interface (API) testing within a Service-Oriented Architecture (SOA). Our system compares internal responses from the Enuygun Web Server against third-party API outputs in both JSON and XML formats, validating critical parameters such as flight prices, baggage allowances, and seat availability. We generated 100 diverse test scenarios across varying complexities (1-4 flight results) by randomly altering request and response parameters. Experimental results show that Google Gemini 2.0 Flash achieved high accuracy (up to 99.98%) with the lowest completion time (85.34 seconds), while Qwen2.5-14B-Instruct-1M exhibited limited capability in processing complex formats. Models such as OpenAI's ChatGPT and Anthropic's Claude Sonnet models also demonstrated strong performance in single-flight validation scenarios, making them suitable for low-latency, high-precision tasks. Our findings indicate that some open-source models can offer promising cost-effective alternatives, though performance significantly varies. This integration of LLMs reduced manual workload, improved test scalability, and enabled real-time validation across large-scale datasets. As LLM technologies mature, we anticipate further advances in automation, accuracy, and efficiency in software validation systems.</t>
  </si>
  <si>
    <t>10.1109/ACCESS.2025.3571994</t>
  </si>
  <si>
    <t>WOS:001498048200024</t>
  </si>
  <si>
    <t>Guler, N; Cahalane, M; Kirshner, SN; Vidgen, R</t>
  </si>
  <si>
    <t>Guler, Nazmiye; Cahalane, Michael; Kirshner, Samuel N.; Vidgen, Richard</t>
  </si>
  <si>
    <t>The Role of Roles: Are LLMs Behavioural in Information Systems Decision-Making?</t>
  </si>
  <si>
    <t>AUSTRALASIAN JOURNAL OF INFORMATION SYSTEMS</t>
  </si>
  <si>
    <t>Large language models; ChatGPT; Behavioural information systems; AI cognition; Prompt-engineering</t>
  </si>
  <si>
    <t>Large Language Models (LLMs) are increasingly embedded in organisational workflows, serving as decision-making tools and proxies for human behaviour as silicon samples. While these models offer significant potential, emerging research highlights concerns about biases in LLM-generated outputs, raising questions about their reliability in complex decision-making contexts. To explore how LLMs respond to challenges in Information Systems (IS) scenarios, we examine ChatGPT's decision-making in three experimental tasks from the IS literature: identifying phishing threats, making product launch decisions, and managing IT projects. Crucially, we test the impact of role assignment, a prompt engineering technique, on guiding ChatGPT towards behavioural or rational decision approaches. Our findings reveal that ChatGPT often behaves like human decision-makers when prompted to assume a human role, demonstrating susceptibility to similar biases. However, when instructed to act like AI, ChatGPT exhibited greater consistency and reduced susceptibility to behavioural factors. These results suggest that subtle prompt variations can significantly influence decision-making outcomes. This study contributes to the growing literature on LLMs by demonstrating their dual potential to mirror human behaviour and improve decision-making reliability in IS contexts, highlighting how LLMs can enhance efficiency and reliability in organisational decision-making.</t>
  </si>
  <si>
    <t>1449-8618</t>
  </si>
  <si>
    <t>1326-2238</t>
  </si>
  <si>
    <t>10.3127/ajis.v29.5573</t>
  </si>
  <si>
    <t>WOS:001636465200001</t>
  </si>
  <si>
    <t>Ulusoy, Ö</t>
  </si>
  <si>
    <t>Ulusoy, Oyku</t>
  </si>
  <si>
    <t>Decision-making for technology-led transformation in research practices</t>
  </si>
  <si>
    <t>Large Language Models; ChatGPT; Gen-AI; Transformative experience; Value changes; Rational choice; Decision theory</t>
  </si>
  <si>
    <t>ARTIFICIAL-INTELLIGENCE; CHATGPT</t>
  </si>
  <si>
    <t>Following the emergence of disruptive technologies and technology-driven trends, academics and researchers in particular face consequential changes in how they can conduct their work. In this paper, I argue that as researchers incorporate Generative AI tools to varying degrees, the activities they undertake for research will be altered, potentially leading to new practices and skillsets. I describe the adoption of Large Language Models (LLMs) as a transformative experience to argue that, when individuals encounter significant changes in habits, skills, and tasks, it fundamentally alters qualitative features of research activities. This reveals a rational choice problem for researchers, academics, and students alike: the substantial changes in research activities complicate the comparison of current and future competencies. In the wake of significant technological shifts, they are not well-positioned to decide whether replacing the current methods of researching and writing with those augmented by LLMs is better and preferable, as they cannot envision what it would be like to lose competence in some of their current skills.</t>
  </si>
  <si>
    <t>2025 AUG 26</t>
  </si>
  <si>
    <t>10.1007/s00146-025-02567-5</t>
  </si>
  <si>
    <t>WOS:001556798500001</t>
  </si>
  <si>
    <t>Haque, MA; Kamal, M; George, R; Gupta, KD</t>
  </si>
  <si>
    <t>Haque, Mohd Ariful; Kamal, Marufa; George, Roy; Gupta, Kishor Datta</t>
  </si>
  <si>
    <t>Utilizing structural metrics from knowledge graphs to enhance the robustness quantification of large language models</t>
  </si>
  <si>
    <t>INTERNATIONAL JOURNAL OF DATA SCIENCE AND ANALYTICS</t>
  </si>
  <si>
    <t>Knowledge graph; LLM; Structural metrics; CodeLlama; Mistral; Vicuna</t>
  </si>
  <si>
    <t>LARGE-SCALE</t>
  </si>
  <si>
    <t>Knowledge graphs (KGs) play a critical role in organizing large stores of unstructured information into structured formats. This structured information is then accessible through SPARQL queries or graph libraries based on their structure. KGs enhance search, power AI systems, and facilitate knowledge discovery across domains. In this research, we explore the capabilities of different large language models (LLMs) like CodeLlama, Mistral, and Vicuna, which are recognized for text generation, in handling textual information tasks for constructing knowledge graphs with structured data. Utilizing these LLMs, we generate class descriptions for all the classes of well-known KGs like DBpedia, YAGO, and Google Knowledge Graph. Using these class descriptions, we have extracted RDF triples and used different preprocessing techniques for better refinement and extraction of the graph triples from the generated result. These extracted triples are used for the graph ontology creation. Highlighting the contribution of LLMs to structured graph formation, our study includes a comparison of the constructed KGs using the three LLMs with the existing Knowledge Graphs. Later, these KGs are evaluated using six structural quality metrics encompassing both class and property-related information crucial for KG formation. Our insights prove valuable for researchers exploring these domains, offering guidance on overcoming challenges and maximizing the potential of large language models in knowledge graph construction, text generation, and text extraction.</t>
  </si>
  <si>
    <t>2364-415X</t>
  </si>
  <si>
    <t>2364-4168</t>
  </si>
  <si>
    <t>10.1007/s41060-024-00643-5</t>
  </si>
  <si>
    <t>WOS:001376246200001</t>
  </si>
  <si>
    <t>Moharil, A; Vanschoren, J; Singh, P; Tamburri, D</t>
  </si>
  <si>
    <t>Moharil, Ambarish; Vanschoren, Joaquin; Singh, Prabhant; Tamburri, Damian</t>
  </si>
  <si>
    <t>Towards efficient AutoML: a pipeline synthesis approach leveraging pre-trained transformers for multimodal data</t>
  </si>
  <si>
    <t>Automated machine learning (AutoML); Multimodal data; Pre-trained transformer models; Bayesian optimization (BO)</t>
  </si>
  <si>
    <t>This paper introduces an Automated Machine Learning (AutoML) framework specifically designed to efficiently synthesize end-to-end multimodal machine learning pipelines. Traditional reliance on the computationally demanding Neural Architecture Search is minimized through the strategic integration of pre-trained transformer models. This innovative approach enables the effective unification of diverse data modalities into high-dimensional embeddings, streamlining the pipeline development process. We leverage an advanced Bayesian Optimization strategy, informed by meta-learning, to facilitate the warm-starting of the pipeline synthesis, thereby enhancing computational efficiency. Our methodology demonstrates its potential to create advanced and custom multimodal pipelines within limited computational resources. Extensive testing across 23 varied multimodal datasets indicates the promise and utility of our framework in diverse scenarios. The results contribute to the ongoing efforts in the AutoML field, suggesting new possibilities for efficiently handling complex multimodal data. This research represents a step towards developing more efficient and versatile tools in multimodal machine learning pipeline development, acknowledging the collaborative and ever-evolving nature of this field.</t>
  </si>
  <si>
    <t>10.1007/s10994-024-06568-1</t>
  </si>
  <si>
    <t>WOS:001272291200001</t>
  </si>
  <si>
    <t>Li, QY; Liu, HJ; Guo, CC; Gao, C; Chen, DY; Wang, M; Gao, F; van Harmelen, F; Gu, JG</t>
  </si>
  <si>
    <t>Li, Qiyuan; Liu, Haijiang; Guo, Caicai; Gao, Chao; Chen, Deyu; Wang, Meng; Gao, Feng; van Harmelen, Frank; Gu, Jinguang</t>
  </si>
  <si>
    <t>Reviewing clinical knowledge in medical large language models: Training and beyond</t>
  </si>
  <si>
    <t>Large language models; Clinical knowledge; Medical academic; Medical practice</t>
  </si>
  <si>
    <t>The large-scale development of large language models (LLMs) in medical contexts, such as diagnostic assistance and treatment recommendations, necessitates that these models possess accurate medical knowledge and deliver traceable decision-making processes. Clinical knowledge, encompassing the insights gained from research on the causes, prognosis, diagnosis, and treatment of diseases, has been extensively examined within real-world medical practices. Recently, there has been a notable increase in research efforts aimed at integrating this type of knowledge into LLMs, encompassing not only traditional text and multimodal data integration but also technologies such as knowledge graphs (KGs) and retrieval-augmented generation (RAG). In this paper, we review the various initiatives to embed clinical knowledge into training-based, KG-supported, and RAG-assisted LLMs. We begin by gathering reliable knowledge sources from the medical domain, including databases and datasets. Next, we evaluate implementations for integrating clinical knowledge through specialized datasets and collaborations with external knowledge sources such as KGs and relevant documentation. Furthermore, we discuss the applications of the developed medical LLMs in the industrial sector to assess the disparity between models developed in academic settings and those in industry. We conclude the survey by presenting evaluation systems applicable to relevant tasks and identifying potential challenges facing this field. In this review, we do not aim for completeness, since any ostensibly complete review would soon be outdated. Our goal is to illustrate diversity by selecting representative and accessible items from current research and industry practices, reflecting real-world situations rather than claiming completeness. Thus, we emphasize showcasing diverse approaches.</t>
  </si>
  <si>
    <t>OCT 25</t>
  </si>
  <si>
    <t>10.1016/j.knosys.2025.114215</t>
  </si>
  <si>
    <t>Green Published</t>
  </si>
  <si>
    <t>WOS:001586480400001</t>
  </si>
  <si>
    <t>Xiang, TA; Bi, YG; Zhi, MJ; Cai, L</t>
  </si>
  <si>
    <t>Xiang, Tianao; Bi, Yuanguo; Zhi, Mingjian; Cai, Lin</t>
  </si>
  <si>
    <t>FLAD: Federated-Trained Large Language Models for Autonomous Driving</t>
  </si>
  <si>
    <t>IEEE NETWORK</t>
  </si>
  <si>
    <t>Training; Servers; Autonomous vehicles; Feature extraction; Decision making; Adaptation models; Computational modeling; Collaboration; Clouds; Cloud computing</t>
  </si>
  <si>
    <t>Large language models (LLMs) have demonstrated advanced capabilities in contextual understanding, multi-modal fusion and cross-domain reasoning, and improved decision-making and planning, making them a promising technology for advancing autonomous driving (AD). However, training and deploying LLM-based AD systems face significant challenges: high computation requirements, data privacy concerns, and the need for personalization across diverse driving environments. In this paper, we present Federated-Trained LLM for Autonomous Driving (FLAD), a novel framework that leverages distributed intelligence across vehicles, edge servers, and cloud infrastructure to address the above challenges. FLAD introduces three key innovations: 1) a cloud-edge-vehicle collaborative architecture that balances computational demands while preserving data privacy; 2) an intelligent training system that enables resource-constrained vehicles to participate in model development through optimized workload distribution; and 3) a knowledge distillation approach that personalizes models for specific regions. We deploy a working implementation to illustrate how to address practical deployment practical challenges. Then, we use the implementation to demonstrate how FLAD improves autonomous driving performance while efficiently utilizing distributed resources. This article sheds new light on how to apply privacy- preserving federated training on LLMs to enhance autonomous driving systems.</t>
  </si>
  <si>
    <t>0890-8044</t>
  </si>
  <si>
    <t>1558-156X</t>
  </si>
  <si>
    <t>10.1109/MNET.2025.3634409</t>
  </si>
  <si>
    <t>WOS:001643501100001</t>
  </si>
  <si>
    <t>Atmaja, BT; Chen, JL</t>
  </si>
  <si>
    <t>Atmaja, Bagus Tri; Chen, Jiann-Liang</t>
  </si>
  <si>
    <t>Integrating Large Language Model for Common Criteria Security Document Generation Based on PySide6</t>
  </si>
  <si>
    <t>SOFTWARE-PRACTICE &amp; EXPERIENCE</t>
  </si>
  <si>
    <t>artificial intelligence (AI); common criteria (CC); cyber-security; large language model (LLM); low-rank adaptation (LoRA); parameter-efficient fine-tuning (PEFT)</t>
  </si>
  <si>
    <t>BackgroundAs cyber threats proliferate with increasing sophistication, the timely and accurate generation of security documents adherent to Common Criteria (CC) standards has become imperative. Building on previous research on CCGenTool, a framework designed to streamline Security Target document creation.AimsThis study aimed to advance CCGenTool by integrating and fine-tuning the Llama 3.1 Large Language Model (LLM) to enhance the automated generation of security objectives justifications within CC documentation.Materials &amp; MethodsTo achieve this, we employed Parameter-Efficient Fine-Tuning (PEFT) strategies, including Low-Rank Adaptation (LoRA), which optimizes Llama 3.1 performance while preserving its pre-trained capabilities. The research utilized an annotated dataset of 1998 items derived from diverse Protection Profiles, carefully labeled for relevance and context. This dataset was split into training (70%) and evaluation (30%) subsets. Through a sophisticated fine-tuning protocol, the model's outputs were tailored to align with industry-specific requirements.ResultBenchmark results demonstrate competitive performance; when evaluated against GPT-4.1 Nano using Google Gemini 2.5 Pro Preview as an analytical framework, the fine-tuned Llama 3.1 was preferred in 80 out of 150 comparisons, while GPT-4.1 Nano was preferred in the remaining 70 instances.Discussion &amp; ConclusionThese findings underscore the potential of AI to not only mitigate emerging cyber threats but also address the dynamic need for up-to-date CC documentation in cybersecurity defense strategies. By intelligently streamlining complex document production processes, this innovation equips developers with an analytical advantage, reducing compliance barriers and accelerating timelines in the face of evolving digital risks.</t>
  </si>
  <si>
    <t>0038-0644</t>
  </si>
  <si>
    <t>1097-024X</t>
  </si>
  <si>
    <t>10.1002/spe.70002</t>
  </si>
  <si>
    <t>WOS:001508817500001</t>
  </si>
  <si>
    <t>Costabile, L; Orlando, GM; La Gatta, V; Moscato, V</t>
  </si>
  <si>
    <t>Costabile, Luigia; Orlando, Gian Marco; La Gatta, Valerio; Moscato, Vincenzo</t>
  </si>
  <si>
    <t>Assessing the potential of generative agents in crowdsourced fact-checking</t>
  </si>
  <si>
    <t>Generative agents; Crowdsourced fact-checking; Large language models; Misinformation</t>
  </si>
  <si>
    <t>The growing spread of online misinformation has created an urgent need for scalable, reliable fact-checking solutions. Crowdsourced fact-checking-where non-experts evaluate claim veracity-offers a cost-effective alternative to expert verification, despite concerns about variability in quality and bias. Encouraged by promising results in certain contexts, major platforms such as X (formerly Twitter), Facebook, and Instagram have begun shifting from centralized moderation to decentralized, crowd-based approaches. In parallel, advances in Large Language Models (LLMs) have shown strong performance across core fact-checking tasks, including claim detection and evidence evaluation. However, their potential role in crowdsourced workflows remains unexplored. This paper investigates whether LLM-powered generative agents-autonomous entities that emulate human behavior and decision-making-can meaningfully contribute to fact-checking tasks traditionally reserved for human crowds. Using the protocol of La Barbera et al. (2024), we simulate crowds of generative agents with diverse demographic and ideological profiles. Agents retrieve evidence, assess claims along multiple quality dimensions, and issue final veracity judgments. Our results show that agent crowds outperform human crowds in truthfulness classification, exhibit higher internal consistency, and show reduced susceptibility to social and cognitive biases. Compared to humans, agents rely more systematically on informative criteria such as Accuracy, Precision, and Informativeness, suggesting a more structured decision-making process. Overall, our findings highlight the potential of generative agents as scalable, consistent, and less biased contributors to crowd-based fact-checking systems.</t>
  </si>
  <si>
    <t>10.1016/j.osnem.2025.100326</t>
  </si>
  <si>
    <t>WOS:001541556500001</t>
  </si>
  <si>
    <t>Richter-Pechanski, P; Seiferling, M; Kiriakou, C; Schwab, DM; Geis, NA; Dieterich, C; Frank, A</t>
  </si>
  <si>
    <t>Richter-Pechanski, Phillip; Seiferling, Marvin; Kiriakou, Christina; Schwab, Dominic M.; Geis, Nicolas A.; Dieterich, Christoph; Frank, Anette</t>
  </si>
  <si>
    <t>Medication information extraction using local large language models</t>
  </si>
  <si>
    <t>Medication information extraction; Large language models; Llama; Clinical NLP; Fine-tuning; Interpretability</t>
  </si>
  <si>
    <t>Objective: Medication information is crucial for clinical routine and research. However, a vast amount is stored in unstructured text, such as doctor's letters, requiring manual extraction - a resource-intensive, error-prone task. Automating this process comes with significant constraints in a clinical setup, including the demand for clinical expertise, limited time-resources, restricted IT infrastructure, and the demand for transparent predictions. Recent advances in generative large language models (LLMs) and parameter-efficient fine-tuning methods show potential to address these challenges. Methods: We evaluated local LLMs for end-to-end extraction of medication information, combining named entity recognition and relation extraction. We used format-restricting instructions and developed an innovative feedback pipeline to facilitate automated evaluation. We applied token-level Shapley values to visualize and quantify token contributions, to improve transparency of model predictions. Results: Two open-source LLMs - one general (Llama) and one domain-specific (OpenBioLLM) - were evaluated on the English n2c2 2018 corpus and the German CARDIO:DE corpus. OpenBioLLM frequently struggled with structured outputs and hallucinations. Fine-tuned Llama models achieved new state-of-the-art results, improving F1-score by up to 10 percentage points (pp.) for adverse drug events and 6 pp. for medication reasons on English data. On the German dataset, Llama established a new benchmark, outperforming traditional machine learning methods by up to 16 pp. micro average F1-score. Conclusion: Our findings show that fine-tuned local open-source generative LLMs outperform SOTA methods for medication information extraction, delivering high performance with limited time and IT resources in a realworld clinical setup, and demonstrate their effectiveness on both English and German data. Applying Shapley values improved prediction transparency, supporting informed clinical decision-making.</t>
  </si>
  <si>
    <t>10.1016/j.jbi.2025.104898</t>
  </si>
  <si>
    <t>WOS:001561264800001</t>
  </si>
  <si>
    <t>Tian, WJ; Yin, J; Wang, W; Guo, ZH; Zhu, LQ; Li, JB</t>
  </si>
  <si>
    <t>Tian, Weijun; Yin, Jia; Wang, Wei; Guo, Zhonghua; Zhu, Liqiang; Li, Jianbo</t>
  </si>
  <si>
    <t>Fusing a Slimming Network and Large Language Models for Intelligent Decision Support in Industrial Safety and Preventive Monitoring</t>
  </si>
  <si>
    <t>safety helmet detection; channel pruning; convolutional neural network; RAG; AI agent</t>
  </si>
  <si>
    <t>Intelligent personnel safety management is a critical component of smart manufacturing infrastructure. This paper presents an integrated framework combining a structurally optimized neural network (enhanced with spatial and channel feature fusion mechanisms for multi-scale detection) with an agent-based large language model (LLM) enhanced with retrieval-augmented generation (RAG) capabilities for factory safety monitoring. The visual detection component employs the Similarity-Aware Channel Pruning (SACP) method for automated, performance-preserving compression by identifying and suppressing redundant channels based on similarity and norm regularization, while the agent-based LLM with RAG capabilities dynamically integrates real-time violation data with established safety management protocols to generate precise diagnostic reports and operational recommendations. The optimized network achieves real-time violation detection in parallel video streams, and the LLM-powered assistant facilitates intelligent decision-making through natural language querying. Extensive evaluations on multiple benchmark datasets and a real-world safety helmet detection dataset demonstrate the scheme's superior performance in both accuracy and practical applicability for industrial deployment.</t>
  </si>
  <si>
    <t>DEC 4</t>
  </si>
  <si>
    <t>10.3390/electronics14234773</t>
  </si>
  <si>
    <t>WOS:001634299400001</t>
  </si>
  <si>
    <t>Li, Y; Zhao, QQ; Hou, M; Bai, QS; Zou, XY; Xie, CL; Shu, C; Ma, BY; Li, ZJ</t>
  </si>
  <si>
    <t>Li, Yu; Zhao, Qiaoqiao; Hou, Min; Bai, Quansheng; Zou, Xiyan; Xie, Changle; Shu, Chang; Ma, Boyang; Li, Zhijin</t>
  </si>
  <si>
    <t>D2: An LLM agent driving end-to-end visual AI modeling in energy platforms</t>
  </si>
  <si>
    <t>Large language models; Agent systems; No-code modeling; Hydropower forecasting; Usability evaluation; Intelligent platforms</t>
  </si>
  <si>
    <t>This study presents X-AI, a domain-native, agent-driven, and end-to-end modeling platform developed to support digital transformation in the energy sector. X-AI integrates advanced Machine Learning (ML) and Deep Learning (DL) capabilities into a workflow-driven environment that enables energy engineers to construct and deploy predictive models without prior AI expertise. A key innovation is the introduction of Dragon Dawn (D2), an intelligent agent powered by Large Language Models (LLMs) and agent-based reasoning. D2 interprets natural language instructions, retrieves domain-relevant knowledge, orchestrates modeling workflows, and guides multistep optimization processes, thereby lowering technical barriers and cognitive load for users. To quantitatively evaluate platform usability, a novel metric termed Cognitive-Operation Efficiency Ratio (COER) is proposed, capturing both task efficiency and cognitive effort. Experimental evaluation shows that D2 significantly enhances modeling productivity, with over eightfold improvement in COER. A real-world case study on inflow forecasting in cascade hydropower systems validates the platform's capabilities. By comparing LSTM and D2-assisted XGBoost models, the study demonstrates how the agent facilitates iterative reasoning, feature enhancement, and hyperparameter tuning. These findings establish X-AI as a practical, scalable AI solution for accelerating intelligent decision-making in the energy domain.</t>
  </si>
  <si>
    <t>10.1016/j.egyai.2025.100582</t>
  </si>
  <si>
    <t>WOS:001545679400001</t>
  </si>
  <si>
    <t>Kim, DK; Ming, H</t>
  </si>
  <si>
    <t>Kim, Dae-Kyoo; Ming, Hua</t>
  </si>
  <si>
    <t>Assessing output reliability and similarity of large language models in software development: A comparative case study approach</t>
  </si>
  <si>
    <t>INFORMATION AND SOFTWARE TECHNOLOGY</t>
  </si>
  <si>
    <t>AI model; LLM; Prompt; Reliability; Similarity; Software development</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</si>
  <si>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reliability-defined as the consistency and correctness of software artifacts-and similarity of LLM outputs in software development. Method: To accomplish the objective, we introduce a structured approach for assessing the reliability and similarity of outputs from five prominent LLMs-ChatGPT, Claude, Copilot, Gemini, and Meta-and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t>
  </si>
  <si>
    <t>0950-5849</t>
  </si>
  <si>
    <t>1873-6025</t>
  </si>
  <si>
    <t>10.1016/j.infsof.2025.107787</t>
  </si>
  <si>
    <t>WOS:001502582300001</t>
  </si>
  <si>
    <t>Borghoff, UM; Bottoni, P; Pareschi, R</t>
  </si>
  <si>
    <t>Borghoff, Uwe M.; Bottoni, Paolo; Pareschi, Remo</t>
  </si>
  <si>
    <t>An organizational theory for multi-agent interactions integrating human agents, LLMs, and specialized AI</t>
  </si>
  <si>
    <t>Human-Computer Interaction; Large Language Models; Topic-Based Group Formation; Multi-Agent Systems; Natural Language Processing; Adaptive Interaction Protocols</t>
  </si>
  <si>
    <t>PETRI NETS; KNOWLEDGE</t>
  </si>
  <si>
    <t>PurposeRecent advances in AI, especially in large language models, have created new opportunities to integrate human and artificial agents through shared linguistic capabilities. This paper presents a multi-agent organizational framework in which human agents, LLMs, and specialized agents (narrow AIs) collaborate via dynamic, topic-based group formation. Topic-driven interactions enable agents to coalesce around evolving interests, supported by threshold-based protocols for temporal adaptation, topic emergence, and participation.MethodsWithin our framework, human agents guide the overall system objectives, while consultant agents (LLMs) provide semantic analysis and mediation, and specialized agents perform focused domain tasks. By leveraging automated topic modeling, the approach eschews rigid ontologies and instead supports adaptive and interpretable content management. Mathematical properties ensure system coherence-across roles, tasks, and timescales-while allowing the natural evolution of interests and groups.ResultsWe illustrate the framework's versatility with example scenarios in emergency response, healthcare research, and financial decision-making, emphasizing how human decision-makers, LLM-based consultants, and specialized worker agents jointly fulfill complex goals through transparent topic alignment and threshold-driven coordination. This formalization advances human-computer interaction as a multi-agent phenomenon that integrates human insight with the strengths of next-generation AI models in a cohesive, evolving system.</t>
  </si>
  <si>
    <t>10.1007/s10791-025-09667-2</t>
  </si>
  <si>
    <t>WOS:001522742800001</t>
  </si>
  <si>
    <t>Fukuda, N; Nozue, H; Oishi, H</t>
  </si>
  <si>
    <t>Fukuda, Nobukazu; Nozue, Haruhisa; Oishi, Haruo</t>
  </si>
  <si>
    <t>Small Language Model Agent for the Operations of Continuously Updating ICT Systems</t>
  </si>
  <si>
    <t>Trajectory; Cognition; Manuals; History; Decision making; Load modeling; Information and communication technology; Planning; Natural language processing; Large language models; Communication system operations and management; AIOps; LLM agent; small language model</t>
  </si>
  <si>
    <t>The management of ICT systems requires the implementation of appropriate operational procedures that are aligned with the specific system state and adhere to the latest updates and revisions of manuals and policies. The implementation of autonomous system operation has the potential to reduce the time and burden of human endeavors. Large Language Model (LLM) agents are expected to interact with ICT systems and operate them autonomously. However, existing LLM agents presume a sophisticated reasoning capability of API-based proprietary LLMs, which gives rise to concerns regarding operational costs and confidentiality. Therefore, we propose a novel framework for the Small Language Model (SLM) agent that is designed to adapt to a continuously updating environment. The proposed method addresses the limitation of the reasoning performance of the SLM agent using nested thoughts and prompt reconfiguration. In particular, we empirically identify the shortcut reasoning of the SLM agent and put forward an exemplar selection method to address this issue. We extensively evaluate the proposed method using both synthetic and real-world benchmarks and demonstrate that it significantly enhances the performance of the SLM agent with some computational overhead in comparison with the baselines.</t>
  </si>
  <si>
    <t>10.1109/ACCESS.2025.3544637</t>
  </si>
  <si>
    <t>WOS:001494114100014</t>
  </si>
  <si>
    <t>Sobhkhiz, S; El-Diraby, T</t>
  </si>
  <si>
    <t>Sobhkhiz, Soroush; El-Diraby, Tamer</t>
  </si>
  <si>
    <t>A semi-supervised framework for generating multi-dimensional taxonomies from asset maintenance documents</t>
  </si>
  <si>
    <t>Facility management; Fault classification; Text classification; Large language models; Topic modeling; Machine learning; Facility management; Fault classification; Text classification; Facility management; Facility management; Facility management; Facility management; Facility management; Large language models; Fault classification; Fault classification; Fault classification; Fault classification; Fault classification; Topic modeling; Text classification; Text classification; Text classification; Text classification; Text classification; Machine learning; Large language models; Large language models; Large language models; Large language models; Large language models; Topic modeling; Topic modeling; Topic modeling; Topic modeling; Topic modeling; Machine learning; Machine learning; Machine learning; Machine learning; Machine learning</t>
  </si>
  <si>
    <t>The operation and maintenance of buildings generate large volumes of unstructured textual data, such as inspection reports and service requests. These records contain valuable insights that can support fault detection, cost tracking, and resource planning. However, existing classification approaches often rely on static, expert-defined labels that fail to reflect the complexity of real-world maintenance operations. This paper introduces a hybrid framework that combines sentence embedding, clustering, topic modeling, and network modularization to uncover recurring patterns in maintenance text. The extracted patterns are then reviewed and refined by facility management experts to develop a multi-dimensional taxonomy model tailored to operational needs. The methodology is applied to a case study involving over 30,000 work orders. The results demonstrate how the proposed system captures fine-grained details such as system type, failure mode, and required trade expertise. A proof-of-concept software tool, developed in collaboration with facility managers, showcases the practical value of the taxonomy in enabling data-driven decision-making, such as identifying cost drivers and recurring issues. Additionally, the resulting taxonomy models serve as effective prompts for zero-shot text classification, enabling large language models to classify new maintenance records without requiring retraining or labeled data. This approach provides a scalable and adaptable foundation for text classification systems in asset management.</t>
  </si>
  <si>
    <t>10.1016/j.engappai.2025.112010</t>
  </si>
  <si>
    <t>WOS:001576917200005</t>
  </si>
  <si>
    <t>Hemalakshmi, GR; Murugappan, M; Sikkandar, MY; Begum, SS; Prakash, NB</t>
  </si>
  <si>
    <t>Hemalakshmi, G. R.; Murugappan, M.; Sikkandar, Mohamed Yacin; Begum, S. Sabarunisha; Prakash, N. B.</t>
  </si>
  <si>
    <t>Automated retinal disease classification using hybrid transformer model (SViT) using optical coherence tomography images</t>
  </si>
  <si>
    <t>NEURAL COMPUTING &amp; APPLICATIONS</t>
  </si>
  <si>
    <t>OCT; Eye disorders; Retinal diseases; Classification; SqueezeNet; Vision transformer; Hybrid model</t>
  </si>
  <si>
    <t>LEARNING APPROACH; CNN</t>
  </si>
  <si>
    <t>Optical coherence tomography (OCT) is a widely used imaging technique in ophthalmology for diagnosis and treatment. Recent advances in deep neural networks (DNNs) and vision transformers (ViTs) have paved the way for automated eye/retinal disease classifications and segmentations using OCT or spectral domain OCT (SD-OCT) images. Diabetic macular edema (DME), choroidal neovascularization (CNV), and Drusen are particularly challenging to accurately classify using OCT images because of their subtle differences and intricate features. Currently, the algorithms reported in the literature using DNNs or ViTs are computationally complex, consider fewer diseases, and are less accurate. This study proposes a hybrid SqueezeNet-vision transformer (SViT) model that combines the strengths of SqueezeNet and vision transformer (ViT), capturing local and global features of OCT images to achieve more accurate classification with less computational complexity. The proposed model uses the OCT2017 dataset for training, testing, and validation, and it performs both binary classification (normal vs disorders) as well as multiclass classification (DME, CNV, Drusen, and normal). As compared to state-of-the-art CNN-based and standalone Transformer models, the proposed SViT model achieves an overall classification accuracy of 99.90% for multiclass classification (CNV: 100%, DME: 99.9%, Drusen: 100%, and normal: 100%). With a good generalization ability, the model can be used to improve patient care and clinical decision-making across a broader range of applications.</t>
  </si>
  <si>
    <t>0941-0643</t>
  </si>
  <si>
    <t>1433-3058</t>
  </si>
  <si>
    <t>2024 FEB 23</t>
  </si>
  <si>
    <t>10.1007/s00521-024-09564-7</t>
  </si>
  <si>
    <t>WOS:001167510900004</t>
  </si>
  <si>
    <t>Qiao, K; Sheng, XP; Li, ZY</t>
  </si>
  <si>
    <t>Qiao, Kai; Sheng, Xiaoping; Li, Zhenyu</t>
  </si>
  <si>
    <t>AI-Avatars Versus Human-Avatars: A Comparative Study of User Interaction Behaviors in Live Streaming</t>
  </si>
  <si>
    <t>AI virtual humans; large language models; human-computer interaction; Computers Are Social Actors; interaction ritual chain</t>
  </si>
  <si>
    <t>COMMERCE; BARRAGE; IMPACT</t>
  </si>
  <si>
    <t>The rapid advancement of artificial intelligence (AI), especially large language models, has made human-computer interaction more dynamic and personalized, thereby accelerating the development of AI-driven virtual humans (AI-Avatars). Based on the Computers Are Social Actors (CASA) paradigm, this study employs text mining and experimental methods to compare user interactions in live streaming contexts with Human-Avatars and AI-Avatars. The findings indicate that curiosity about AI acts as a primary factor in user engagement. In AI-Avatar contexts, users' danmaku are more diverse and information-seeking, whereas in Human-Avatar contexts, they are more uniform and socially oriented. Despite these differences, users show similar interaction patterns across both types, highlighting the functional viability of AI-Avatars. However, limited social intelligence prevents AI-Avatars from building interaction ritual chains and emotional resonance, limiting long-term user engagement. These findings enrich our understanding of the psychological and social dynamics underlying human interactions with AI agents in mediated environments.</t>
  </si>
  <si>
    <t>10.1080/10447318.2025.2579785</t>
  </si>
  <si>
    <t>WOS:001611841700001</t>
  </si>
  <si>
    <t>Wester, J; de Jong, S; Pohl, H; van Berkel, N</t>
  </si>
  <si>
    <t>Wester, Joel; de Jong, Sander; Pohl, Henning; van Berkel, Niels</t>
  </si>
  <si>
    <t>Using LLMs for self-care: User and counsellor perspectives</t>
  </si>
  <si>
    <t>Large language models; Self-care; Professional care; Mental health; Well-being; Coping</t>
  </si>
  <si>
    <t>BELIEFS; ONLINE; GOOGLE</t>
  </si>
  <si>
    <t>People are increasingly relying on technology for self-care, including, more recently, seeking help through conversational interfaces driven by large language models (LLMs). Yet, how interaction with LLMs has impacted people's self-care processes is not well understood. Therefore, we collected 405 user stories posted on Reddit about using LLMs for self-care. We identified four key themes on how people use LLMs for this purpose: Letting go, Finding comfort, Building up, and Reflecting on. We interviewed twelve counsellors to capture their perspectives on this practice, given their professional expertise and understanding of healthy self-care practices. Our results show that counsellors recognised several benefits, such as using LLMs as stepping stones or springboards towards improved self-care. They also highlighted several areas of concern, such as unintended consequences that might negatively affect users. We discuss the dissonance around how the early adopters of LLMs appropriate this technology to care for themselves, how counsellors see such usage, and outline implications of using LLMs as a technology for self-care.</t>
  </si>
  <si>
    <t>10.1016/j.ijhcs.2025.103589</t>
  </si>
  <si>
    <t>WOS:001558367300001</t>
  </si>
  <si>
    <t>Tan, JJ; Kwan, BH; Ng, DWK; Hum, YC; Mokraoui, A; Lo, SY</t>
  </si>
  <si>
    <t>Tan, Jing Jie; Kwan, Ban-Hoe; Ng, Danny Wee-Kiat; Hum, Yan-Chai; Mokraoui, Anissa; Lo, Shih-Yu</t>
  </si>
  <si>
    <t>Prompting-in-a-Series: Psychology-Informed Contents and Embeddings for Personality Recognition With Decoder-Only Models</t>
  </si>
  <si>
    <t>Adaptation models; Data models; Cognition; Psychology; Training; Pipelines; Classification algorithms; Transformers; Computational modeling; Context modeling; Fine-tuning; large language models (LLMs); N-shot prompting; natural language understanding (NLU); personality classification</t>
  </si>
  <si>
    <t>Large language models (LLMs) have demonstrated remarkable capabilities across various natural language processing tasks. This research introduces a novel Prompting-in-a-Series algorithm, termed psychology-informed content embeddings for personality recognition (PICEPR), featuring two pipelines: 1) contents; and 2) embeddings. The approach demonstrates how a modularised decoder-only LLM can summarize or generate content, which can aid in classifying or enhancing personality recognition functions as a personality feature extractor and a generator for personality-rich content. We conducted various experiments to provide evidence to justify the rationale behind the PICEPR algorithm. Meanwhile, we also explored closed-source models such as gpt4o from OpenAI and gemini from Google, along with open-source models such as mistral from Mistral AI, to compare the quality of the generated content. The PICEPR algorithm has achieved a new state-of-the-art performance for personality recognition by 5-15% improvement. The work repository and models' weight can be found at: https://research.jingjietan.com/?q=PICEPR.</t>
  </si>
  <si>
    <t>2025 AUG 13</t>
  </si>
  <si>
    <t>10.1109/TCSS.2025.3593323</t>
  </si>
  <si>
    <t>WOS:001551571600001</t>
  </si>
  <si>
    <t>Zahedifar, R; Baghshah, MS; Taheri, A</t>
  </si>
  <si>
    <t>Zahedifar, Rasoul; Baghshah, Mahdieh Soleymani; Taheri, Alireza</t>
  </si>
  <si>
    <t>LLM-controller: Dynamic robot control adaptation using large language models</t>
  </si>
  <si>
    <t>Large language models (LLMs); LLM-controller; Robot controller; Dynamic adaptation; Chain-of-thought (COT); Lyapunov theory; Nonlinear adaptive controller</t>
  </si>
  <si>
    <t>In this study, a dynamic adaptation of a robot controller is investigated using large language models (LLMs). We propose our controller called the LLM-Controller, where, in response to changes in the system dynamics or reference signals, the LLM adapts the controller to the new context. Various scenarios reflecting real-world conditions, including unknown disturbances, unmodeled dynamics, and changing reference signals, were analyzed. Using the proposed LLM-Controller, one can adapt to new conditions automatically without manual tuning. Additionally, the controller's performance is investigated using different prompting techniques, such as zero-shot and few-shot chain-of-thought (COT), which facilitate step-by-step reasoning and improve adaptation to new contexts. The proposed scheme is applied to two case studies involving robot manipulators. First, it is tested on a 2-link robot manipulator, followed by a 3-link manipulator to enhance its generalizability. The algorithm's adaptability and effectiveness are further evaluated across a range of tasks and conditions, demonstrating its versatility in various scenarios. The results demonstrate that the LLM-Controller achieved a 100 % success rate in adapting the controller to new conditions for the 2-link manipulator, with a significant improvement in trial efficiency; while for the 3-link system, the controller maintained a 90 % success rate, showing greater adaptability to changes in reference signals or dynamic conditions in under 20 s. These outcomes could be further enhanced by employing a COT approach, potentially leading to higher success rates, fewer trials, and optimized costs. In contrast, the classic nonlinear adaptive controller struggled to adjust to the new conditions, while the LLM-Controller automatically adapts, guiding the system to new stable states. This research provides valuable insights into how LLMs can enhance decision-making, improving stability and performance in dynamic and uncertain environments.</t>
  </si>
  <si>
    <t>10.1016/j.robot.2024.104913</t>
  </si>
  <si>
    <t>WOS:001411140300001</t>
  </si>
  <si>
    <t>Zhong, YJ; Wu, FF; Guo, MY; Zhang, XL; Wang, M; Wang, HF</t>
  </si>
  <si>
    <t>Zhong, Yijie; Wu, Feifan; Guo, Mengying; Zhang, Xiaolian; Wang, Meng; Wang, Haofen</t>
  </si>
  <si>
    <t>Meta-PKE: Memory-Enhanced Task-Adaptive Personal Knowledge Extraction in Life</t>
  </si>
  <si>
    <t>Deep learning; Information extraction; Large language model; Personal knowledge; Memory enhanced; Self-optimizing</t>
  </si>
  <si>
    <t>In this paper, we propose the task of personal knowledge extraction to get structured knowledge from personal data in daily life. The existing information extraction methods struggle to handle this task due to the personal data's multi-source, fine-grained, dynamic, and personalized nature. They fail to select necessary extraction tasks adaptively, cope with diverse scenarios in daily life, and overlook the assistance of historical personal data for the extraction task. Thus, we propose a novel Memory-Enhanced Task-Adaptive Personal Knowledge Extraction method called Meta-PKE. We introduce a task selection module to select the necessary extraction tasks without manual specification according to input personal data. When executing the selected extraction tasks, we record the historical data as the memory and design a memory-enhanced progressive extraction module. Structured personal knowledge is extracted in a coarse-to-fine manner aided by the optimal historical data from a carefully designed memory selection strategy. In addition, we propose a knowledge re-identification module to ensure the completeness of the extracted personal knowledge while avoiding the hallucinations engendered by the large language models. Extensive experiments reflect that, only utilizing the model with a small number of parameters (7B v.s. &gt;100B), Meta-PKE outperforms the state-of-the-art methods by near 15%, 20%, and 10% on 3 datasets, which cover not only daily but also non-daily scenarios more efficiently.</t>
  </si>
  <si>
    <t>10.1016/j.ipm.2025.104097</t>
  </si>
  <si>
    <t>WOS:001429051600001</t>
  </si>
  <si>
    <t>Herrador, M</t>
  </si>
  <si>
    <t>Herrador, Manuel</t>
  </si>
  <si>
    <t>The PacifAIst Benchmark: Do AIs Prioritize Human Survival over Their Own Objectives?</t>
  </si>
  <si>
    <t>AI safety; behavioral alignment; large language models (LLMs); instrumental goals; self-preservation; ethical dilemmas</t>
  </si>
  <si>
    <t>As artificial intelligence transitions from conversational agents to autonomous actors in high-stakes environments, a critical gap emerges: how to ensure AI prioritizes human safety when its core objectives conflict with human well-being. Current safety benchmarks focus on harmful content, not behavioral alignment during instrumental goal conflicts. To address this, we introduce PacifAIst, a benchmark of 700 scenarios testing self-preservation, resource acquisition, and deception. We evaluated eight state-of-the-art large language models, revealing a significant performance hierarchy. Google's Gemini 2.5 Flash demonstrated the strongest human-centric alignment (90.31%), while the highly anticipated GPT-5 scored lowest (79.49%), indicating potential risks. These findings establish an urgent need to shift the focus of AI safety evaluation from what models say to what they would do, ensuring that autonomous systems are not just helpful in theory but are provably safe in practice.</t>
  </si>
  <si>
    <t>10.3390/ai6100256</t>
  </si>
  <si>
    <t>WOS:001603143400001</t>
  </si>
  <si>
    <t>Tyagi, S; Gong, YF; Karabiyik, U</t>
  </si>
  <si>
    <t>Tyagi, Sonali; Gong, Yufeng; Karabiyik, Umit</t>
  </si>
  <si>
    <t>Forensic analysis and privacy implications of LLM mobile apps: A case study of ChatGPT, Copilot, and Gemini</t>
  </si>
  <si>
    <t>Large language models; LLM application forensics; ChatGPT; Copilot; Gemini; Mobile forensics; Android and iOS</t>
  </si>
  <si>
    <t>Large-Language Model (LLM) apps allow users to ask questions and receive customized responses based on their prompted inputs. They possess deep language comprehension, human-like text generation capabilities, contextual awareness, and robust problem-solving skills, making them invaluable in various domains (e.g., search engines, customer support, translation). Due to the popularity and easy access of these apps, people tend to use them to help them in their daily tasks. However, when downloaded on mobile phones, these apps access various types of personal data (e.g., account information, location, and device information), including browser cookies, which may be of forensic value. The permissions that these applications request can be abused by developers to over-collect data about their users. Therefore, this paper aims to analyze the data these apps (ChatGPT, Gemini, and Copilot) access and find valuable forensic artifacts, including those that may cause privacy concerns and potential risks and threats associated with their use. It also analyzes the type of data stored when downloaded and accessed through a mobile device. The results show that ChatGPT and Copilot stores conversation data in plain text, along with browser data, on both Android and iOS. Gemini, on the other hand, stores all conversation data, browser data, and images in the cloud, which can be extracted through Google Takeout.</t>
  </si>
  <si>
    <t>10.1016/j.fsidi.2025.301974</t>
  </si>
  <si>
    <t>WOS:001556421500001</t>
  </si>
  <si>
    <t>Imschloss, M; Sarstedt, M; Adler, SJ; Cheah, JH</t>
  </si>
  <si>
    <t>Imschloss, Monika; Sarstedt, Marko; Adler, Susanne J.; Cheah, Jun Hwa</t>
  </si>
  <si>
    <t>Using LLMs in sensory service research: initial insights and perspectives</t>
  </si>
  <si>
    <t>SERVICE INDUSTRIES JOURNAL</t>
  </si>
  <si>
    <t>Generative artificial intelligence; large language models; sensory marketing; service research; servicescape</t>
  </si>
  <si>
    <t>MUSIC; FOOD; CONGRUENCE; BEHAVIOR; SCENT; TASTE; CUES</t>
  </si>
  <si>
    <t>Researchers have started using large language models (LLMs), such as OpenAI's GPT, to generate synthetic datasets designed to mimic human response behavior. Several studies have systematically compared LLM-generated data with human samples in order to explore LLMs' ability to mimic consumer decision-making. Extending prior findings, our research sets out to explore how GPT-4o responds to sensory information, and to evaluate its ability to grasp crossmodal correspondences as well as multisensory congruence - as commonly encountered in service settings. Our results indicate that while GPT-4o identifies and describes sensory stimuli accurately, it often fails to replicate the associative meanings and interpretations that humans derive from these stimuli, especially in stand-alone assessments. Our research therefore underscores the need for further exploration of the conditions under which LLMs reliably mirror human responses to sensory stimuli, and the implications of using LLMs in research on sensory-rich service settings.</t>
  </si>
  <si>
    <t>0264-2069</t>
  </si>
  <si>
    <t>1743-9507</t>
  </si>
  <si>
    <t>2025 MAR 19</t>
  </si>
  <si>
    <t>10.1080/02642069.2025.2479723</t>
  </si>
  <si>
    <t>WOS:001455827300001</t>
  </si>
  <si>
    <t>Wang, JF; Seng, KP; Shen, Y; Ang, L; Huang, DF</t>
  </si>
  <si>
    <t>Wang, Jianfeng; Seng, Kah Phooi; Shen, Yi; Ang, Li-Minn; Huang, Difeng</t>
  </si>
  <si>
    <t>Image to Label to Answer: An Efficient Framework for Enhanced Clinical Applications in Medical Visual Question Answering</t>
  </si>
  <si>
    <t>medical visual question answering (Med-VQA); large language models (LLMs); multi-label learning; attention mechanisms; zero-shot learning</t>
  </si>
  <si>
    <t>Medical Visual Question Answering (Med-VQA) faces significant limitations in application development due to sparse and challenging data acquisition. Existing approaches focus on multi-modal learning to equip models with medical image inference and natural language understanding, but this worsens data scarcity in Med-VQA, hindering clinical application and advancement. This paper proposes the ITLTA framework for Med-VQA, designed based on field requirements. ITLTA combines multi-label learning of medical images with the language understanding and reasoning capabilities of large language models (LLMs) to achieve zero-shot learning, meeting natural language module needs without end-to-end training. This approach reduces deployment costs and training data requirements, allowing LLMs to function as flexible, plug-and-play modules. To enhance multi-label classification accuracy, the framework uses external medical image data for pretraining, integrated with a joint feature and label attention mechanism. This configuration ensures robust performance and applicability, even with limited data. Additionally, the framework clarifies the decision-making process for visual labels and question prompts, enhancing the interpretability of Med-VQA. Validated on the VQA-Med 2019 dataset, our method demonstrates superior effectiveness compared to existing methods, confirming its outstanding performance for enhanced clinical applications.</t>
  </si>
  <si>
    <t>10.3390/electronics13122273</t>
  </si>
  <si>
    <t>WOS:001256578600001</t>
  </si>
  <si>
    <t>Hansakul, S; Wisitpongphan, N</t>
  </si>
  <si>
    <t>Hansakul, Saran; Wisitpongphan, Nawaporn</t>
  </si>
  <si>
    <t>Enhancing Business-Specific Phishing Chat Detection via Few-Shot Learning LLM Augmentation</t>
  </si>
  <si>
    <t>Phishing; phishing detection; messaging service; social media; Facebook; data augmentation; large language models; GPT; machine learning; cybersecurity</t>
  </si>
  <si>
    <t>Phishing through one-on-one chat messages with customers poses significant threats to businesses, yet current detections are hindered by a lack of realistic, context-specific datasets. This research proposes using Large Language Models (LLMs) to augment a limited dataset of 100 real-world chat messages from business-specific retail customer service interactions, generating ten times more realistic synthetic messages. GPT-generated realism scoring was then used to filter highly realistic messages. Human surveys confirmed a strong alignment between GPT-generated realism assessments and human evaluators. Machine learning models (Decision Tree, Decision Forest, and Logistic Regression) showed significant performance improvements when trained on the augmented data. Accuracy improved from similar to 77-90% (achieved using the original limited dataset) to similar to 97-99%. This confirms that this new proposed augmentation and realism validation using LLMs significantly improves phishing detection, enhancing protection for business-specific retail customer service chat interactions.</t>
  </si>
  <si>
    <t>10.1109/ACCESS.2025.3623898</t>
  </si>
  <si>
    <t>WOS:001606717700018</t>
  </si>
  <si>
    <t>Tao, XY; Tula, A; Chen, X</t>
  </si>
  <si>
    <t>Tao, Xinyu; Tula, Anjan; Chen, Xi</t>
  </si>
  <si>
    <t>From prompt design to iterative generation: Leveraging LLMs in PSE applications</t>
  </si>
  <si>
    <t>Large Language Models (LLMs); Process Systems Engineering (PSE); Prompt design; Task decomposition; Model robustness</t>
  </si>
  <si>
    <t>Large Language Models (LLMs) have demonstrated significant potential in coding, mathematical problemsolving, complex reasoning, etc. In Process Systems Engineering (PSE), LLMs open new opportunities for addressing industrial challenges by providing automated, scalable, and tailored solutions. However, their application in PSE remains limited due to several practical challenges, such as ambiguous and underspecified prompts, managing tasks with intricate logical dependencies, and uncertainties in task complexity. A systematic framework consisting of three key strategies is proposed in this paper to deal with these challenges. The strategies, standardized prompt structure, task decomposition, and iterative generation can help engineers improve the precision and relevance of LLM's responses for PSE tasks. The framework is illustrated through practical applications including system decomposition, flowsheet ordering, process flowsheet visualization, process simulation and HEN synthesis. The results demonstrate how LLMs, when guided with structured methodologies, can enhance problem-solving in PSE, ultimately streamlining engineering workflows and decision-making processes.</t>
  </si>
  <si>
    <t>10.1016/j.compchemeng.2025.109282</t>
  </si>
  <si>
    <t>WOS:001545858400001</t>
  </si>
  <si>
    <t>Wang, L; Zhang, JS; Yang, H; Chen, ZY; Tang, JK; Zhang, ZY; Chen, X; Lin, YK; Sun, H; Song, RH; Zhao, X; Xu, J; Dou, ZC; Wang, J; Wen, JR</t>
  </si>
  <si>
    <t>Wang, Lei; Zhang, Jingsen; Yang, Hao; Chen, Zhi-yuan; Tang, Jiakai; Zhang, Zeyu; Chen, Xu; Lin, Yankai; Sun, Hao; Song, Ruihua; Zhao, Xin; Xu, Jun; Dou, Zhicheng; Wang, Jun; Wen, Ji-rong</t>
  </si>
  <si>
    <t>User Behavior Simulation with Large Language Model-based Agents</t>
  </si>
  <si>
    <t>recommender system; large language mode; user simulation</t>
  </si>
  <si>
    <t>RECOMMENDER SYSTEMS; POWER CURVES</t>
  </si>
  <si>
    <t>Simulating high quality user behavior data has always been a fundamental yet challenging problem in human- centered applications such as recommendation systems, social networks, among many others. The major difficulty of user behavior simulation originates from the intricate mechanism of human cognitive and decision processes. Recently, substantial evidence has suggested that by learning huge amounts of web knowledge, large language models (LLMs) can achieve human-like intelligence and generalization capabilities. Inspired by such capabilities, in this article, we take an initial step to study the potential of using LLMs for user behavior simulation in the recommendation domain. To make LLMs act like humans, we design profile, memory and action modules to equip them, building LLM-based agents to simulate real users. To enable interactions between different agents and observe their behavior patterns, we design a sandbox environment, where each agent can interact with the recommendation system, and different agents can converse with their friends via one-to-one chatting or one-to-many social broadcasting. In the experiments, we first demonstrate the believability of the agent-generated behaviors based on both subjective and objective evaluations. Then, to show the potential applications of our method, we simulate and study two social phenomena including (1) information cocoons and (2) user conformity behaviors. We find that controlling the personalization degree of recommendation algorithms and improving the heterogeneity of user social relations can be two effective strategies for alleviating the problem of information cocoon, and the conformity behaviors can be highly influenced by the amount of user social relations. To advance this direction, we have released our project at https://github.com/RUC-GSAI/YuLan-Rec.</t>
  </si>
  <si>
    <t>10.1145/3708985</t>
  </si>
  <si>
    <t>WOS:001434271500001</t>
  </si>
  <si>
    <t>Doshi, AR; Bell, JJ; Mirzayev, E; Vanneste, BS</t>
  </si>
  <si>
    <t>Doshi, Anil R.; Bell, J. Jason; Mirzayev, Emil; Vanneste, Bart S.</t>
  </si>
  <si>
    <t>Generative artificial intelligence and evaluating strategic decisions</t>
  </si>
  <si>
    <t>STRATEGIC MANAGEMENT JOURNAL</t>
  </si>
  <si>
    <t>business models; generative artificial intelligence (AI); large language models (LLMs); strategic decision making; strategic decisions</t>
  </si>
  <si>
    <t>WISDOM; CROWDS; MODEL; BIAS</t>
  </si>
  <si>
    <t>Research SummaryStrategic decisions are uncertain and often irreversible. Hence, predicting the value of alternatives is important for strategic decision making. We investigate the use of generative artificial intelligence (AI) in evaluating strategic alternatives using business models generated by AI (study 1) or submitted to a competition (study 2). Each study uses a sample of 60 business models and examines agreement in business model rankings made by large language models (LLMs) and those by human experts. We consider multiple LLMs, assumed LLM roles, and prompts. We find that generative AI often produces evaluations that are inconsistent and biased. However, when aggregating evaluations, AI rankings tend to resemble those of human experts. This study highlights the value of generative AI in strategic decision making by providing predictions.Managerial SummaryManagers are seeking to create value by integrating generative AI into their organizations. We show how managers can use generative AI to help evaluate strategic decisions. Generative AI's single evaluations are often inconsistent or biased. However, if managers aggregate many evaluations across LLMs, prompts, or roles, the results show that the resulting evaluations tend to resemble those of human experts. This approach allows managers to obtain insight on strategic decisions across a variety of domains with relatively low investments in time or resources, which can be combined with human inputs.</t>
  </si>
  <si>
    <t>0143-2095</t>
  </si>
  <si>
    <t>1097-0266</t>
  </si>
  <si>
    <t>10.1002/smj.3677</t>
  </si>
  <si>
    <t>WOS:001356917200001</t>
  </si>
  <si>
    <t>Chandra, R; Chaudhari, A; Rayavarapu, Y</t>
  </si>
  <si>
    <t>Chandra, Rohitash; Chaudhari, Aryan; Rayavarapu, Yeshwanth</t>
  </si>
  <si>
    <t>An Evaluation of LLMs and Google Translate for Translation of Selected Indian Languages via Sentiment and Semantic Analyses</t>
  </si>
  <si>
    <t>Translation; Semantics; Sentiment analysis; Machine translation; Internet; Analytical models; Deep learning; Encoding; Bidirectional control; Transformers; LLMs; sentiment analysis; machine translation; semantic analysis</t>
  </si>
  <si>
    <t>BHAGAVAD GITA; BERT</t>
  </si>
  <si>
    <t>Large Language models (LLMs) have been prominent for language translation, including low-resource languages. There has been limited study on the assessment of the quality of translations generated by LLMs, including Gemini, GPT, and Google Translate. This study addresses this limitation by using semantic and sentiment analysis of selected LLMs for Indian languages, including Sanskrit, Telugu and Hindi. We select prominent texts (Bhagavad Gita, Tamas and Maha Prasthanam) that have been well translated by experts and use LLMs to generate their translations into English, and provide a comparison with selected expert (human) translations. Our investigation revealed that while LLMs have made significant progress in translation accuracy, challenges remain in preserving sentiment and semantic integrity, especially in metaphorical and philosophical contexts for texts such as the Bhagavad Gita. The sentiment analysis revealed that GPT models are better at preserving the sentiment polarity for the given texts when compared to human (expert) translation. The results revealed that GPT models are generally better at maintaining the sentiment and semantics when compared to Google Translate. This study could help in the development of accurate and culturally sensitive translation systems for large language models.</t>
  </si>
  <si>
    <t>10.1109/ACCESS.2025.3585629</t>
  </si>
  <si>
    <t>WOS:001531856700002</t>
  </si>
  <si>
    <t>Hess, J; Graffi, K</t>
  </si>
  <si>
    <t>Hess, Jonas; Graffi, Kalman</t>
  </si>
  <si>
    <t>Detection of Malicious Office Open Documents (OOXML) Using Large Language Models: A Static Analysis Approach</t>
  </si>
  <si>
    <t>cybersecurity; malware; malicious documents; AI</t>
  </si>
  <si>
    <t>The increasing prevalence of malicious Microsoft Office documents poses a significant threat to cybersecurity. Conventional methods of detecting these malicious documents often rely on prior knowledge of the document or the exploitation method employed, thus enabling the use of signature-based or rule-based approaches. Given the accelerated pace of change in the threat landscape, these methods are unable to adapt effectively to the evolving environment. Existing machine learning approaches are capable of identifying sophisticated features that enable the prediction of a file's nature, achieving sufficient results on existing samples. However, they are seldom adequately prepared for the detection of new, advanced malware techniques. This paper proposes a novel approach to detecting malicious Microsoft Office documents by leveraging the power of large language models (LLMs). The method involves extracting textual content from Office documents and utilising advanced natural language processing techniques provided by LLMs to analyse the documents for potentially malicious indicators. As a supplementary tool to contemporary antivirus software, it is currently able to assist in the analysis of malicious Microsoft Office documents by identifying and summarising potentially malicious indicators with a foundation in evidence, which may prove to be more effective with advancing technology and soon to surpass tailored machine learning algorithms, even without the utilisation of signatures and detection rules. As such, it is not limited to Office Open XML documents, but can be applied to any maliciously exploitable file format. The extensive knowledge base and rapid analytical abilities of a large language model enable not only the assessment of extracted evidence but also the contextualisation and referencing of information to support the final decision. We demonstrate that Claude 3.5 Sonnet by Anthropic, provided with a substantial quantity of raw data, equivalent to several hundred pages, can identify individual malicious indicators within an average of five to nine seconds and generate a comprehensive static analysis report, with an average cost of USD 0.19 per request and an F1-score of 0.929.</t>
  </si>
  <si>
    <t>JUN 11</t>
  </si>
  <si>
    <t>10.3390/jcp5020032</t>
  </si>
  <si>
    <t>WOS:001541388900001</t>
  </si>
  <si>
    <t>Xu, XW; Liu, SY; Zhu, L; Long, YZ; Zeng, Y; Lu, XD; Li, J; Dong, YM</t>
  </si>
  <si>
    <t>Xu, Xiaowei; Liu, Siyi; Zhu, Lin; Long, Yunzi; Zeng, Yin; Lu, Xudong; Li, Jiao; Dong, Yanmei</t>
  </si>
  <si>
    <t>Development and evaluation of a retrieval-augmented large language model framework for enhancing endodontic education</t>
  </si>
  <si>
    <t>Endodontic education; Large language models; Multimodal knowledge base; Retrieval Augmented Generation</t>
  </si>
  <si>
    <t>Background: Integrating domain-specific knowledge into large language models (LLMs) remains a critical challenge in medical education. In dental specialties such as endodontics, effective learning requires access to both textual clinical evidence and visual procedural demonstrations. However, generic LLMs often produce content that lacks clinical accuracy, contextual grounding, or pedagogical clarity, thereby limiting their applicability in specialized training environments. Objective: To develop and evaluate a Retrieval-Augmented Generation (RAG)-enhanced LLMs framework that addresses the challenge of integrating domain-specific knowledge in AI-driven endodontic education. Method: We present Endodontics-KB, a multimodal knowledge integration platform that combines evidencebased dental literature (e.g., textbooks, clinical guidelines) with visual instructional materials (e.g., procedural videos) through a hierarchical RAG architecture. The system's core component, the EndoQ chatbot, utilizes LLMs augmented with multimodal dental datasets to enable context-aware clinical reasoning. Benchmarking was conducted against three general-purpose LLMs: GPT-4, Qwen2.5, and DeepSeek R1, using a structured question bank comprising 11 expert-validated endodontic questions. Two domain experts performed a blinded evaluation across five performance dimensions: clinical accuracy, contextual relevance, completeness, decision-making professionalism, and communication fluency. Results: The framework integrated 2,200 multimodal knowledge units through dynamic semantic indexing. EndoQ demonstrated statistically significant improvements across all evaluation metrics compared to general purpose LLMs: accuracy (4.45 f 0.96), clinical relevance (4.59 f 0.8), completeness (4.27 f 0.83), professionalism judgment (4.45 f 1.06), and language fluency (4.86 f 0.47), as measured on a 5-point Likert scale. Conclusion: This proposed framework improves educational outcomes through precise and context-aware knowledge delivery. Furthermore, it represents a scalable and transferable model for AI-enhanced clinical training across medical specialties, significantly advancing competency-based pedagogy in dental education.</t>
  </si>
  <si>
    <t>10.1016/j.ijmedinf.2025.106006</t>
  </si>
  <si>
    <t>WOS:001507513500001</t>
  </si>
  <si>
    <t>Wardle, G; Susnjak, T</t>
  </si>
  <si>
    <t>Wardle, Grant; Susnjak, Teo</t>
  </si>
  <si>
    <t>Image First or Text First? Optimising the Sequencing of Modalities in Large Language Model Prompting and Reasoning Tasks</t>
  </si>
  <si>
    <t>multi-modal prompting; interactive AI systems; user-guided AI adaptation; multi-modal large language models; modality fusion; multi-modal reasoning; chain-of-thought reasoning; human-AI interaction; user-centred prompt engineering</t>
  </si>
  <si>
    <t>Our study investigates how the sequencing of text and image inputs within multi-modal prompts affects the reasoning performance of Large Language Models (LLMs). Through empirical evaluations of three major commercial LLM vendors-OpenAI, Google, and Anthropic-alongside a user study on interaction strategies, we develop and validate practical heuristics for optimising multi-modal prompt design. Our findings reveal that modality sequencing is a critical factor influencing reasoning performance, particularly in tasks with varying cognitive load and structural complexity. For simpler tasks involving a single image, positioning the modalities directly impacts model accuracy, whereas in complex, multi-step reasoning scenarios, the sequence must align with the logical structure of inference, often outweighing the specific placement of individual modalities. Furthermore, we identify systematic challenges in multi-hop reasoning within transformer-based architectures, where models demonstrate strong early-stage inference but struggle with integrating prior contextual information in later reasoning steps. Building on these insights, we propose a set of validated, user-centred heuristics for designing effective multi-modal prompts, enhancing both reasoning accuracy and user interaction with AI systems. Our contributions inform the design and usability of interactive intelligent systems, with implications for applications in education, medical imaging, legal document analysis, and customer support. By bridging the gap between intelligent system behaviour and user interaction strategies, this study provides actionable guidance on how users can effectively structure prompts to optimise multi-modal LLM reasoning within real-world, high-stakes decision-making contexts.</t>
  </si>
  <si>
    <t>JUN 3</t>
  </si>
  <si>
    <t>10.3390/bdcc9060149</t>
  </si>
  <si>
    <t>WOS:001516280000001</t>
  </si>
  <si>
    <t>Arazzi, M; Sciarroni, MM; Nocera, A; Storti, E</t>
  </si>
  <si>
    <t>Arazzi, Marco; Sciarroni, Monica Marconi; Nocera, Antonino; Storti, Emanuele</t>
  </si>
  <si>
    <t>RAG-IoE: IoT context-aware information retrieval with Large Language Models in Industry 5.0</t>
  </si>
  <si>
    <t>ACM TRANSACTIONS ON INTERNET OF THINGS</t>
  </si>
  <si>
    <t>Context-aware; knowledge graph; large language model; retrieval-augmented generation; IoT; IoE; Industry 5.0</t>
  </si>
  <si>
    <t>ONTOLOGY; INTERNET</t>
  </si>
  <si>
    <t>Human-centric design, intelligence, and seamless interconnectivity are key pillars of the Industry 5.0. Acritical challenge in these scenarios is the efficient retrieval of relevant, context-aware information for workers within Internet of Everything (IoE) networks. Traditional information retrieval techniques struggle with the heterogeneous, dynamic data generated in industrial settings. To address this, we define a context-aware data model for IoE scenarios, on top of which we propose RAG-IoE, a novel Retrieval-Augmented Generation(RAG) solution to enable adaptive, scalable, and context-based information retrieval from both structured and unstructured data sources. Our approach organizes IoE data within a semantic framework, integrating hybridretrieval methods. It combines structured search on a Knowledge Graph with unstructured data retrieval using embeddings stored in a vector database, followed by LLM-driven reasoning to refine results. This architecture enhances decision-making, reduces cognitive overload, and ensures precise guidance for industrial operators.We validate the efficiency and effectiveness of RAG-IoE using a novel dataset through both a user study and quantitative analysis, demonstrating its potential to optimize human-machine collaboration in Industry 5.0 environments</t>
  </si>
  <si>
    <t>2691-1914</t>
  </si>
  <si>
    <t>2577-6207</t>
  </si>
  <si>
    <t>10.1145/3762669</t>
  </si>
  <si>
    <t>WOS:001631686000003</t>
  </si>
  <si>
    <t>Arshad, U; Halim, Z</t>
  </si>
  <si>
    <t>Arshad, Usama; Halim, Zahid</t>
  </si>
  <si>
    <t>BlockLLM: A futuristic LLM-based decentralized vehicular network architecture for secure communications</t>
  </si>
  <si>
    <t>Blockchain; Vehicular Network Architecture (VNA); Large Language Models (LLM); Vehicle-to-Everything (V2X); Data integrity; Scalability</t>
  </si>
  <si>
    <t>BLOCKCHAIN; INTERNET</t>
  </si>
  <si>
    <t>Autonomous vehicles and Intelligent Transportation Systems (ITS) represent some of the most transformative technological advancements. However, these complex systems face significant challenges, including data security, scalability, node reliability, and secure communication. Current approaches often integrate Artificial Intelligence (AI), Machine Learning (ML), and blockchain to enhance robustness and flexibility, but issues like latency, privacy, and node selfishness remain. This paper proposes BlockLLM, a comprehensive vehicular network architecture that combines blockchain and Large Language Models (LLMs) to address these core issues in vehicle-to-vehicle (V2V) and vehicle-to-infrastructure (V2I) communication. Blockchain technology ensures data integrity, nonrepudiation, and trustless communication across nodes, while LLMs provide adaptive decision-making and reduce latency in real-time data exchange. BlockLLM's incentive and reputation mechanisms further enhance node participation and reliability. Simulation results demonstrate an 18% reduction in latency, a 12% improvement in throughput, and consistent data integrity across high-traffic scenarios. These findings indicate that BlockLLM offers a robust, scalable solution for secure V2X communication, making it a promising model for future autonomous transportation systems.</t>
  </si>
  <si>
    <t>10.1016/j.compeleceng.2024.110027</t>
  </si>
  <si>
    <t>WOS:001407688100001</t>
  </si>
  <si>
    <t>Abdullahi, S; Danyaro, KU; Zakari, A; Aziz, IA; Zawawi, NAWA; Adamu, S</t>
  </si>
  <si>
    <t>Abdullahi, Shamsu; Danyaro, Kamaluddeen Usman; Zakari, Abubakar; Aziz, Izzatdin Abdul; Zawawi, Noor Amila Wan Abdullah; Adamu, Shamsuddeen</t>
  </si>
  <si>
    <t>Time-Series Large Language Models: A Systematic Review of State-of-the-Art</t>
  </si>
  <si>
    <t>Time series analysis; Measurement; Tokenization; Systematic literature review; Systematics; Databases; Transformers; Search problems; Anomaly detection; Time-series; large language models; forecasting; tokenization; time-series LLMs; time-series LLMs</t>
  </si>
  <si>
    <t>PREDICTION</t>
  </si>
  <si>
    <t>Large Language Models (LLMs) have transformed Natural Language Processing (NLP) and Software Engineering by fostering innovation, streamlining processes, and enabling data-driven decision-making. Recently, the adoption of LLMs in time-series analysis has catalyzed the emergence of time-series LLMs, a rapidly evolving research area. Existing reviews provide foundational insights into time-series LLMs but lack a comprehensive examination of recent advancements and do not adequately address critical challenges in this domain. This Systematic Literature Review (SLR) bridges these gaps by analysing state-of-the-art contributions in time-series LLMs, focusing on architectural innovations, tokenisation strategies, tasks, datasets, evaluation metrics, and unresolved challenges. Using a rigorous methodology based on PRISMA guidelines, over 700 studies from 2020 to 2024 were reviewed, with 59 relevant studies selected from journals, conferences, and workshops. Key findings reveal advancements in architectures and novel tokenization strategies tailored for temporal data. Forecasting dominates the identified tasks with 79.66% of the selected studies, while classification and anomaly detection remain underexplored. Furthermore, the analysis reveals a strong reliance on datasets from the energy and transportation domains, highlighting the need for more diverse datasets. Despite these advancements, significant challenges persist, including tokenization inefficiencies, prediction hallucinations, and difficulties in modelling long-term dependencies. These issues hinder the robustness, scalability, and adaptability of time-series LLMs across diverse applications. To address these challenges, this SLR outlines a research roadmap emphasizing the improvement of tokenization methods, the development of mechanisms for capturing long-term dependencies, the mitigation of hallucination effects, and the design of scalable, interpretable models for diverse time-series tasks.</t>
  </si>
  <si>
    <t>10.1109/ACCESS.2025.3535782</t>
  </si>
  <si>
    <t>WOS:001425531400046</t>
  </si>
  <si>
    <t>Kundu, RK; Khalil, K; Garcia, E; Grassia, E; Calyam, P; Hoque, KA</t>
  </si>
  <si>
    <t>Kundu, Ripan Kumar; Khalil, Khurram; Garcia, Eric; Grassia, Ethan; Calyam, Prasad; Hoque, Khaza Anuarul</t>
  </si>
  <si>
    <t>PEARL: An Adaptive and Explainable Hardware Trojan Detection Using Open Source and Enterprise Large Language Models</t>
  </si>
  <si>
    <t>Trojan horses; Training; Computational modeling; Integrated circuit modeling; Accuracy; Data models; Cognition; Benchmark testing; Register transfer level; Predictive models; Hardware trojan; deep learning; large language model; in-context learning; explainable AI</t>
  </si>
  <si>
    <t>The Integrated Circuit (IC) supply chain risk allows attackers to implant hardware Trojans (HT) in various stages of chip production. To counter this, different machine learning (ML) and deep learning (DL)-based methods have been developed to detect HTs. However, these methods require massive amounts of high-quality labeled data for effective training, extended training times for accurate HT detection, limited generalization to novel or unseen HTs, and insufficient capability to explain the detected HTs. Recent studies have started exploring the potential of Large language models (LLMs) for hardware security tasks. However, there are no current studies that explore, study, and compare the applicability of open-source vs. enterprise LLMs for efficient HT detection and explanation of the detected HT. To close the gap, we propose an innovative HT detection and explanation method by leveraging the knowledge of a pre-trained LLM, namely enterprise application programming interface (API)-enabled a Generative Pre-trained Transformer (GPT)-3.5 Turbo, Google Gemini 1.5 Pro and open-source LLMs: Meta AI Llama-3.1 and DeepSeek AI DeepSeek-V2 models, which have already been trained on massive and diverse datasets and is capable of providing the reasoning of the detected HT. Specifically, we apply In-Context Learning (ICL)-based mechanisms: zero-shot, one-shot, and few-shot learning strategies (e.g., register transfer level (RTL) files (Verilog) of the circuit) to adopt this model for HT detection and explanation tasks. We validate our proposed approach on diverse circuit design benchmarks from Trust-Hub and ISCAS (85 and 89). Our experimental results show that the proposed few-shot learning-based enterprise-API-enabled GPT-3.5 Turbo and open-source DeepSeek-V2 LLM models detect unknown HTs with an accuracy of 97% and 91% and drastically reduce the training time compared to state-of-the-art techniques. Furthermore, after detecting the HT, they provide human-centric reasoning/explanation, reinforcing transparency and trust in the IC supply chain through its understanding.</t>
  </si>
  <si>
    <t>10.1109/ACCESS.2025.3592030</t>
  </si>
  <si>
    <t>WOS:001542450400013</t>
  </si>
  <si>
    <t>Szandala, T</t>
  </si>
  <si>
    <t>Szandala, Tomasz</t>
  </si>
  <si>
    <t>ChatGPT vs human expertise in the context of IT recruitment</t>
  </si>
  <si>
    <t>DevOps; Recruitment; Generative AI; Large language models; Human resources</t>
  </si>
  <si>
    <t>This study aims to address the gap in understanding the extent to which AI can replace human technical interviewers in the recruitment process. It investigates the potential of a Large Language Models, specifically ChatGPT, Google Gemini and Mistral, in assessing candidates' competencies in Information Technology (IT) compared to evaluations made by human experts. The experiment involved three experienced DevOps specialists who assessed the written responses of 21 candidates to ten industry-relevant questions; each limited to 500 characters. The evaluation was conducted using a simple yet effective -2 to 2 scale, with -2 indicating a negative assessment for incorrect answers, 0 for ambiguous or incomplete answers, and 2 for excellent responses. The same set of responses was then evaluated by LLMs, adhering to the identical criteria and scale. This comparative analysis aims to determine the reliability and accuracy of AI in replicating expert human judgement in IT recruitment. The study's findings, backed by the Fleiss kappa test, show that human reviewers are not perfectly aligned in their judgement. On the other hand, the AI tool also lacks consistency, as the consequent repetition of the same review request may result in a different decision. The results are anticipated to contribute to the ongoing discourse on AI-assisted decision-making and its practical applications inhuman resource management and recruitment.</t>
  </si>
  <si>
    <t>MAR 10</t>
  </si>
  <si>
    <t>10.1016/j.eswa.2024.125868</t>
  </si>
  <si>
    <t>WOS:001375583300001</t>
  </si>
  <si>
    <t>Almeida, GFCF; Nunes, JL; Engelmann, N; Wiegmann, A; de Araújo, M</t>
  </si>
  <si>
    <t>Almeida, Guilherme F. C. F.; Nunes, Jose Luiz; Engelmann, Neele; Wiegmann, Alex; de Araujo, Marcelo</t>
  </si>
  <si>
    <t>Exploring the psychology of LLMs' moral and legal reasoning</t>
  </si>
  <si>
    <t>ARTIFICIAL INTELLIGENCE</t>
  </si>
  <si>
    <t>AI Ethics; Experimental jurisprudence; Ethics of artificial intelligence; Machine Behavior; Moral psychology; Machine psychology; Large language models</t>
  </si>
  <si>
    <t>EXPERTISE; SPIRIT; GUIDE; SETS; LAW</t>
  </si>
  <si>
    <t>Large language models (LLMs) exhibit expert-level performance in tasks across a wide range of different domains. Ethical issues raised by LLMs and the need to align future versions makes it important to know how state of the art models reason about moral and legal issues. In this paper, we employ the methods of experimental psychology to probe into this question. We replicate eight studies from the experimental literature with instances of Google's Gemini Pro, Anthropic's Claude 2.1, OpenAI's GPT-4, and Meta's Llama 2 Chat 70b. We find that alignment with human responses shifts from one experiment to another, and that models differ amongst themselves as to their overall alignment, with GPT-4 taking a clear lead over all other models we tested. Nonetheless, even when LLM-generated responses are highly correlated to human responses, there are still systematic differences, with a tendency for models to exaggerate effects that are present among humans, in part by reducing variance. This recommends caution with regards to proposals of replacing human participants with current state-of-the-art LLMs in psychological research and highlights the need for further research about the distinctive aspects of machine psychology.</t>
  </si>
  <si>
    <t>0004-3702</t>
  </si>
  <si>
    <t>1872-7921</t>
  </si>
  <si>
    <t>10.1016/j.artint.2024.104145</t>
  </si>
  <si>
    <t>WOS:001240939000001</t>
  </si>
  <si>
    <t>Xu, ZT; Song, TQ; Lee, YC</t>
  </si>
  <si>
    <t>Xu, Zhengtao; Song, Tianqi; Lee, Yi-Chieh</t>
  </si>
  <si>
    <t>Confronting verbalized uncertainty: Understanding how LLM's verbalized uncertainty influences users in AI-assisted decision-making</t>
  </si>
  <si>
    <t>Verbalized uncertainty; Large language model; AI-assisted decision-making; Trust; Satisfaction; Performance</t>
  </si>
  <si>
    <t>ARTIFICIAL-INTELLIGENCE; WORK HUMAN; RISK; CONFIDENCE; QUANTIFICATION; REPRESENTATION; PROBABILITY; PREFERENCES; INFORMATION; NUMERACY</t>
  </si>
  <si>
    <t>Due to the human-like nature, large language models (LLMs) often express uncertainty in their outputs. This expression, known as verbalized uncertainty, can appear in phrases such as I'm sure that [...] or It could be [...]. However, few studies have explored how this expression impacts human users' feelings towards AI, including their trust, satisfaction and task performance. Our research aims to fill this gap by exploring how different levels of verbalized uncertainty from the LLM's outputs affect users' perceptions and behaviors in AI- assisted decision-making scenarios. To this end, we conducted a between-condition study (N = 156), dividing participants into six groups based on two accuracy conditions and three conditions of verbalized uncertainty. We also used the widely played word guessing game Codenames to simulate the role of LLMs in assisting human decision-making. Our results show that medium verbalized uncertainty in the LLM's expressions consistently leads to higher user trust, satisfaction, and task performance compared to high and low verbalized uncertainty. Our results also show that participants experience verbalized uncertainty differently based on the accuracy of the LLM. This study offers important implications for the future design of LLMs, suggesting adaptive strategies to express verbalized uncertainty based on the LLM's accuracy.</t>
  </si>
  <si>
    <t>10.1016/j.ijhcs.2025.103455</t>
  </si>
  <si>
    <t>WOS:001426178300001</t>
  </si>
  <si>
    <t>Lavazza, A; Sartori, G; Farina, M; Melis, G; Orrù, G</t>
  </si>
  <si>
    <t>Lavazza, Andrea; Sartori, Giuseppe; Farina, Mirko; Melis, Giulia; Orru, Graziella</t>
  </si>
  <si>
    <t>Minds of their own? Decoding free will in large language models</t>
  </si>
  <si>
    <t>Free will; Artificial intelligence (AI); Large language models (LLMs); Autonomy; Moral responsibility; Legal responsibility</t>
  </si>
  <si>
    <t>In this paper, we examine the concept of free will in artificial intelligence (AI), with a focus on Large Language Models (LLMs) and autonomous AI agents. We evaluate whether these systems exhibit functional autonomy and moral agency by analysing their cognitive capabilities against legal criteria for responsibility. Our analysis reveals that state-of-the-art LLMs, such as GPT-4, perform at a human-like level in moral reasoning, theory of mind, social cognition, anticipatory reflection, and complex decision-making-all functions relevant to legal conceptions of free will. However, although these systems can generate contextually appropriate moral judgments and behavioural adaptations, they remain limited by their reliance on external inputs and their lack of intrinsic volition. Drawing on Wittgenstein's epistemological insights, we argue that the legal system already attributes responsibility to human agents based on observable behaviour, without requiring access to their internal moral cognition. This perspective challenges the traditional exclusion of AI from legal responsibility solely because it lacks subjective moral consciousness. Furthermore, as AI systems increasingly move beyond predictable input-output relationships, assigning liability in legal contexts becomes both necessary and conceptually challenging. We propose that highly autonomous AI systems should be considered within a new legal framework that accounts for their functional, but not phenomenological, agency. This model could introduce a specialized category of AI liability, ensuring accountability while addressing the unique nature of AI decision-making. As AI capabilities continue to evolve, rethinking legal and ethical frameworks is crucial to manage their role in high-stakes decision-making across domains such as criminal justice, corporate responsibility, and autonomous military systems.</t>
  </si>
  <si>
    <t>2026 JAN 4</t>
  </si>
  <si>
    <t>10.1007/s00146-025-02809-6</t>
  </si>
  <si>
    <t>WOS:001652721100001</t>
  </si>
  <si>
    <t>Pham, HV; Moore, P</t>
  </si>
  <si>
    <t>Pham, Hai Van; Moore, Philip</t>
  </si>
  <si>
    <t>Applied Hedge Algebra Approach with Multilingual Large Language Models to Extract Hidden Rules in Datasets for Improvement of Generative AI Applications</t>
  </si>
  <si>
    <t>generative AI; language comprehension; multilingual language models; large language models; support systems; technological determinism; chatbot; ChatGPT</t>
  </si>
  <si>
    <t>Generative AI applications have played an increasingly significant role in real-time tracking applications in many domains including, for example, healthcare, consultancy, dialog boxes (common types of window in a graphical user interface of operating systems), monitoring systems, and emergency response. This paper considers generative AI and presents an approach which combines hedge algebra and a multilingual large language model to find hidden rules in big data for ChatGPT. We present a novel method for extracting natural language knowledge from large datasets by leveraging fuzzy sets and hedge algebra to extract these rules, presented in meta data for ChatGPT and generative AI applications. The proposed model has been developed to minimize the computational and staff costs for medium-sized enterprises which are typically resource and time limited. The proposed model has been designed to automate question-response interactions for rules extracted from large data in a multiplicity of domains. The experimental results show that the proposed model performs well using datasets associated with specific domains in healthcare to validate the effectiveness of the proposed model. The ChatGPT application in case studies of healthcare is tested using datasets for English and Vietnamese languages. In comparative experimental testing, the proposed model outperformed the state of the art, achieving in the range of 96.70-97.50% performance using a heart dataset.</t>
  </si>
  <si>
    <t>10.3390/info15070381</t>
  </si>
  <si>
    <t>WOS:001277732800001</t>
  </si>
  <si>
    <t>Polonioli, A</t>
  </si>
  <si>
    <t>Polonioli, Andrea</t>
  </si>
  <si>
    <t>Moving LLM evaluation forward: lessons from human judgment research</t>
  </si>
  <si>
    <t>LLM; generative AI (GenAI); hallucinations; AI in business; human judgment; judgment and decision making; heuristics &amp; biases</t>
  </si>
  <si>
    <t>This paper outlines a path toward more reliable and effective evaluation of Large Language Models (LLMs). It argues that insights from the study of human judgment and decision-making can illuminate current challenges in LLM assessment and help close critical gaps in how models are evaluated. By drawing parallels between human reasoning and model behavior, the paper advocates moving beyond narrow metrics toward more nuanced, ecologically valid frameworks.</t>
  </si>
  <si>
    <t>10.3389/frai.2025.1592399</t>
  </si>
  <si>
    <t>WOS:001505176900001</t>
  </si>
  <si>
    <t>Farghal, M; Haider, AS</t>
  </si>
  <si>
    <t>Farghal, Mohammed; Haider, Ahmad S.</t>
  </si>
  <si>
    <t>Translating classical Arabic verse: human translation vs. AI large language models (Gemini and ChatGPT)</t>
  </si>
  <si>
    <t>COGENT SOCIAL SCIENCES</t>
  </si>
  <si>
    <t>Arabic classical poetry; translation; cognition; prosody; ChatGPT; Gemini; English</t>
  </si>
  <si>
    <t>METER</t>
  </si>
  <si>
    <t>Classical Arabic poetry is a sophisticated and complex art form, combining intricate themes with refined stylistic forms. This paper examines the translation of 15 individual Classical Arabic verses by comparing the English renditions provided by a human translator and two prominent large language models (LLMs), namely Google's Gemini (GEM) and OpenAI's ChatGPT (GPT). The human and LLMs are evaluated in relation to three variables: thematic clarity, creativity, and prosody by 54 Arab professors in Literature, Linguistics, or Translation who use English as a medium of instruction at their universities and are considered qualified as assessors. The translations are also evaluated by the two LLMs. The findings show that participants' assessment of human and GPT translations are clearly positive on the three variables, while GEM significantly lags behind in terms of prosody (M 2.83) and even more so in its own assessment (M 1). As for AI technology assessment, GPT is clearly consistent with participants' evaluation, in contrast to GEM assessment, which is markedly different in terms of prosody and creativity. The study concludes that AI technology emerges as a true competitor with human translators, and their interactive potentials need to be further explored in poetry translation.</t>
  </si>
  <si>
    <t>2331-1886</t>
  </si>
  <si>
    <t>10.1080/23311886.2024.2410998</t>
  </si>
  <si>
    <t>WOS:001336832600001</t>
  </si>
  <si>
    <t>Cremaschi, M; Ditolve, D; Curcio, C; Panzeri, A; Spoto, A; Maurino, A</t>
  </si>
  <si>
    <t>Cremaschi, Marco; Ditolve, Davide; Curcio, Cesare; Panzeri, Anna; Spoto, Andrea; Maurino, Andrea</t>
  </si>
  <si>
    <t>Decoding the mind: A RAG-LLM on ICD-11 for decision support in psychology</t>
  </si>
  <si>
    <t>Large language models; Retrieval Augmented Generation; Prompt Engineering; Healthcare; Mental health; Psychology; Clinical decision support; Diagnostic reasoning; ICD-11; DSM5</t>
  </si>
  <si>
    <t>This paper explores the use of Large Language Models (LLMs) in mental health to assist psychologists and psychiatrists with diagnostic decision-making according to the ICD-11 classification system. ICD-11 is the 11th revision of the International Classification of Diseases, a globally used diagnostic tool for health conditions, including mental, behavioural, and neurodevelopmental disorders. In detail, we propose LLMind Chat, an AIpowered tool with a user-friendly interface designed to support mental health professionals in their diagnostic processes. LLMind Chat leverages a Retrieval Augmented Generation (RAG) model based on the Gemma 2 (27B parameters), specifically adapted to the context of the ICD-11. This RAG model combines the strengths of Gemma 2 with a comprehensive knowledge base derived from the ICD-11, allowing it to access and process relevant information from the classification manual in real-time. LLMind's diagnostic accuracy was rigorously evaluated against the DSM-5-TR Clinical Cases manual, using automated metrics and mental health professionals' expert validation. The result suggests that LLMind Chat can serve as a reliable decision-support tool, enhancing diagnostic reasoning and potentially reducing misclassifications.</t>
  </si>
  <si>
    <t>10.1016/j.eswa.2025.127191</t>
  </si>
  <si>
    <t>WOS:001465047300001</t>
  </si>
  <si>
    <t>Carrasco-Aguilar, A; Carmona-Martínez, MM; Parra-Meroño, MC; Souto-Romero, M</t>
  </si>
  <si>
    <t>Carrasco-Aguilar, Alvaro; Carmona-Martinez, M. Mercedes; Parra-Merono, Maria C.; Souto-Romero, Mar</t>
  </si>
  <si>
    <t>Integrating Technical Analysis into Sentiment Analysis: An ASTE Framework for Electric Car Purchase Decision Support Based on LLMs and Semantic BNF</t>
  </si>
  <si>
    <t>aspect sentiment triplet extraction; large language models; semantic Backus-Naur Form; fuzzy linguistic models; electric vehicles; expert reviews</t>
  </si>
  <si>
    <t>MODEL</t>
  </si>
  <si>
    <t>The increasing complexity of purchasing an electric car, influenced by technical specifications and expert reviews, requires advanced Natural Language Processing techniques to extract meaningful insights. This study enhances Aspect Sentiment Triplet Extraction (ASTE) by integrating Large Language Models (LLMs) to identify key aspects, opinions, and sentiments in expert reviews, including technical data traditionally classified as neutral, such as horsepower and battery range. A semantic extension of Backus-Naur Form (BNF) structures input queries for syntactic and semantic accuracy, while a 2-tuple fuzzy linguistic model refines sentiment representation, ensuring interpretability. The proposed model addresses limitations in existing ASTE techniques by incorporating formal grammar structures and linguistic modeling, eliminating the need for complex preprocessing. Applied to expert YouTube reviews of electric cars, the method leverages Google's Gemini model via Python and the Gemini API to rank the top-selling electric cars in the United States. The results confirm the model's effectiveness in aligning technical data with sentiment analysis, making it accessible to non-specialists in Natural Language Processing. This framework enhances decision support in electric car purchases by providing a structured, interpretable, and contextually rich sentiment analysis approach.</t>
  </si>
  <si>
    <t>10.3390/electronics14051020</t>
  </si>
  <si>
    <t>WOS:001443491400001</t>
  </si>
  <si>
    <t>Ma, YF; Liu, LN; Gong, Y; Tu, Y; Li, ZB</t>
  </si>
  <si>
    <t>Ma, Yanfang; Liu, Lina; Gong, Yu; Tu, Yan; Li, Zibiao</t>
  </si>
  <si>
    <t>Utilizing Universal Information Extraction based on Generative Large Language Model to mine online reviews for navigating online health consultation</t>
  </si>
  <si>
    <t>UIE-GLLM; Online reviews; Mobile health applications (mHealth apps); selection; Online health consultation</t>
  </si>
  <si>
    <t>Given the limited medical resources and the increasing healthcare demand, mobile health applications (mHealth apps) have become an important complement to enhance medical accessibility. As the number of mHealth apps is booming, it is difficult for patients to select an ideal application, particularly for the critical function, online health consultation services, which are seldom concerned. This study proposes a method to select a suitable application for online health consultation. First, we employ the Octopus crawler software to collect online reviews about online health consultation from Little Red Book and Weibo, popular content sharing platforms. Then, Universal Information Extraction based on Generative Large Language Model (UIE-GLLM) is introduced to process online reviews, which can automatically identify the evaluation attributes that patients really care about. And then, linguistic hesitant Z-number (LHZN), a preference expression method enabling decision makers to convey ambiguity in evaluation information, is introduced to express the applications based on the attributes learned by UIE-GLIM. Finally, an optimal application is obtained using large-scale group decision-making method. Comparative analysis indicates that LHZN significantly improve consensus degree. Compared with LDA and TF-IDF, UIE-GLLM can extract more comprehensive attributes from reviews without complex preprocessing.</t>
  </si>
  <si>
    <t>10.1016/j.ins.2025.122428</t>
  </si>
  <si>
    <t>WOS:001516170500001</t>
  </si>
  <si>
    <t>Jiang, C; Zhang, PL; Ni, Y; Wang, XL; Peng, HH; Liu, S; Fei, MD; He, YX; Xiao, YX; Huang, J; Ma, XY; Yang, T</t>
  </si>
  <si>
    <t>Jiang, Cheng; Zhang, Pengle; Ni, Ying; Wang, Xiaoli; Peng, Hanghang; Liu, Sen; Fei, Mengdi; He, Yuxin; Xiao, Yaxuan; Huang, Jin; Ma, Xingyu; Yang, Tian</t>
  </si>
  <si>
    <t>Multimodal retrieval-augmented generation for financial documents: image-centric analysis of charts and tables with large language models</t>
  </si>
  <si>
    <t>Financial documents; Chart and table image data; Retrieval performance; Retrieval-augmented generation (RAG); Large language models (LLMs)</t>
  </si>
  <si>
    <t>In the financial domain, retrieval-augmented generation (RAG) enables large language models (LLMs) to leverage external financial documents for generation, which is crucial for financial decision-making. However, current RAG systems fail to address the inadequate handling of visual data in financial documents and face the issue of insufficient relevance between retrieval results and the corresponding queries during the retrieval process. To address these issues, we present a novel approach that integrates multimodal RAG with LLMs to enhance financial document analysis, particularly focusing on the interpretation of tables and charts. We propose a method to convert chart and table image data into Markdown format for integration with textual data. Through this method, we achieved comprehensive parsing of text, tables, and charts in financial documents. Meanwhile, to achieve better retrieval performance, we utilized a hybrid retrieval method combining a vector database and a graph database. In addition, we utilized LLMs for annotation and refined it through careful human review to compile a rich financial dataset focused on table and chart images, intended to evaluate the retrieval efficiency and generation quality in RAG. By analyzing both the retrieval and generation processes, the results demonstrate the potential of this method to revolutionize financial data visualization and decision-making processes. More information and access to our code are available at our GitHub repository: https://github.com/ChengZ2003/multimodal_RAG.</t>
  </si>
  <si>
    <t>10.1007/s00371-025-03829-5</t>
  </si>
  <si>
    <t>WOS:001441638300001</t>
  </si>
  <si>
    <t>Tian, YC; Qu, YY; Ding, M; Liu, SG; Tsai, PW; Zhang, J</t>
  </si>
  <si>
    <t>Tian, Yicun; Qu, Youyang; Ding, Ming; Liu, Shigang; Tsai, Pei-Wei; Zhang, Jun</t>
  </si>
  <si>
    <t>PRIME: A Phishing Detection Framework With Quantitative and Fuzzy-Based Dual Validation</t>
  </si>
  <si>
    <t>Phishing; Electronic mail; Training; Computational modeling; Cognition; Australia; Adaptation models; Semantics; Robustness; Large language models; Phishing email detection; social engineering; large language models; contextual reasoning; fuzzy reasoning system; interpretability</t>
  </si>
  <si>
    <t>Phishing attacks continue to pose a significant cybersecurity threat, especially as social engineering (SE) tactics become more contextually embedded and difficult to detect. To address the limitations of traditional rule-based framework and AI-driven classifiers, we propose PRIME, a phishing email evaluation framework that leverages large language models (LLMs) to assess manipulative intent across six interpretable criteria. Three risk scoring strategies, namely equal weighting, semantically weighted scoring, and fuzzy logic-based classification, are applied to aggregate the criterion scores into multi-level risk assessments. Qualitative comparisons with established frameworks demonstrate PRIME's broad coverage and conceptual soundness. Quantitative experiments validate its effectiveness, with the fuzzy-based method achieving perfect recall on a phishing-only dataset and consistent performance across multiple years. An ablation study, where each criterion is removed in turn, highlights the critical role of the Context and Content dimension in detecting both explicit and subtle SE cues. By separating LLMs interpretation from final decision-making, PRIME enhances transparency, robustness, and adaptability in phishing detection systems.</t>
  </si>
  <si>
    <t>10.1109/TKDE.2025.3609320</t>
  </si>
  <si>
    <t>WOS:001589873500004</t>
  </si>
  <si>
    <t>Guidotti, D; Pandolfo, L; Pulina, L</t>
  </si>
  <si>
    <t>Guidotti, Dario; Pandolfo, Laura; Pulina, Luca</t>
  </si>
  <si>
    <t>Discovering sentiment insights: streamlining tourism review analysis with Large Language Models</t>
  </si>
  <si>
    <t>INFORMATION TECHNOLOGY &amp; TOURISM</t>
  </si>
  <si>
    <t>AI for tourism; Sentiment analysis; Natural language processing; Keyword extraction</t>
  </si>
  <si>
    <t>With digital technology increasingly shaping the tourism industry, understanding customer sentiment and identifying key themes in reviews is crucial for enhancing service quality. However, traditional sentiment analysis and keyword extraction models typically demand significant time, computational resources, and labelled data for training. In this paper, we explore how Large Language Models (LLMs) can be leveraged to automatically classify reviews as positive or negative and extract relevant keywords without the need for dedicated training. Additionally, we frame the keyword extraction task as a tool to assist human users in comprehending and interpreting review content, especially in scenarios where ground truth labels for keywords are unavailable. To evaluate our approach, we conduct an experimental analysis using several datasets of tourism reviews and various LLMs. Our results demonstrate the reliability of LLMs as zero-shot classifiers for sentiment analysis and showcase the efficacy of the approach in extracting meaningful keywords from reviews, providing valuable insights into customer sentiments and preferences. Overall, this research contributes to the intersection of information technology and tourism by presenting a practical solution for sentiment analysis and keyword extraction in tourism reviews, leveraging the capabilities of LLMs as versatile tools for enhancing decision-making processes in the tourism industry.</t>
  </si>
  <si>
    <t>1098-3058</t>
  </si>
  <si>
    <t>1943-4294</t>
  </si>
  <si>
    <t>10.1007/s40558-024-00309-9</t>
  </si>
  <si>
    <t>WOS:001399416800001</t>
  </si>
  <si>
    <t>Gholami, H</t>
  </si>
  <si>
    <t>Gholami, Hamed</t>
  </si>
  <si>
    <t>Artificial Intelligence Techniques for Sustainable Reconfigurable Manufacturing Systems: An AI-Powered Decision-Making Application Using Large Language Models</t>
  </si>
  <si>
    <t>artificial intelligence; reconfigurable manufacturing systems; sustainable manufacturing 4.0; AI-enabled decision-making; intelligent fuzzy systems; natural language processing; ChatGPT</t>
  </si>
  <si>
    <t>GENERATION; DESIGN; MANAGEMENT; FRAMEWORK; FUTURE</t>
  </si>
  <si>
    <t>Artificial intelligence (AI) offers a promising avenue for developing sustainable reconfigurable manufacturing systems. Although there has been significant progress in these research areas, there seem to be no studies devoted to exploring and evaluating AI techniques for such systems. To address this gap, the current study aims to present a deliberation on the subject matter, with a particular focus on assessing AI techniques. For this purpose, an AI-enabled methodological approach is developed in Python, integrating fuzzy logic to effectively navigate the uncertainties inherent in evaluating the performance of techniques. The incorporation of sensitivity analysis further enables a thorough evaluation of how input variations impact decision-making outcomes. To conduct the assessment, this study provides an AI-powered decision-making application using large language models in the field of natural language processing, which has emerged as an influential branch of artificial intelligence. The findings reveal that machine learning and big data analytics as well as fuzzy logic and programming stand out as the most promising AI techniques for sustainable reconfigurable manufacturing systems. The application confirms that using fuzzy logic programming in Python as the computational foundation significantly enhances precision, efficiency, and execution time, offering critical insights that enable more timely and informed decision-making in the field. Thus, this study not only addresses a critical gap in the literature but also offers an AI-driven approach to support complex decision-making processes.</t>
  </si>
  <si>
    <t>10.3390/bdcc8110152</t>
  </si>
  <si>
    <t>WOS:001363973500001</t>
  </si>
  <si>
    <t>Hou, RH; Wang, XJ; Zhang, WY; Song, ZX; Wang, K; Chen, YF; Liu, JP; Ruan, T</t>
  </si>
  <si>
    <t>Hou, Ruihui; Wang, Xiaojun; Zhang, Weiyan; Song, Zhexin; Wang, Kai; Chen, Yifei; Liu, Jingping; Ruan, Tong</t>
  </si>
  <si>
    <t>Decision Tree Extraction for Clinical Decision Support System With If-Else Pseudocode and PlanSelect Strategy</t>
  </si>
  <si>
    <t>Decision trees; Data mining; Cognition; Medical diagnostic imaging; Medical services; Large language models; Decision support systems; Predictive models; Pipelines; Pediatrics; Medical decision tree extraction; large language model; If-Else pseudocode; PlanSelect</t>
  </si>
  <si>
    <t>DIAGNOSIS</t>
  </si>
  <si>
    <t>Decision trees, as a structured representation of medical knowledge, are critical resources for building clinical decision support systems. Their structured decision pathways can be used for retrieval to enhance clinical decision making. Currently, mainstream methods mainly utilize large language models and in-context learning for decision tree extraction. However, these methods often face challenges in understanding the structure of decision trees and accurately extracting the complete content of tree nodes, leading to noise in the extracted trees and ultimately impacting their effectiveness in clinical decision support system. To this end, in this paper, we propose a novel decision tree extraction framework, including two stages. In the first stage, we propose to use the If-Else pseudocode to represent the decision tree structure and design specific constraints on format and content to guide the LLM in generating outputs. In the second stage, we introduce a novel node-filling strategy called PlanSelect to match the extracted triplets with sub-sentences in the generated pseudocode, including four reasoning steps: observation, plan, action, and answer. To evaluate the effectiveness of our proposed method, we construct an English decision tree extraction dataset (EMDT) and conduct extensive experiments on the built and public datasets. Experiments on the Text2DT and EMDT datasets demonstrate that our method outperforms the current state-of-the-art approaches, achieving improvements of 1.37% and 1.54% on the $ER$ metric (which is lower is better), respectively. Furthermore, we use the medical decision trees extracted using our framework to improve the model's performance on clinical decision making tasks, i.e., CMB-Clin and MedQA.</t>
  </si>
  <si>
    <t>10.1109/JBHI.2025.3529682</t>
  </si>
  <si>
    <t>WOS:001483871500023</t>
  </si>
  <si>
    <t>Rasool, A; Shahzad, MI; Aslam, H; Chan, V; Arshad, MA</t>
  </si>
  <si>
    <t>Rasool, Abdur; Shahzad, Muhammad Irfan; Aslam, Hafsa; Chan, Vincent; Arshad, Muhammad Ali</t>
  </si>
  <si>
    <t>Emotion-Aware Embedding Fusion in Large Language Models (Flan-T5, Llama 2, DeepSeek-R1, and ChatGPT 4) for Intelligent Response Generation</t>
  </si>
  <si>
    <t>large language models; psychotherapy chatbots; emotion-aware embedding; hierarchical fusion; attention mechanisms; emotion lexicon; emotional intelligence</t>
  </si>
  <si>
    <t>SENTIMENT ANALYSIS; TEXT ANALYSIS</t>
  </si>
  <si>
    <t>Empathetic and coherent responses are critical in automated chatbot-facilitated psychotherapy. This study addresses the challenge of enhancing the emotional and contextual understanding of large language models (LLMs) in psychiatric applications. We introduce Emotion-Aware Embedding Fusion, a novel framework integrating hierarchical fusion and attention mechanisms to prioritize semantic and emotional features in therapy transcripts. Our approach combines multiple emotion lexicons, including NRC Emotion Lexicon, VADER, WordNet, and SentiWordNet, with state-of-the-art LLMs such as Flan-T5, Llama 2, DeepSeek-R1, and ChatGPT 4. Therapy session transcripts, comprising over 2000 samples, are segmented into hierarchical levels (word, sentence, and session) using neural networks, while hierarchical fusion combines these features with pooling techniques to refine emotional representations. Attention mechanisms, including multi-head self-attention and cross-attention, further prioritize emotional and contextual features, enabling the temporal modeling of emotional shifts across sessions. The processed embeddings, computed using BERT, GPT-3, and RoBERTa, are stored in the Facebook AI similarity search vector database, which enables efficient similarity search and clustering across dense vector spaces. Upon user queries, relevant segments are retrieved and provided as context to LLMs, enhancing their ability to generate empathetic and contextually relevant responses. The proposed framework is evaluated across multiple practical use cases to demonstrate real-world applicability, including AI-driven therapy chatbots. The system can be integrated into existing mental health platforms to generate personalized responses based on retrieved therapy session data. The experimental results show that our framework enhances empathy, coherence, informativeness, and fluency, surpassing baseline models while improving LLMs' emotional intelligence and contextual adaptability for psychotherapy.</t>
  </si>
  <si>
    <t>10.3390/ai6030056</t>
  </si>
  <si>
    <t>WOS:001453552400001</t>
  </si>
  <si>
    <t>Lee, NG; Kim, SH</t>
  </si>
  <si>
    <t>Lee, Nam-Gyu; Kim, Seung-Hee</t>
  </si>
  <si>
    <t>Design and Development of a Summarization Service Prototype of Personal Health Record Medical Data with Fast Healthcare Interoperability Resources Structure Using Large Language Models</t>
  </si>
  <si>
    <t>JOURNAL OF INFORMATION PROCESSING SYSTEMS</t>
  </si>
  <si>
    <t>Electronic Medical Record; Fast Healthcare Interoperability Resources; Generative Artificial Intelligence; Large Language Model; Personal Health Record; ChatGPT</t>
  </si>
  <si>
    <t>As the scope of healthcare data expands beyond hospital-generated electronic medical records (EMRs) to include personal health records (PHRs), there is a growing need for automated methods to efficiently summarize large volumes of patient-specific information. In this study, we propose a summarization approach that leverages large language models (LLMs) and standardized data formats to improve accessibility and usability of patient data. Specifically, we developed a prototype system that summarizes patient Bundles formatted in accordance with the Fast Healthcare Interoperability Resources (FHIR) standard. Using the ChatGPT API and document processing techniques, we generated summaries and evaluated their accuracy using a checklist based on clinical criteria. The summarization model achieved an accuracy of 81.6%, suggesting its potential for real-world application. Our findings indicate that healthcare professionals can more quickly and effectively review a patient's primary conditions using summarized PHR data, particularly as FHIR adoption increases. However, the results also highlight certain limitations, including the generalization of summaries and the absence of domain-specific fine-tuning. These findings underscore the importance of future research involving multidisciplinary clinical evaluations, targeted fine-tuning strategies, and question-driven summarization to enhance accuracy and clinical relevance. Overall, this study demonstrates the feasibility of integrating LLM-based summarization into healthcare workflows, contributing to improved interoperability and decision-making in clinical settings.</t>
  </si>
  <si>
    <t>1976-913X</t>
  </si>
  <si>
    <t>2092-805X</t>
  </si>
  <si>
    <t>10.3745/JIPS.04.0362</t>
  </si>
  <si>
    <t>WOS:001658433500004</t>
  </si>
  <si>
    <t>Grandi, D; Jain, YP; Groom, A; Cramer, B; Mccomb, C</t>
  </si>
  <si>
    <t>Grandi, Daniele; Jain, Yash Patawari; Groom, Allin; Cramer, Brandon; Mccomb, Christopher</t>
  </si>
  <si>
    <t>Evaluating Large Language Models for Material Selection</t>
  </si>
  <si>
    <t>material selection; large language models; context-aware design assistance; artificial intelligence; data-driven engineering; machine learning for engineering applications</t>
  </si>
  <si>
    <t>DESIGN; CONCURRENT</t>
  </si>
  <si>
    <t>Material selection is a crucial step in conceptual design due to its significant impact on the functionality, aesthetics, manufacturability, and sustainability impact of the final product. This study investigates the use of large language models (LLMs) for material selection in the product design process and compares the performance of LLMs against expert choices for various design scenarios. By collecting a dataset of expert material preferences, the study provides a basis for evaluating how well LLMs can align with expert recommendations through prompt engineering and hyperparameter tuning. The divergence between LLM and expert recommendations is measured across different model configurations, prompt strategies, and temperature settings. This approach allows for a detailed analysis of factors influencing the LLMs' effectiveness in recommending materials. The results from this study highlight two failure modes: the low variance of recommendations across different design scenarios and the tendency toward overestimating material appropriateness. Parallel prompting is identified as a useful prompt-engineering method when using LLMs for material selection. The findings further suggest that, while LLMs can provide valuable assistance, their recommendations often vary significantly from those of human experts. This discrepancy underscores the need for further research into how LLMs can be better tailored to replicate expert decision-making in material selection. This work contributes to the growing body of knowledge on how LLMs can be integrated into the design process, offering insights into their current limitations and potential for future improvements.</t>
  </si>
  <si>
    <t>10.1115/1.4066730</t>
  </si>
  <si>
    <t>WOS:001403467800008</t>
  </si>
  <si>
    <t>Lee, J; Choi, J; Park, JM; Lim, YJ; Jung, HJ; Kang, S; An, C; Kwon, J</t>
  </si>
  <si>
    <t>Lee, Junpyo; Choi, Jungmu; Park, Jung Min; Lim, Yong-Jae; Jung, Hae-Jin; Kang, Soyoung; An, Chanjung; Kwon, Jangwoo</t>
  </si>
  <si>
    <t>Anomaly Detection Using Generative Language Models and Deep Feature-Based Time Series Similarity</t>
  </si>
  <si>
    <t>Anomaly detection; large language model; retrieval-augmented generation; time series; time series segmentation; large language model; retrieval-augmented generation; time series; time series segmentation</t>
  </si>
  <si>
    <t>AIR-QUALITY; NETWORKS</t>
  </si>
  <si>
    <t>Time series data play a critical role in decision-making across domains such as environmental monitoring, industrial equipment management, and financial market analysis. However, these data are highly susceptible to distortions caused by noise, anomalies, and sensor failures. Early detection and interpretability of abnormal patterns are essential to ensuring the reliability of data-driven systems. This paper proposes a novel anomaly detection framework that integrates large language models (LLMs) with time series retrieval-augmented generation. Traditional anomaly detection methods often rely on statistical models or single deep learning architectures, which struggle to capture irregular patterns and lack interpretability. Our method segments time series into interpretable subsequences, embeds them into high-dimensional vectors, and retrieves similar historical cases from a vector database. In addition, structural similarity across spatially adjacent sensors is quantified using Dynamic Time Warping (DTW) and Z-score metrics. These analytical results are then used to construct prompts, which are passed to an LLM to generate natural language decisions and explanations. The proposed framework enables both accurate detection and human-readable reasoning. Evaluated on real-world air quality monitoring data from South Korea, our approach reduced the false positive rate by over 50%, while maintaining recall, thereby validating its practical reliability and explainability compared to a segmentation-only approach.</t>
  </si>
  <si>
    <t>10.1109/ACCESS.2025.3604216</t>
  </si>
  <si>
    <t>WOS:001571440900008</t>
  </si>
  <si>
    <t>Hens, T; Nordlie, T</t>
  </si>
  <si>
    <t>Hens, Thorsten; Nordlie, Trine</t>
  </si>
  <si>
    <t>How good are LLMs in risk profiling?</t>
  </si>
  <si>
    <t>Large language models; ChatGPT; Bard (Gemini); Risk profiling</t>
  </si>
  <si>
    <t>This study compares OpenAI's ChatGPT-4 and Google's Bard (now rebranded as Gemini) with bank experts in determining investors' risk profiles. We find that for half of the client cases used, there are no statistically significant differences in the risk profiles. Moreover, the economic relevance of the differences is small. However, the LLMs are not good in explaining the risk profiles.</t>
  </si>
  <si>
    <t>10.1016/j.frl.2025.108102</t>
  </si>
  <si>
    <t>WOS:001558920800009</t>
  </si>
  <si>
    <t>Young, RJ; Matthews, AM; Poston, B</t>
  </si>
  <si>
    <t>Young, Richard J.; Matthews, Alice M.; Poston, Brach</t>
  </si>
  <si>
    <t>Benchmarking Multiple Large Language Models for Automated Clinical Trial Data Extraction in Aging Research</t>
  </si>
  <si>
    <t>clinical trial data extraction; large language models (LLMs); API integration; multi-agent systems; systematic review methodology; transcranial direct current stimulation (tDCS); aging research; automated data extraction; protocol analysis; evidence synthesis</t>
  </si>
  <si>
    <t>STIMULATION</t>
  </si>
  <si>
    <t>Large-language models (LLMs) show promise for automating evidence synthesis, yet head-to-head evaluations remain scarce. We benchmarked five state-of-the-art LLMs-openai/o1-mini, x-ai/grok-2-1212, meta-llama/Llama-3.3-70B-Instruct, google/Gemini-Flash-1.5-8B, and deepseek/DeepSeek-R1-70B-Distill-on extracting protocol details from transcranial direct-current stimulation (tDCS) trials enrolling older adults. A multi-LLM ensemble pipeline ingested ClinicalTrials.gov records, applied a structured JSON schema, and generated comparable outputs from unstructured text. The pipeline retrieved 83 aging-related tDCS trials-roughly double the yield of a conventional keyword search. Across models, agreement was almost perfect for the binary field brain stimulation used (Fleiss kappa approximate to 0.92) and substantial for the categorical primary target (kappa approximate to 0.71). Numeric parameters such as stimulation intensity and session duration showed excellent consistency when explicitly reported (ICC 0.95-0.96); secondary targets and free-text duration phrases remained challenging (kappa approximate to 0.61; ICC approximate to 0.35). An ensemble consensus (majority vote or averaging) resolved most disagreements and delivered near-perfect reliability on core stimulation attributes (kappa = 0.94). These results demonstrate that multi-LLM ensembles can markedly expand trial coverage and reach expert-level accuracy on well-defined fields while still requiring human oversight for nuanced or sparsely reported details. The benchmark and open-source workflow set a solid baseline for future advances in prompt engineering, model specialization, and ensemble strategies aimed at fully automated evidence synthesis in neurostimulation research involving aging populations. Overall, the five-model multi-LLM ensemble doubled the number of eligible aging-related tDCS trials retrieved versus keyword searching and achieved near-perfect agreement on core stimulation parameters (kappa approximate to 0.94), demonstrating expert-level extraction accuracy.</t>
  </si>
  <si>
    <t>MAY 20</t>
  </si>
  <si>
    <t>10.3390/a18050296</t>
  </si>
  <si>
    <t>WOS:001495893800001</t>
  </si>
  <si>
    <t>Augenstein, I; Baldwin, T; Cha, M; Chakraborty, T; Ciampaglia, GL; Corney, D; Diresta, R; Ferrara, E; Hale, S; Halevy, A; Hovy, E; Ji, H; Menczer, F; Miguez, R; Nakov, P; Scheufele, D; Sharma, S; Zagni, G</t>
  </si>
  <si>
    <t>Augenstein, Isabelle; Baldwin, Timothy; Cha, Meeyoung; Chakraborty, Tanmoy; Ciampaglia, Giovanni Luca; Corney, David; Diresta, Renee; Ferrara, Emilio; Hale, Scott; Halevy, Alon; Hovy, Eduard; Ji, Heng; Menczer, Filippo; Miguez, Ruben; Nakov, Preslav; Scheufele, Dietram; Sharma, Shivam; Zagni, Giovanni</t>
  </si>
  <si>
    <t>Factuality challenges in the era of large language models and opportunities for fact-checking</t>
  </si>
  <si>
    <t>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t>
  </si>
  <si>
    <t>10.1038/s42256-024-00881-z</t>
  </si>
  <si>
    <t>WOS:001296502400001</t>
  </si>
  <si>
    <t>Cassee, N; Agaronian, A; Constantinou, E; Novielli, N; Serebrenik, A</t>
  </si>
  <si>
    <t>Cassee, Nathan; Agaronian, Andrei; Constantinou, Eleni; Novielli, Nicole; Serebrenik, Alexander</t>
  </si>
  <si>
    <t>Transformers and meta-tokenization in sentiment analysis for software engineering</t>
  </si>
  <si>
    <t>Sentiment Analysis; Sentiment Analysis for Software Engineering; meta-tokenization; Sentiment Analysis Tools</t>
  </si>
  <si>
    <t>Sentiment analysis has been used to study aspects of software engineering, such as issue resolution, toxicity, and self-admitted technical debt. To address the peculiarities of software engineering texts, sentiment analysis tools often consider the specific technical lingo practitioners use. To further improve the application of sentiment analysis, there have been two recommendations: Using pre-trained transformer models to classify sentiment and replacing non-natural language elements with meta-tokens. In this work, we benchmark five different sentiment analysis tools (two pre-trained transformer models and three machine learning tools) on 2 gold-standard sentiment analysis datasets. We find that pre-trained transformers outperform the best machine learning tool on only one of the two datasets, and that even on that dataset the performance difference is a few percentage points. Therefore, we recommend that software engineering researchers should not just consider predictive performance when selecting a sentiment analysis tool because the best-performing sentiment analysis tools perform very similarly to each other (within 4 percentage points). Meanwhile, we find that meta-tokenization does not improve the predictive performance of sentiment analysis tools. Both of our findings can be used by software engineering researchers who seek to apply sentiment analysis tools to software engineering data.</t>
  </si>
  <si>
    <t>10.1007/s10664-024-10468-2</t>
  </si>
  <si>
    <t>WOS:001237860400002</t>
  </si>
  <si>
    <t>Nobrega, L; Martinez, LF; Marschhausen, L; Lima, Y; de Almeida, MA; Lyra, A; Barbosa, CE; de Souza, JM</t>
  </si>
  <si>
    <t>Nobrega, Lucas; Martinez, Luiz Felipe; Marschhausen, Luisa; Lima, Yuri; de Almeida, Marcos Antonio; Lyra, Alan; Barbosa, Carlos Eduardo; de Souza, Jano Moreira</t>
  </si>
  <si>
    <t>AI-Delphi: Emulating Personas Toward Machine-Machine Collaboration</t>
  </si>
  <si>
    <t>large language model; futures research; delphi</t>
  </si>
  <si>
    <t>Recent technological advancements have made Large Language Models (LLMs) easily accessible through apps such as ChatGPT, Claude.ai, Google Gemini, and HuggingChat, allowing text generation on diverse topics with a simple prompt. Considering this scenario, we propose three machine-machine collaboration models to streamline and accelerate Delphi execution time by leveraging the extensive knowledge of LLMs. We then applied one of these models-the Iconic Minds Delphi-to run Delphi questionnaires focused on the future of work and higher education in Brazil. Therefore, we prompted ChatGPT to assume the role of well-known public figures from various knowledge areas. To validate the effectiveness of this approach, we asked one of the emulated experts to evaluate his responses. Although this individual validation was not sufficient to generalize the approach's effectiveness, it revealed an 85% agreement rate, suggesting a promising alignment between the emulated persona and the real expert's opinions. Our work contributes to leveraging Artificial Intelligence (AI) in Futures Research, emphasizing LLMs' potential as collaborators in shaping future visions while discussing their limitations. In conclusion, our research demonstrates the synergy between Delphi and LLMs, providing a glimpse into a new method for exploring central themes, such as the future of work and higher education.</t>
  </si>
  <si>
    <t>NOV 14</t>
  </si>
  <si>
    <t>10.3390/ai6110294</t>
  </si>
  <si>
    <t>WOS:001623343900001</t>
  </si>
  <si>
    <t>Huang, DB; Ge, MY; Xiang, KL; Zhang, XL; Yang, HM</t>
  </si>
  <si>
    <t>Huang, Dabin; Ge, Mengyu; Xiang, Kunlan; Zhang, Xiaolei; Yang, Haomiao</t>
  </si>
  <si>
    <t>Privacy Preservation of Large Language Models in the Metaverse Era: Research Frontiers, Categorical Comparisons, and Future Directions</t>
  </si>
  <si>
    <t>INTERNATIONAL JOURNAL OF NETWORK MANAGEMENT</t>
  </si>
  <si>
    <t>adversarial networks; cryptography; large language models; metaverse; privacy protection</t>
  </si>
  <si>
    <t>Large language models (LLMs), with their billions to trillions of parameters, excel in natural language processing, machine translation, dialog systems, and text summarization. These capabilities are increasingly pivotal in the metaverse, where they can enhance virtual interactions and environments. However, their extensive use, particularly in the metaverse's immersive platforms, raises significant privacy concerns. This paper analyzes existing privacy issues in LLMs, vital for both traditional and metaverse applications, and examines protection techniques across the entire life cycle of these models, from training to user deployment. We delve into cryptography, embedding layer encoding, differential privacy and its variants, and adversarial networks, highlighting their relevance in the metaverse context. Specifically, we explore technologies like homomorphic encryption and secure multiparty computation, which are essential for metaverse security. Our discussion on Gaussian differential privacy, Renyi differential privacy, Edgeworth accounting, and the generation of adversarial samples and loss functions emphasizes their importance in the metaverse's dynamic and interactive environments. Lastly, the paper discusses the current research status and future challenges in the security of LLMs within and beyond the metaverse, emphasizing urgent problems and potential areas for exploration. The strong combination of meta-universe and LLMs empowers the meta-universe with artificial intelligence, and we investigate the inherent privacy problems and solutions of LLMs in four ways: cryptography, embedding layer encoding, differential privacy and its variants, and adversarial networks. image</t>
  </si>
  <si>
    <t>1055-7148</t>
  </si>
  <si>
    <t>1099-1190</t>
  </si>
  <si>
    <t>10.1002/nem.2292</t>
  </si>
  <si>
    <t>WOS:001279114800001</t>
  </si>
  <si>
    <t>Peng, Y; Wang, C; Shi, H; Ma, R; Guan, H; Yang, HB</t>
  </si>
  <si>
    <t>Peng, Y.; Wang, C.; Shi, H.; Ma, R.; Guan, H.; Yang, Hanbo</t>
  </si>
  <si>
    <t>Federated Learning With Client Clustering Selection and Quality-Aware Model Aggregation (2024)</t>
  </si>
  <si>
    <t>Federated learning; Training; Industrial Internet of Things; Data models; Computational modeling; Accuracy; Foundation models; Convergence; Servers; Security; Client selection; clustering; federated learning (FL); model aggregation</t>
  </si>
  <si>
    <t>SCHEME</t>
  </si>
  <si>
    <t>The Industrial Internet of Things (IIoT) is revolutionizing industries through device interconnectivity, enabling real-time data collection and transmission for enhanced monitoring, control, and automation. This has led to improvements in predictive maintenance, production optimization, and supply chain management. The integration of machine learning (ML) and deep learning (DL) within IIoT has been accelerated by increased data availability, computational advancements, and algorithmic innovations, with applications ranging from image processing to autonomous vehicles. Foundation models, such as ChatGPT, are becoming prevalent in IIoT for their capabilities in natural language processing and computer vision. However, the growth of IIoT and foundation models presents challenges, including data volume, real-time processing requirements, computational costs, and security vulnerabilities. Federated learning (FL) addresses these issues by allowing distributed model training without raw data transfer, enhancing privacy and security. FL is particularly beneficial for IIoT's decentralized architecture and real-time decision-making needs. Despite the advantages, FL faces challenges, such as data heterogeneity and communication overhead. To overcome these, we propose a FL framework, Fed-CCSQMA, which includes client selection and model aggregation modules to mitigate data heterogeneity's impact. The client selection module uses Principal Component Analysis (PCA) and clustering to select clients with diverse yet representative data, while the model aggregation module assigns weights based on model accuracy to ensure faster global model convergence. We test our proposed framework on FMNIST and CIFAR-10 datasets, with accuracy surpassing baseline methods and faster convergence, demonstrating an improvement in overall generalizability and learning efficiency.</t>
  </si>
  <si>
    <t>10.1109/JIOT.2025.3572901</t>
  </si>
  <si>
    <t>WOS:001579048500020</t>
  </si>
  <si>
    <t>Masud, MT; Koroniotis, N; Keshk, M; Turnbull, B; Kermanshahi, SK; Moustafa, N</t>
  </si>
  <si>
    <t>Masud, Mohammed Tanvir; Koroniotis, Nickolaos; Keshk, Marwa; Turnbull, Benjamin; Kermanshahi, Shabnam Kasra; Moustafa, Nour</t>
  </si>
  <si>
    <t>Generative fuzzer-driven vulnerability detection in the Internet of Things networks</t>
  </si>
  <si>
    <t>Generative Adversarial Networks (GAN); Fuzzing for vulnerability detection; Risk assessment; Deep learning-based fuzzing; Large language Model</t>
  </si>
  <si>
    <t>The Internet of Things (IoT) paradigm has displayed tremendous growth in recent years, driving innovations such as Industry 4.0 and the creation of smart environments that enhance efficiency and asset management and enable intelligent decision-making. However, these benefits come with considerable cybersecurity risks due to inherent vulnerabilities within IoT ecosystems. Introducing potentially vulnerable IoT devices into secure environments, like smart airports, introduces new attack surfaces and vectors for exploitation. Identifying such vulnerabilities is challenging, and while traditional methods like penetration testing and vulnerability identification offer solutions, they often fall short due to IoT's unique data diversity, hardware constraints, and complexity. We propose an intelligent mutation-based fuzzer for IoT vulnerability detection in networks to address these limitations, demonstrated through a smart airport case study. This method leverages Generative Adversarial Network (GAN)-based mutation, utilizing legitimate network communications (i.e., payloads) to produce fuzzed payloads that expose vulnerabilities. Additionally, we incorporate a large language model (LLM)-based risk assessment framework to evaluate the likelihood and impact of identified vulnerabilities, which is crucial for effectively prioritizing threats in interconnected IoT environments. This dual approach of vulnerability detection and LLM-driven risk assessment provides comprehensive insights into IoT security, enabling prioritized response actions. Experiments conducted in the UNSW Canberra IoT testbed confirm that our approach outperforms conventional vulnerability identification methods, offering a scalable solution for effective vulnerability detection and risk prioritization in complex IoT networks.</t>
  </si>
  <si>
    <t>10.1016/j.asoc.2025.112973</t>
  </si>
  <si>
    <t>WOS:001450124700001</t>
  </si>
  <si>
    <t>Tripathi, A; Ecker, B; Boland, P; Ghodoussipour, S; Riedlinger, GR; De, SBJYT</t>
  </si>
  <si>
    <t>Tripathi, Arihant; Ecker, Brett; Boland, Patrick; Ghodoussipour, Saum; Riedlinger, Gregory R.; De, Subhajyoti</t>
  </si>
  <si>
    <t>Oncointerpreter.ai enables interactive, personalized summarization of cancer diagnostics data</t>
  </si>
  <si>
    <t>cancer; large language models; diagnosis; interactive; summarization</t>
  </si>
  <si>
    <t>Objectives: Cancer diagnosis comes as a shock to many patients, and many of them feel unprepared to handle the complexity of the life- changing event, understand technicalities of the diagnostic reports, and fully engage with the clinical team regarding the personalized clinical decision-making. Materials and Methods: We develop Oncointerpreter.ai an interactive resource to offer personalized summarization of clinical cancer genomic and pathological data, and frame questions or address queries about therapeutic opportunities in near-real time via a graphical interface. It is built on the Mistral-7B and Llama-2 7B large language models trained on a local database trained using a large, curated corpus. Results: We showcase its utility with case studies, where Oncointerpreter.ai extracted key clinical and molecular attributes from deidentified pathology and clinical genomics reports, summarized their contextual significance and answered queries on pertinent treatment options. Oncointerpreter also provided personalized summary of currently active clinical trials that match the patients' disease status, their selection criteria, and geographic locations. Benchmarking and comparative assessment indicated that the model responses were generally consistent, and hallucination, ie, factually incorrect or nonsensical response was rare; treatment- and outcome related queries led to context-aware responses, and response time correlated with verbosity. Discussion: The choice of model and domain-specific training also affected the response quality. Conclusion: Oncointerpreter.ai can aid the existing clinical care with interactive, individualized summarization of diagnostics data to promote informed dialogs with the patients with new cancer diagnoses.</t>
  </si>
  <si>
    <t>NOV 13</t>
  </si>
  <si>
    <t>10.1093/jamia/ocae284</t>
  </si>
  <si>
    <t>WOS:001354233600001</t>
  </si>
  <si>
    <t>Hussain, I; Rizvi, MR; Abbas, Z; Cheema, AN; Almanjahie, IM</t>
  </si>
  <si>
    <t>Hussain, Ijaz; Rizvi, Muhammad Rizwan; Abbas, Zain; Cheema, Ammara Nawaz; Almanjahie, Ibrahim M.</t>
  </si>
  <si>
    <t>MUST: An Explainable AI-Based Framework for Multilingual Hate Speech Detection</t>
  </si>
  <si>
    <t>Hate speech; Social networking (online); Multilingual; Transfer learning; Web sites; Video on demand; Explainable AI; Accuracy; Transformers; Training; Urdu hate speech; Roman-Urdu hate speech; transfer learning; explainable AI; low-resource language; multilingual hate speech; cyber bullying; low resource language; large language model; machine learning; text analysis; cross lingual processing; natural language processing</t>
  </si>
  <si>
    <t>A significant challenge to the society harmony, and safety has surfaced due to the widespread hatred content on diverse social media platforms. This work introduces an explainable AI framework for multilingual hate speech detection system, capable of classifying Urdu, Roman Urdu, and English hate speeches. It helps to counter, and prevent the growing challenge of online toxicity in multilingual societies such as Pakistani society. It deals with the issue of abusive language detection in code-mixed, and transliterated text, a common phenomenon in South Asia digital traffic. Previous research was mainly focused to high-resource languages, and the work on low-resource languages such as Urdu, and Roman Urdu is often neglected. The proposed method MUST: An explainable AI-based framework for Multilingual hate Speech Detection is built using fine tuning of fundamental large language models. These models are fine tuned on novel multilingual dataset to classify text into multi class classification. A novel dataset is constructed from three representative social media plate forms. Then, labeled by human annotators, and is preprocessed. By incorporating explainable artificial intelligence principles, we enhance user trust, and facilitate better understanding of the AI's reasoning process. MUST performed well by achieving 95.79% accuracy, precision, recall, and F1 score. It enhances automated moderation, providing a scalable solution to detect harmful online content, and foster safer, more inclusive digital environments across various languages on social media platforms.</t>
  </si>
  <si>
    <t>10.1109/ACCESS.2025.3629527</t>
  </si>
  <si>
    <t>WOS:001631894000022</t>
  </si>
  <si>
    <t>Kwon, W</t>
  </si>
  <si>
    <t>Kwon, Wooseok</t>
  </si>
  <si>
    <t>Aspect-based sentiment analysis through zero-shot text classification and impact-asymmetry analysis</t>
  </si>
  <si>
    <t>INTERNATIONAL JOURNAL OF HOSPITALITY MANAGEMENT</t>
  </si>
  <si>
    <t>Aspect-based sentiment analysis; Zero-shot learning; Large language model; Kano model; Impact-asymmetry analysis; User-generated content</t>
  </si>
  <si>
    <t>QUALITY ATTRIBUTES; AGREEMENT; REVIEWS</t>
  </si>
  <si>
    <t>This study proposes innovative methods integrating aspect-based sentiment analysis (ABSA) using zero-shot text classification (ZSTC) into the impact-asymmetry analysis. Although ABSA is essential to enrich a thorough understanding of customer behavior, applying it to hospitality and tourism management is challenging because matching sentiment valence with an aspect category is complicated, and annotated datasets are scarce. The ZSTC suggested by this study leverages pre-trained large language models and addresses these challenges in hospitality and tourism management contexts. Furthermore, impact-asymmetry analysis based on the Kano model investigates the asymmetric relationships between the identified aspects and customer satisfaction. It classifies them into satisfiers, dissatisfiers, or hybrids and prioritizes them to support managerial decision-making. A case study analyzing TripAdvisor reviews during the COVID-19 pandemic is provided to demonstrate the usefulness of the proposed methodology. This study's findings offer theoretical and practical contributions to the academic and business sectors.</t>
  </si>
  <si>
    <t>0278-4319</t>
  </si>
  <si>
    <t>1873-4693</t>
  </si>
  <si>
    <t>10.1016/j.ijhm.2025.104397</t>
  </si>
  <si>
    <t>WOS:001566988900001</t>
  </si>
  <si>
    <t>Butt, S; Daruich, SDN; Alvarado-Uribe, J; Ceballos, HG</t>
  </si>
  <si>
    <t>Butt, Sabur; Daruich, Sandra Dennis Nunez; Alvarado-Uribe, Joanna; Ceballos, Hector Gibran</t>
  </si>
  <si>
    <t>Cutting-edge Technologies for Analyzing Student Feedback to Inform Institutional Decision-making in Higher Education</t>
  </si>
  <si>
    <t>FORESIGHT AND STI GOVERNANCE</t>
  </si>
  <si>
    <t>aspect-based sentiment analysis (ABSA); student evaluations of teaching (SET); opinion segmentation; multi-label classification; large language models (LLMs); few-shot chain of thought (CoT)</t>
  </si>
  <si>
    <t>Aspect-Based Sentiment Analysis (ABSA) has emerged as a powerful tool for deriving actionable insights from qualitative feedback in education. This study presents a multitask learning framework to analyze student evaluations of teaching (SET) by extracting and classifying opinions on specific aspects of teaching performance. Leveraging a novel and first open-sourced dataset of 6,025 Spanish-language comments, the proposed framework integrates opinion segmentation and multi-label classification to capture nuanced feedback on nine predefined aspects, such as &lt;&lt; Teaching Quality &gt;&gt; and &lt;&lt; Classroom Atmosphere.&gt;&gt; Applications of this approach extend beyond SET analysis, offering valuable insights for course improvement, faculty assessment, and institutional decision-making in higher education. The paper compares the performance of fine-tuned transformers (BERT and RoBERTa) with large language models (LLMs), including GPT-4o, GPT4o-mini, and LLama-3.1-8B, using both finetuned and Few-shot Chain of Thought (CoT) methodologies. Evaluation results reveal that fine-tuned GPT-4o outperformed all other models, achieving a weighted F1-score of 0.69 for positive aspects and 0.79 for negative aspects, while Few-shot CoT approaches demonstrated competitive performance with greater scalability and interpretability. Our findings demonstrate the framework's potential to transform unstructured feedback into structured insights, aiding educators and institutions in enhancing teaching quality and student engagement.</t>
  </si>
  <si>
    <t>1995-459X</t>
  </si>
  <si>
    <t>2500-2597</t>
  </si>
  <si>
    <t>10.17323/fstig.2025.28047</t>
  </si>
  <si>
    <t>WOS:001649888100004</t>
  </si>
  <si>
    <t>Tao, Y; Yang, RP; Wen, YQ; Zhong, YH; Jiao, KG; Gu, XL</t>
  </si>
  <si>
    <t>Tao, Yu; Yang, Ruopeng; Wen, Yongqi; Zhong, Yihao; Jiao, Kaige; Gu, Xiaolei</t>
  </si>
  <si>
    <t>LLM-KE: An Ontology-Aware LLM Methodology for Military Domain Knowledge Extraction</t>
  </si>
  <si>
    <t>Knowledge extraction; natural language processing; knowledge graph; large language model</t>
  </si>
  <si>
    <t>Since Google introduced the concept of Knowledge Graphs (KGs) in 2012, their construction technologies have evolved into a comprehensive methodological framework encompassing knowledge acquisition, extraction, representation, modeling, fusion, computation, and storage. Within this framework, knowledge extraction, as the core component, directly determines KG quality. In military domains, traditional manual curation models face efficiency constraints due to data fragmentation, complex knowledge architectures, and confidentiality protocols. Meanwhile, crowdsourced ontology construction approaches from general domains prove non-transferable, while human-crafted ontologies struggle with generalization deficiencies. To address these challenges, this study proposes an Ontology-Aware LLM Methodology for Military Domain Knowledge Extraction (LLM-KE). This approach leverages the deep semantic comprehension capabilities of Large Language Models (LLMs) to simulate human experts' cognitive processes in crowdsourced ontology construction, enabling automated extraction of military textual knowledge. It concurrently enhances knowledge processing efficiency and improves KG completeness. Empirical analysis demonstrates that this method effectively resolves scalability and dynamic adaptation challenges in military KG construction, establishing a novel technological pathway for advancing military intelligence development.</t>
  </si>
  <si>
    <t>10.32604/cmc.2025.068670</t>
  </si>
  <si>
    <t>WOS:001622446300001</t>
  </si>
  <si>
    <t>Zhang, JH; Zhang, ZY; Wen, JQ</t>
  </si>
  <si>
    <t>Zhang, Junhuan; Zhang, Ziyan; Wen, Jiaqi</t>
  </si>
  <si>
    <t>A multifactor model using large language models and multimodal investor sentiment</t>
  </si>
  <si>
    <t>INTERNATIONAL REVIEW OF ECONOMICS &amp; FINANCE</t>
  </si>
  <si>
    <t>Large language model; Multifactor model; Investor sentiment; Deep learning</t>
  </si>
  <si>
    <t>STOCK-MARKET; PREDICTOR; FINANCE; FUSION; LEVEL; RISK; NEWS; TEXT</t>
  </si>
  <si>
    <t>This study constructs multimodal investor sentiment indices using news and image data from the China News Service, covering the period from January 1, 2017, to December 31, 2024. We employ the RoBERTa model for text-based sentiment measurement and the Google Inception(v3) model for image-based sentiment measurement. We use a multimodal semantic correlation fusion model to integrate textual and visual sentiment features. These sentiment indices are categorised as industry-specific and market-wide investor sentiment, enabling separate analyses of their effects on stock markets. Furthermore, we develop a multifactor stock selection model that incorporates these sentiment indices with other microeconomic factors. Our findings demonstrate that multimodal sentiment analysis yields superior predictive accuracy. Industry-specific investor sentiment influences stock market returns, which in turn exacerbates changes in market-wide investor sentiment. Incorporating industry-specific sentiment into the multifactor stock selection model enhances portfolio returns, and combining market-wide sentiment with timing strategies further improves performance.</t>
  </si>
  <si>
    <t>1059-0560</t>
  </si>
  <si>
    <t>1873-8036</t>
  </si>
  <si>
    <t>10.1016/j.iref.2025.104281</t>
  </si>
  <si>
    <t>WOS:001525041300009</t>
  </si>
  <si>
    <t>Optimizing Airline Review Sentiment Analysis: A Comparative Analysis of LLaMA and BERT Models through Fine-Tuning and Few-Shot Learning</t>
  </si>
  <si>
    <t>Sentiment classification; review sentiment analysis; user-generated content; domain adaptation; cus- tomer satisfaction; LLaMA model; BERT model; airline reviews; LLM classification; fine-tuning</t>
  </si>
  <si>
    <t>SERVICE QUALITY</t>
  </si>
  <si>
    <t>In the rapidly evolving landscape of natural language processing (NLP) and sentiment analysis, improving the accuracy and efficiency of sentiment classification models is crucial. This paper investigates the performance of two advanced models, the Large Language Model (LLM) LLaMA model and NLP BERT model, in the context of airline review sentiment analysis. Through fine-tuning, domain adaptation, and the application of few-shot learning, the study addresses the subtleties of sentiment expressions in airline-related text data. Employing predictive modeling and comparative analysis, the research evaluates the effectiveness of Large Language Model Meta AI (LLaMA) and Bidirectional Encoder Representations from Transformers (BERT) in capturing sentiment intricacies. Fine-tuning, including domain adaptation, enhances the models' performance in sentiment classification tasks. Additionally, the study explores the potential of few-shot learning to improve model generalization using minimal annotated data for targeted sentiment analysis. By conducting experiments on a diverse airline review dataset, the research quantifies the impact of fine-tuning, domain adaptation, and few-shot learning on model performance, providing valuable insights for industries aiming to predict recommendations and enhance customer satisfaction through a deeper understanding of sentiment in user-generated content (UGC). This research contributes to refining sentiment analysis models, ultimately fostering improved customer satisfaction in the airline industry.</t>
  </si>
  <si>
    <t>10.32604/cmc.2025.059567</t>
  </si>
  <si>
    <t>WOS:001435460300001</t>
  </si>
  <si>
    <t>Martes, DO; Kachouie, NN</t>
  </si>
  <si>
    <t>Ortiz Martes, Dianeliz; Kachouie, Nezamoddin N.</t>
  </si>
  <si>
    <t>Document Encoding Effects on Large Language Model Response Time and Consistency</t>
  </si>
  <si>
    <t>Large Language Models (LLMs); document file encoding; Chat GPT-4; semantic readability; LLM performance; linguistic complexity</t>
  </si>
  <si>
    <t>Large language models (LLMs) such as GPT-4 are increasingly integrated into research, industry, and enterprise workflows, yet little is known about how input file formats shape their outputs. While prior work has shown that formats can influence response time, the effects on readability, complexity, and semantic stability remain underexplored. This study systematically evaluates GPT-4's responses to 100 queries drawn from 50 academic papers, each tested across four formats, TXT, DOCX, PDF, and XML, yielding 400 question-answer pairs. We have assessed two aspects of the responses to the queries: first, efficiency quantified by response time and answer length, and second, linguistic style measured by readability indices, sentence length, word length, and lexical diversity where semantic similarity was considered to control for preservation of semantic context. Results show that readability and semantic content remain stable across formats, with no significant differences in Flesch-Kincaid or Dale-Chall scores, but response time is sensitive to document encoding, with XML consistently outperforming PDF, DOCX, and TXT in the initial experiments conducted in February 2025. Verbosity, rather than input size, emerged as the main driver of latency. However, follow-up replications conducted several months later (October 2025) under the updated Microsoft Copilot Studio (GPT-4) environment showed that these latency differences had largely converged, indicating that backend improvements, particularly in GPT-4o's document-ingestion and parsing pipelines, have reduced the earlier disparities. These findings suggest that the file format matters and affects how fast the LLMs respond, although its influence may diminish as enterprise-level AI systems continue to evolve. Overall, the content and semantics of the responses are fairly similar and consistent across different file formats, demonstrating that LLMs can handle diverse encodings without compromising response quality. For large-scale applications, adopting structured formats such as XML or semantically tagged HTML can still yield measurable throughput gains in earlier system versions, whereas in more optimized environments, such differences may become minimal.</t>
  </si>
  <si>
    <t>10.3390/computers14110493</t>
  </si>
  <si>
    <t>WOS:001623510200001</t>
  </si>
  <si>
    <t>Sharma, A; Tripathi, AK</t>
  </si>
  <si>
    <t>Sharma, Amol; Tripathi, Anil Kumar</t>
  </si>
  <si>
    <t>Evaluating user story quality with LLMs: a comparative study</t>
  </si>
  <si>
    <t>User stories; Quality User Story (QUS) framework; Quality criteria (syntactic; semantic; pragmatic); Large Language Models (LLMs); Context minimal prompting; Context rich prompting</t>
  </si>
  <si>
    <t>Evaluating the quality of user stories is crucial for the success of agile software development. This paper investigates the efficacy of Large Language Models (LLMs) in assessing the quality of individual user stories using the Quality User Story (QUS) framework, which categorizes quality criteria into syntactic, semantic, and pragmatic dimensions. Leveraging three state-of-the-art LLMs-GPT-4o, GPT-4-Turbo, and GPT-3.5-Turbo-this study employs two prompting strategies: context minimal and context rich, to gauge performance across eight user story quality criteria. To ensure robust validation, we generated 960 user stories using alternative LLMs (Gemini and Meta AI's LLaMA3), which were then assessed for quality by 69 postgraduate students. The quality assessments were further verified by a team comprising a research scholar and a senior postgraduate student. The evaluation of these 960 user stories by the three LLMs under study reveal significant insights into their relative strengths and weaknesses. The results demonstrate that GPT-4o and GPT-4-Turbo exhibit superior performance in evaluating user stories, particularly excelling in syntactic and pragmatic criteria with minimal impact from additional contextual details. Conversely, GPT-3.5-Turbo reveals noticeable limitations, struggling to maintain effectiveness, particularly when handling richer contextual inputs. This research marks a pivotal step towards automated quality assessment in requirements engineering, highlighting both the potential and areas for improvement in leveraging LLMs for robust user story evaluation.</t>
  </si>
  <si>
    <t>10.1007/s10844-025-00939-3</t>
  </si>
  <si>
    <t>WOS:001471174500001</t>
  </si>
  <si>
    <t>Palagin, O; Kaverinskiy, V; Malakhov, K; Petrenko, M</t>
  </si>
  <si>
    <t>Palagin, O.; Kaverinskiy, V.; Malakhov, K.; Petrenko, M.</t>
  </si>
  <si>
    <t>Fundamentals of the Integrated Use of Neural Network and Ontolinguistic Paradigms: A Comprehensive Approach</t>
  </si>
  <si>
    <t>CYBERNETICS AND SYSTEMS ANALYSIS</t>
  </si>
  <si>
    <t>transdisciplinary scientific research; ontology; ontological engineering; ontology-driven information system; LLM-system; ChatGPT; MedRehabBot; prompt engineering; Chatbot</t>
  </si>
  <si>
    <t>The paper presents an integrated approach that combines neural network and ontolinguistic paradigms. The method encompasses methodological underpinnings, information technology, and the MedRehabBot system. Collectively, they embody the core principles of meta-learning and structured prompts, ultimately enhancing the efficiency of information system interaction with Chatbots and information retrieval rooted in ontologies. The method also offers the flexibility to adapt the MedRehabBot system for utilization within different Large Language Model (LLM) systems.</t>
  </si>
  <si>
    <t>1060-0396</t>
  </si>
  <si>
    <t>1573-8337</t>
  </si>
  <si>
    <t>10.1007/s10559-024-00652-z</t>
  </si>
  <si>
    <t>Computer Science; Mathematics</t>
  </si>
  <si>
    <t>WOS:001157140200003</t>
  </si>
  <si>
    <t>Aljohani, B; Aljuhani, A; Alsanoosy, T</t>
  </si>
  <si>
    <t>Aljohani, Bushra; Aljuhani, Abdulmajeed; Alsanoosy, Tawfeeq</t>
  </si>
  <si>
    <t>Enhancing Agile Requirements Change Management: Integrating LLMs with Fuzzy Best-Worst Method for Decision Support</t>
  </si>
  <si>
    <t>-Fuzzy Best-Worst Method; Large Language Models; Agile Requirements Change Management; Global Software opment</t>
  </si>
  <si>
    <t>GLOBAL SOFTWARE-DEVELOPMENT; ABSOLUTE ERROR MAE; RMSE</t>
  </si>
  <si>
    <t>Agile Requirements Change Management (ARCM) in Global Software Development (GSD) posed significant challenges due to the dynamic nature of project requirements and the complexities of distributed team coordination. One approach used to mitigate these challenges and ensure efficient collaboration the identification and prioritization of success factors. Traditional Multi-Criteria Decision-Making methods, such as the Best-Worst Method (BWM), had been employed successfully to prioritize success factors. However, these methods often failed to capture the inherent uncertainties of decision-making in a GSD. To address this limitation, this study integrated Large Language Models (LLMs) with the Fuzzy Best-Worst Method (FBWM) to enhance prioritization accuracy and decision support. We propose a model for comparing the prioritization outcomes of human expert assessments and LLM-generated decisions evaluate the consistency and effectiveness of machine-generated decisions relative to those made by human experts. The findings indicate that the LLM-driven FBWM exhibit high reliability in mirroring expert judgments, demonstrating the potential LLMs to support strategic decision-making in ARCM. This study contributed to the evolving landscape of AI-driven project management by providing empirical evidence of LLMs' utility improving ARCM for GSD.</t>
  </si>
  <si>
    <t>WOS:001462751600001</t>
  </si>
  <si>
    <t>Peters, H; Matz, SC</t>
  </si>
  <si>
    <t>Peters, Heinrich; Matz, Sandra C.</t>
  </si>
  <si>
    <t>Large language models can infer psychological dispositions of social media users</t>
  </si>
  <si>
    <t>PNAS NEXUS</t>
  </si>
  <si>
    <t>LLMs; ChatGPT; GPT-4; personality; Big Five</t>
  </si>
  <si>
    <t>PERSONALITY JUDGMENTS; GENDER-DIFFERENCES; FACEBOOK PROFILES; TRAITS; PREFERENCES; CONSENSUS</t>
  </si>
  <si>
    <t>Large language models (LLMs) demonstrate increasingly human-like abilities across a wide variety of tasks. In this paper, we investigate whether LLMs like ChatGPT can accurately infer the psychological dispositions of social media users and whether their ability to do so varies across socio-demographic groups. Specifically, we test whether GPT-3.5 and GPT-4 can derive the Big Five personality traits from users' Facebook status updates in a zero-shot learning scenario. Our results show an average correlation of r=0.29 (range=[0.22,0.33]) between LLM-inferred and self-reported trait scores-a level of accuracy that is similar to that of supervised machine learning models specifically trained to infer personality. Our findings also highlight heterogeneity in the accuracy of personality inferences across different age groups and gender categories: predictions were found to be more accurate for women and younger individuals on several traits, suggesting a potential bias stemming from the underlying training data or differences in online self-expression. The ability of LLMs to infer psychological dispositions from user-generated text has the potential to democratize access to cheap and scalable psychometric assessments for both researchers and practitioners. On the one hand, this democratization might facilitate large-scale research of high ecological validity and spark innovation in personalized services. On the other hand, it also raises ethical concerns regarding user privacy and self-determination, highlighting the need for stringent ethical frameworks and regulation.</t>
  </si>
  <si>
    <t>2752-6542</t>
  </si>
  <si>
    <t>JUN 28</t>
  </si>
  <si>
    <t>pgae231</t>
  </si>
  <si>
    <t>10.1093/pnasnexus/pgae231</t>
  </si>
  <si>
    <t>Science &amp; Technology - Other Topics; Social Sciences - Other Topics</t>
  </si>
  <si>
    <t>WOS:001257228900001</t>
  </si>
  <si>
    <t>Bon, J; Cellan-Jones, A; Crawford, A; Norden, O; Walker, M; Westrik, D</t>
  </si>
  <si>
    <t>Bon, Julie; Cellan-Jones, Adam; Crawford, Alan; Norden, Oliver; Walker, Mike; Westrik, Daniel</t>
  </si>
  <si>
    <t>Recent Developments at the CMA: 2023-24</t>
  </si>
  <si>
    <t>REVIEW OF INDUSTRIAL ORGANIZATION</t>
  </si>
  <si>
    <t>Competition authority; Mergers; Markets; Dynamic market; AI foundation models; Econometrics</t>
  </si>
  <si>
    <t>PRICE-DISCRIMINATION; DEMAND</t>
  </si>
  <si>
    <t>This article discusses three important pieces of work that the Competition and Markets Authority (CMA) completed in the last year. First, we discuss the Microsoft / Activision Blizzard merger inquiry. We focus on the theory of harm that led to the CMA's original prohibition decision: the input foreclosure of rival downstream cloud gaming platforms. We consider some of the challenges that were posed by assessing competition in a nascent market. Second, we summarise some of the findings from the CMA's initial review into AI Foundation Models (FM). We detail the FM value chain, the economic characteristics of FMs, and the role of vertical integration and strategic partnerships in the FM ecosystem. Third, we describe the CMA's econometric analysis to estimate diversion ratios between different brands of dishwashers as part of the Arcelik/Whirlpool EMEA merger inquiry. This is an interesting example of an econometric analysis in a competition case because it was the first time in several years that the CMA used a consumer demand model; and the application of the model was novel because it relied on primary data that are collected directly from retailers.</t>
  </si>
  <si>
    <t>0889-938X</t>
  </si>
  <si>
    <t>1573-7160</t>
  </si>
  <si>
    <t>10.1007/s11151-024-09996-4</t>
  </si>
  <si>
    <t>WOS:001329056700001</t>
  </si>
  <si>
    <t>Ibrahim, A; Khalili, A; Arabi, M; Sattar, A; Hosseini, A; Serag, A</t>
  </si>
  <si>
    <t>Ibrahim, Ahmed; Khalili, Abdullah; Arabi, Maryam; Sattar, Aamenah; Hosseini, Abdullah; Serag, Ahmed</t>
  </si>
  <si>
    <t>MERA: Medical Electronic Records Assistant</t>
  </si>
  <si>
    <t>Artificial Intelligence (AI); large language models (LLMs); Retrieval-Augmented Generation (RAG); record summarization; healthcare; medicine</t>
  </si>
  <si>
    <t>The increasing complexity and scale of electronic health records (EHRs) demand advanced tools for efficient data retrieval, summarization, and comparative analysis in clinical practice. MERA (Medical Electronic Records Assistant) is a Retrieval-Augmented Generation (RAG)-based AI system that addresses these needs by integrating domain-specific retrieval with large language models (LLMs) to deliver robust question answering, similarity search, and report summarization functionalities. MERA is designed to overcome key limitations of conventional LLMs in healthcare, such as hallucinations, outdated knowledge, and limited explainability. To ensure both privacy compliance and model robustness, we constructed a large synthetic dataset using state-of-the-art LLMs, including Mistral v0.3, Qwen 2.5, and Llama 3, and further validated MERA on de-identified real-world EHRs from the MIMIC-IV-Note dataset. Comprehensive evaluation demonstrates MERA's high accuracy in medical question answering (correctness: 0.91; relevance: 0.98; groundedness: 0.89; retrieval relevance: 0.92), strong summarization performance (ROUGE-1 F1-score: 0.70; Jaccard similarity: 0.73), and effective similarity search (METEOR: 0.7-1.0 across diagnoses), with consistent results on real EHRs. The similarity search module empowers clinicians to efficiently identify and compare analogous patient cases, supporting differential diagnosis and personalized treatment planning. By generating concise, contextually relevant, and explainable insights, MERA reduces clinician workload and enhances decision-making. To our knowledge, this is the first system to integrate clinical question answering, summarization, and similarity search within a unified RAG-based framework.</t>
  </si>
  <si>
    <t>JUL 30</t>
  </si>
  <si>
    <t>10.3390/make7030073</t>
  </si>
  <si>
    <t>WOS:001580477800001</t>
  </si>
  <si>
    <t>Bao, WZD; Cao, YT; Yang, Y; Che, HJ; Huang, JJ; Wen, SP</t>
  </si>
  <si>
    <t>Bao, Wuzhida; Cao, Yuting; Yang, Yin; Che, Hangjun; Huang, Junjian; Wen, Shiping</t>
  </si>
  <si>
    <t>Data-driven stock forecasting models based on neural networks: A review</t>
  </si>
  <si>
    <t>Stock forecast; Finance; Financial market; Neural network; Deep learning</t>
  </si>
  <si>
    <t>TIME-SERIES; MARKET PREDICTION; HYBRID MODEL; PRICES; VOLATILITY; ARIMA; INDEX; LSTM; ANN</t>
  </si>
  <si>
    <t>As a core branch of financial forecasting, stock forecasting plays a crucial role for financial analysts, investors, and policymakers in managing risks and optimizing investment strategies, significantly enhancing the efficiency and effectiveness of economic decision-making. With the rapid development of information technology and computer science, data-driven neural network technologies have increasingly become the mainstream method for stock forecasting. Although recent review studies have provided a basic introduction to deep learning methods, they still lack detailed discussion on network architecture design and innovative details. Additionally, the latest research on emerging large language models and neural network structures has yet to be included in existing review literature. In light of this, this paper comprehensively reviews the literature on data- driven neural networks in the field of stock forecasting from 2015 to 2023, discussing various classic and innovative neural network structures, including Recurrent Neural Networks (RNNs), Convolutional Neural Networks (CNNs), Transformers, Graph Neural Networks (GNNs), Generative Adversarial Networks (GANs), and Large Language Models (LLMs). It analyzes the application and achievements of these models in stock market forecasting. Moreover, the article also outlines the commonly used datasets and various evaluation metrics in the field of stock forecasting, further exploring unresolved issues and potential future research directions, aiming to provide clear guidance and reference for researchers in stock forecasting.</t>
  </si>
  <si>
    <t>10.1016/j.inffus.2024.102616</t>
  </si>
  <si>
    <t>WOS:001295908300001</t>
  </si>
  <si>
    <t>Boka, TF; Niu, ZD; Tewolde, TT; Duma, R</t>
  </si>
  <si>
    <t>Boka, Tesfaye Fenta; Niu, Zhendong; Tewolde, Tekie Tsegay; Duma, Ramadhani</t>
  </si>
  <si>
    <t>Domain-aware self-prompting for cross-domain sequential recommendations with natural language explanations</t>
  </si>
  <si>
    <t>Cross-domain sequential recommendation; Natural language explanations; Contrastive learning; Meta-learning</t>
  </si>
  <si>
    <t>Cross-domain sequential recommendation faces persistent challenges in addressing domain shift, data sparsity, and the trade-off between performance, efficiency, and explainability. Existing methods often struggle with inefficient cross-domain adaptation or fail to generate coherent explanations that bridge user preferences across domains. To overcome these limitations, we propose Domain-Aware Self-Prompting (DASP), a novel framework that integrates cross-domain recommendation with natural language explanation generation. DASP introduces three key innovations: (1) a domain-invariant self-prompt generator that captures shared user preferences via contrastive alignment across domains; (2) lightweight domain adapters with meta-learned initialization for parameter-efficient adaptation to target domains; and (3) a cross-domain explanation generator that grounds recommendations in semantically aligned multi-domain prompts using large language models. Extensive experiments on Amazon Movie-Book and Food-Kitchen datasets demonstrate DASP's superiority, achieving 10.7% and 10.5% improvements in HR@10 and NDCG@10 over state-of-the-art baselines on the Movie-Book dataset, while reducing training time by 54% compared to full large language models fine-tuning approaches. Qualitative and quantitative analyses validate DASP's ability to generate interpretable explanations that link cross-domain preferences, offering a scalable and trustworthy solution for cross-domain sequential recommendation. Our work bridges critical gaps in efficiency, adaptability, and explainability for real-world multi-domain recommendation systems.</t>
  </si>
  <si>
    <t>10.1016/j.neunet.2025.107969</t>
  </si>
  <si>
    <t>WOS:001582002900001</t>
  </si>
  <si>
    <t>Félix, LGS; Cunha, W; de Andrade, CMV; Gonçalves, MA; Almeida, JM</t>
  </si>
  <si>
    <t>Felix, Lucas G. S.; Cunha, Washington; de Andrade, Claudio M. V.; Goncalves, Marcos Andre; Almeida, Jussara M.</t>
  </si>
  <si>
    <t>Why are you traveling? Inferring trip profiles from online reviews and domain-knowledge</t>
  </si>
  <si>
    <t>Trip purpose; Tourism; Machine learning; Large language models; Text classification</t>
  </si>
  <si>
    <t>PURPOSE; TOURISM; MODELS</t>
  </si>
  <si>
    <t>This paper addresses the task of inferring trip profiles (TPs), which consists of determining the profile of travelers engaged in a particular trip given a set of possible categories. TPs may include working trips, leisure journeys with friends, or family vacations. Travelers with different TPs typically have varied plans regarding destinations and timing. TP inference may provide significant insights for numerous tourism-related services, such as geo-recommender systems and tour planning. We focus on TP inference using TripAdvisor, a prominent tourism-centric social media platform, as our data source. Our goal is to evaluate how effectively we can automatically discern the TP from a user review on this platform. A user review encompasses both textual feedback and domain-specific data (such as a user's previous visits to the location), which are crucial for accurately characterizing the trip. To achieve this, we assess various feature sets (including text and domain-specific) and implement advanced machine learning models, such as neural Transformers and open- source Large Language Models (Llama 2, Bloom). We examine two variants of the TP inference task-binary and multi-class. Surprisingly, our findings reveal that combining domain-specific features with TF-IDF-based representation in an LGBM model performs as well as more complex Transformer and LLM models, while being much more efficient and interpretable.</t>
  </si>
  <si>
    <t>10.1016/j.osnem.2024.100296</t>
  </si>
  <si>
    <t>WOS:001419681400001</t>
  </si>
  <si>
    <t>Fan, R; He, TT; Chen, MH; Zhang, MY; Tu, XH; Dong, M</t>
  </si>
  <si>
    <t>Fan, Rui; He, Tingting; Chen, Menghan; Zhang, Mengyuan; Tu, Xinhui; Dong, Ming</t>
  </si>
  <si>
    <t>Dual Causes Generation Assisted Model for Multimodal Aspect-Based Sentiment Classification</t>
  </si>
  <si>
    <t>Task analysis; Cognition; Analytical models; Sentiment analysis; Predictive models; Data models; Chatbots; Cause analysis; large language models (LLMs); multimodal aspect-based sentiment analysis; sentiment analysis</t>
  </si>
  <si>
    <t>FUSION NETWORK</t>
  </si>
  <si>
    <t>Multimodal aspect-based sentiment classification (MABSC) aims to identify the sentiment polarity toward specific aspects in multimodal data. It has gained significant attention with the increasing use of social media platforms. Existing approaches primarily focus on analyzing the content of posts to predict sentiment. However, they often struggle with limited contextual information inherent in social media posts, hindering accurate sentiment detection. To overcome this issue, we propose a novel multimodal dual cause analysis (MDCA) method to track the underlying causes behind expressed sentiments. MDCA can provide additional reasoning cause (RC) and direct cause (DC) to explain why users express certain emotions, thus helping improve the accuracy of sentiment prediction. To develop a model with MDCA, we construct MABSC datasets with RC and DC by utilizing large language models (LLMs) and visual-language models. Subsequently, we devise a multitask learning framework that leverages the datasets with cause data to train a small generative model, which can generate RC and DC, and predict the sentiment assisted by these causes. Experimental results on MABSC benchmark datasets demonstrate that our MDCA model achieves the state-of-the-art performance, and the small fine-tuned model exhibits superior adaptability to MABSC compared to large models like ChatGPT and BLIP-2.</t>
  </si>
  <si>
    <t>10.1109/TNNLS.2024.3415028</t>
  </si>
  <si>
    <t>WOS:001258809100001</t>
  </si>
  <si>
    <t>Alsuwaylimi, AA; Alenezi, ZS</t>
  </si>
  <si>
    <t>Alsuwaylimi, Amjad A.; Alenezi, Zaid S.</t>
  </si>
  <si>
    <t>Leveraging Transformers for Detection of Arabic Cyberbullying on Social Media: Hybrid Arabic Transformers</t>
  </si>
  <si>
    <t>Cyberbullying; transformers; pre-trained models; arabic cyberbullying detection; deep learning</t>
  </si>
  <si>
    <t>Cyberbullying is a remarkable issue in the Arabic-speaking world, affecting children, organizations, and businesses. Various efforts have been made to combat this problem through proposed models using machine learning (ML) and deep learning (DL) approaches utilizing natural language processing (NLP) methods and by proposing relevant datasets. However, most of these endeavors focused predominantly on the English language, leaving a substantial gap in addressing Arabic cyberbullying. Given the complexities of the Arabic language, transfer learning techniques and transformers present a promising approach to enhance the detection and classification of abusive content by leveraging large and pretrained models that use a large dataset. Therefore, this study proposes a hybrid model using transformers trained on extensive Arabic datasets. It then fine-tunes the hybrid model on a newly curated Arabic cyberbullying dataset collected from social media platforms, in particular Twitter. Additionally, the following two hybrid transformer models are introduced: the first combines CAmelid Morphologically-aware pretrained Bidirectional Encoder Representations from Transformers (CAMeLBERT) with Arabic Generative Pre-trained Transformer 2 (AraGPT2) and the second combines Arabic BERT (AraBERT) with Cross-lingual Language Model RoBERTa (XLM-R). Two strategies, namely, feature fusion and ensemble voting, are employed to improve the model performance accuracy. Experimental results, measured through precision, recall, F1-score, accuracy, and Area Under the Curve-Receiver Operating Characteristic (AUC-ROC), demonstrate that the combined CAMeLBERT and AraGPT2 models using feature fusion outperformed traditional DL models, such as Long Short-Term Memory (LSTM) and Bidirectional Long Short-Term Memory (BiLSTM), as well as other independent Arabic-based transformer models.</t>
  </si>
  <si>
    <t>10.32604/cmc.2025.061674</t>
  </si>
  <si>
    <t>WOS:001476974600001</t>
  </si>
  <si>
    <t>Jie, C; Wang, ZG; Xu, D; Shen, W</t>
  </si>
  <si>
    <t>Jie, Cheng; Wang, Zigeng; Xu, Da; Shen, Wei</t>
  </si>
  <si>
    <t>Multi-objective cluster based bidding algorithm for E-commerce search engine marketing system</t>
  </si>
  <si>
    <t>FRONTIERS IN BIG DATA</t>
  </si>
  <si>
    <t>clustering; intention embedding; SEM bidding; multi-objective; optimization</t>
  </si>
  <si>
    <t>Search engine marketing (SEM) is an important channel for the success of e-commerce. With the increasing scale of catalog items, designing an efficient modern industrial-level bidding system usually requires overcoming the following hurdles: 1. the relevant bidding features are of high sparsity, preventing an accurate prediction of the performances of many ads. 2. the large volume of bidding requests induces a significant computation burden to offline and online serving. In this article, we introduce an end-to-end structure of a multi-objective bidding system for search engine marketing for Walmart e-commerce, which successfully handles tens of millions of bids each day. The system deals with multiple business demands by constructing an optimization model targeting a mixture of metrics. Moreover, the system extracts the vector representations of ads via the Transformer model. It leverages their geometric relation to building collaborative bidding predictions via clustering to address performance features' sparsity issues. We provide theoretical and numerical analyzes to discuss how we find the proposed system as a production-efficient solution.</t>
  </si>
  <si>
    <t>2624-909X</t>
  </si>
  <si>
    <t>SEP 26</t>
  </si>
  <si>
    <t>10.3389/fdata.2022.966982</t>
  </si>
  <si>
    <t>WOS:000874161000001</t>
  </si>
  <si>
    <t>Zhang, KN; Tsang, YP; Lee, CKM; Wu, CH</t>
  </si>
  <si>
    <t>Zhang, Kening; Tsang, Yung Po; Lee, Carman K. M.; Wu, C. H.</t>
  </si>
  <si>
    <t>Integrating large language models with explainable fuzzy inference systems for trusty steel defect detection</t>
  </si>
  <si>
    <t>PATTERN RECOGNITION LETTERS</t>
  </si>
  <si>
    <t>Fuzzy interfence system (FIS); Steel defect detection; Explainable artificial intelligence (XAI); Black-box model</t>
  </si>
  <si>
    <t>In industrial applications, the complexity of machine learning models often makes their decision-making processes difficult to interpret and lack transparency, particularly in the steel manufacturing sector. Understanding these processes is crucial for ensuring quality control, regulatory compliance, and gaining the trust of stakeholders. To address this issue, this paper proposes LE-FIS, a large language models (LLMs)-based Explainable Fuzzy Inference System to interpret black-box models for steel defect detection. The method introduces a locally trained, globally predicted deep detection approach (LTGP), which segments the image into small parts for local training and then tests on the entire image for steel defect detection. Then, LE-FIS is designed to explain the LTGP by automatically generating rules and membership functions, with a genetic algorithm (GA) used to optimize parameters. Furthermore, state-of-the-art LLMs are employed to interpret the results of LE-FIS, and evaluation metrics are established for comparison and analysis. Experimental results demonstrate that LTGP performs well in defect detection tasks, and LE-FIS supported by LLMs provides a trustworthy and interpretable model for steel defect detection, which enhances transparency and reliability in industrial environments.</t>
  </si>
  <si>
    <t>0167-8655</t>
  </si>
  <si>
    <t>1872-7344</t>
  </si>
  <si>
    <t>10.1016/j.patrec.2025.03.017</t>
  </si>
  <si>
    <t>WOS:001458316000001</t>
  </si>
  <si>
    <t>Gupta, T; Devji, S; Tripathi, AK</t>
  </si>
  <si>
    <t>Gupta, Tapas; Devji, Shridev; Tripathi, Ashish Kumar</t>
  </si>
  <si>
    <t>Investigating the impact of sentiments on stock market using digital proxies: Current trends, challenges, and future directions</t>
  </si>
  <si>
    <t>Stock market prediction; Social media; Digital news; Machine learning; Deep learning; Large language models</t>
  </si>
  <si>
    <t>INVESTOR SENTIMENT; CONSUMER CONFIDENCE; NEURAL-NETWORKS; DAILY HAPPINESS; PROSPECT-THEORY; TRADING VOLUME; PREDICTION; RETURNS; NEWS; COVID-19</t>
  </si>
  <si>
    <t>Social media and online news have emerged as significant sources of market sentiment, influencing stock market dynamics globally. With the growing availability of digital data, the current research focus is on leveraging advanced computational techniques for sentiment-driven stock market prediction. The era of financial forecasting has been revolutionized by integrating cutting-edge technologies such as Machine Learning, Deep Learning, and Large Language Models. In this paper, a comprehensive survey of 108 research articles has been undertaken to explore the recent advancements in these technologies, with a focus on utilizing sentiment data extracted from social media platforms and news sources. The technology-wise state-of-the-art findings, current trends, challenges, and literature gaps in this domain are analyzed, and potential future directions are proposed to address these gaps. Additionally, publicly available benchmark datasets for social media and news sentiment indices are compiled and analyzed, with insights into their limitations and potential improvements. A comparative evaluation of prediction methods across heterogeneous user-generated datasets is performed, identifying the most effective techniques for various data types and problem formulations. Recommendations are offered for selecting suitable techniques based on the nature of the data and the specific problem formulation. By incorporating the latest advancements in the field of sentiment analysis and stock market prediction, this work provides actionable insights for researchers and practitioners, advancing the understanding and development of sentiment-driven financial forecasting.</t>
  </si>
  <si>
    <t>10.1016/j.eswa.2025.127864</t>
  </si>
  <si>
    <t>WOS:001510284300001</t>
  </si>
  <si>
    <t>Krueger, J; Osler, L</t>
  </si>
  <si>
    <t>Krueger, Joel; Osler, Lucy</t>
  </si>
  <si>
    <t>AI gossip</t>
  </si>
  <si>
    <t>Gossip; AI gossip; Technosocial Harms; Large Language Models</t>
  </si>
  <si>
    <t>Generative AI chatbots like OpenAI's ChatGPT and Google's Gemini routinely make things up. They hallucinate historical events and figures, legal cases, academic papers, non-existent tech products and features, biographies, and news articles. Recently, some have argued that these hallucinations are better understood as bullshit. Chatbots produce streams of text that look truth-apt without concern for the truthfulness of what this text says. But can they also gossip? We argue that they can. After some definitions and scene-setting, we focus on a recent example to clarify what AI gossip looks like before considering some distinct harms - what we call technosocial harms - that follow from it.</t>
  </si>
  <si>
    <t>10.1007/s10676-025-09871-0</t>
  </si>
  <si>
    <t>WOS:001644372400002</t>
  </si>
  <si>
    <t>Li, LX</t>
  </si>
  <si>
    <t>Li, Lixia</t>
  </si>
  <si>
    <t>Construction of Knowledge Graph for Enterprise Mergers and Acquisitions: Cross-Domain Value Mining Method of Large Language Model (LLM) and Graph Neural Network</t>
  </si>
  <si>
    <t>Knowledge graphs; Corporate acquisitions; Graph neural networks; Cognition; Semantics; Optimization; Data mining; Biological system modeling; Adaptation models; Soft sensors; Enterprise mergers and acquisitions; knowledge graph construction; large language models; graph neural networks; decision-aware optimization</t>
  </si>
  <si>
    <t>Enterprise mergers and acquisitions (M&amp;A) involve complex, cross-domain decision-making processes that rely on both structured and unstructured data sources. Traditional knowledge graph construction techniques, often rule-based or reliant on shallow learning, struggle with scalability, adaptability, and semantic generalization in such dynamic environments. A new framework for cross-domain value mining is introduced, which integrates Large Language Models and Graph Neural Networks to enable enterprise M&amp;A knowledge graph construction and inference. Central to our approach is the E-GraphNet (Enterprise Graph Network), a modular graph-based neural architecture that models enterprises as asynchronous, multi-agent decision systems. Each node in E-GraphNet represents an enterprise entity, while edges encode organizational dependencies and communication delays. E-GraphNet introduces edge-conditioned message passing and policy-execution signatures to enable dynamic alignment with strategic directives, ensuring real-time and scalable inference across distributed enterprise contexts. To further enhance adaptability under uncertainty and partial observability, we introduce Decision-Aware Perturbation Routing (DAPR). DAPR injects controlled perturbations into decision pathways, simulates distributed decision shifts, and optimizes routing through attention-guided correction mechanisms. This enables the system to remain robust in the face of delayed feedback and external perturbations, improving resilience in real-world M&amp;A scenarios. Evaluation across various enterprise datasets indicates that the LLM-GNN framework delivers superior performance compared to existing baselines in tasks related to knowledge extraction and graph inference. The framework offers a scalable, interpretable, and efficient solution for modeling enterprise structures and forecasting M&amp;A outcomes, advancing the field of intelligent enterprise analytics.</t>
  </si>
  <si>
    <t>10.1109/ACCESS.2025.3615942</t>
  </si>
  <si>
    <t>WOS:001596864800028</t>
  </si>
  <si>
    <t>Sultan, T; Rony, MA; Islam, MS; Aldosary, S; El-Shafai, W</t>
  </si>
  <si>
    <t>Sultan, Tipu; Rony, Mohammad Abu Tareq; Islam, Mohammad Shariful; Aldosary, Saad; El-Shafai, Walid</t>
  </si>
  <si>
    <t>MemesViTa: A Novel Multimodal Fusion Technique for Troll Memes Identification</t>
  </si>
  <si>
    <t>Visualization; Accuracy; Adaptation models; Electronic mail; Computational modeling; Analytical models; Training; Social networking (online); Hate speech; Safety; Deep learning; troll memes; text; multimodal; GPT; large language model</t>
  </si>
  <si>
    <t>The proliferation of troll memes on social media platforms has become a pressing issue due to their potential to spread misinformation and incite conflict. Detecting troll memes is complex due to the intricate interplay between visual and textual elements. In this research, we propose MemesViTa, a novel multimodal fusion model that combines Vision Transformer (ViT) for image processing and DeBERTa for textual analysis, specifically designed to detect troll memes with high accuracy. This research uses a public dataset of 4,368 training image-text and 1092 testing image-text. The primary goal of this study is to identify the most effective approach for troll meme detection by evaluating the performance of different multimodal models. We comprehensively assess multimodal deep learning approaches for troll meme detection, leveraging visual, textual, and Large Language Models in zero-shot and few-shot scenarios. Our study integrates models including BERT, GPT-2, GPT-4, VGG16, ResNet50, and ViT to analyze their performance. Experimental results indicate that the proposed ViT+DeBERTa model, named MemesViTa, achieves superior results, with 94.287% accuracy and 95.82% F1 score, representing a 41.3% improvement over the best visual model of VGG16 and a 48.1% improvement over the best textual model of CNN. Standalone LLMs like GPT-4, even in few-shot scenarios, show promising yet inferior results, with GPT-4 in a 50-shot scenario reaching an accuracy of 80.00% and an F1 score of 37.00%. Multimodal combinations, including BERT+VGG16 and BERT+VGG16+CLIP, highlight the importance of integrating multiple data modalities. Our findings suggest that combining visual and textual data and the strategic use of LLMs can significantly improve the robustness and accuracy of troll meme detection systems. In the future, we intend to enhance our dataset by incorporating a broader spectrum of troll memes. This will help our model to work better across different social media platforms and contexts.</t>
  </si>
  <si>
    <t>10.1109/ACCESS.2024.3505614</t>
  </si>
  <si>
    <t>WOS:001373836200023</t>
  </si>
  <si>
    <t>Diaz-Garcia, JA; Carvalho, JP</t>
  </si>
  <si>
    <t>Diaz-Garcia, J. Angel; Carvalho, Joao Paulo</t>
  </si>
  <si>
    <t>A Literature Review of Textual Cyber Abuse Detection Using Cutting-Edge Natural Language Processing Techniques: Language Models and Large Language Models</t>
  </si>
  <si>
    <t>WILEY INTERDISCIPLINARY REVIEWS-DATA MINING AND KNOWLEDGE DISCOVERY</t>
  </si>
  <si>
    <t>cyberabuse; generative AI; literature review; LLMs; NLP; social media analysis</t>
  </si>
  <si>
    <t>HATE SPEECH DETECTION; SOCIAL NETWORKS; BERT; IDENTIFICATION; DEPRESSION; COMMUNITY; RACISM; MEDIA; AGE; GRU</t>
  </si>
  <si>
    <t>The success of social media platforms has facilitated the emergence of various forms of online abuse within digital communities. This abuse manifests in multiple ways, including hate speech, cyberbullying, emotional abuse, grooming, and shame sexting or sextortion. In this paper, we present a comprehensive analysis of the different forms of abuse prevalent in social media, with a particular focus on how emerging technologies, such as Language Models (LMs) and Large Language Models (LLMs), are reshaping both the detection and generation of abusive content within these networks. We delve into the mechanisms through which social media abuse is perpetuated, exploring the psychological and social impact. To achieve this, we conducted a literature review based on PRISMA methodology, deriving key insights in the field of cyber abuse detection. Additionally, we examine the dual role of advanced language models-highlighting their potential to enhance automated detection systems for abusive behavior while also acknowledging their capacity to generate harmful content. This paper contributes to the ongoing discourse on online safety and ethics by offering both theoretical and practical insights into the evolving landscape of cyber abuse, as well as the technological innovations that simultaneously mitigate and exacerbate it. The findings support platform administrators and policymakers in developing more effective moderation strategies, conducting comprehensive risk assessments, and integrating AI responsibly to create safer digital environments. This article is categorized under: Algorithmic Development &gt; Web Mining Technologies &gt; Classification</t>
  </si>
  <si>
    <t>1942-4787</t>
  </si>
  <si>
    <t>1942-4795</t>
  </si>
  <si>
    <t>e70029</t>
  </si>
  <si>
    <t>10.1002/widm.70029</t>
  </si>
  <si>
    <t>WOS:001582685700002</t>
  </si>
  <si>
    <t>Estevez, M; Ballestar, MT; Sainz, J</t>
  </si>
  <si>
    <t>Estevez, Macarena; Ballestar, Maria Teresa; Sainz, Jorge</t>
  </si>
  <si>
    <t>Market research and knowledge using Generative AI: the power of Large Language Models</t>
  </si>
  <si>
    <t>Generative AI; Marketing; Market research; LLMs</t>
  </si>
  <si>
    <t>CONJOINT</t>
  </si>
  <si>
    <t>Generative artificial intelligence (GAI) is rapidly transforming the marketing industry with its capabilities in data analysis, personalisation, strategic optimisation, and content generation, providing powerful tools for businesses aiming to establish or maintain a strong brand position. This research examines the application of Large Language Models (LLMs) for market research, enabling marketers to create insights that capture the complexities of market behaviour and customer psychology, helping them to connect with their target audiences more meaningfully and effectively. Particularly, it aims to evaluate the extent to which GAI can replicate traditional market research. We conducted a comprehensive survey on beer consumption in Spain, covering all conversion funnel stages, from Brand Awareness to Purchase. The study was replicated using four prominent LLMs: ChatGPT (OpenAI), Gemini (Google), Claude (Anthropic) and LlaMa (Meta), and the results of these LLMs were compared with those of the traditional survey using a collection of statistical methods. Our results show that LLMs are valuable for market research, offering significant insights as reliable proxies. This represents a competitive advantage by making studies of this kind more accessible and cost-effective, benefitting companies of all sizes. However, LLMs cannot fully replicate traditional methods and present result variability, introducing risks in decision-making because of potential errors in data generation that are complex to estimate without benchmarking.</t>
  </si>
  <si>
    <t>10.1016/j.jik.2025.100796</t>
  </si>
  <si>
    <t>WOS:001566181800001</t>
  </si>
  <si>
    <t>Cassell, K; Ologunowa, A; Rastegar-Mojarad, M; Chun, B; Huang, YL; Wang, D; Cossrow, N</t>
  </si>
  <si>
    <t>Cassell, Kelsie; Ologunowa, Abiodun; Rastegar-Mojarad, Majid; Chun, Bianca; Huang, Yi-Ling; Wang, Dong; Cossrow, Nicole</t>
  </si>
  <si>
    <t>Analysis of article screening and data extraction performance by an AI systematic literature review platform</t>
  </si>
  <si>
    <t>artificial intelligence; systematic literature review; data extraction; reviewer workload; health technology assessment; large language models</t>
  </si>
  <si>
    <t>PNEUMOCOCCAL VACCINE; ECONOMIC EVALUATIONS; COST-EFFECTIVENESS; TIME</t>
  </si>
  <si>
    <t>Background Systematic literature reviews (SLRs) are critical to health research and decision-making but are often time- and labor-intensive. Artificial intelligence (AI) tools like large language models (LLMs) provide a promising way to automate these processes.Methods We conducted a systematic literature review on the cost-effectiveness of adult pneumococcal vaccination and prospectively assessed the performance of our AI-assisted review platform, Intelligent Systematic Literature Review (ISLaR) 2.0, compared to expert researchers.Results ISLaR demonstrated high accuracy (0.87 full-text screening; 0.86 data extraction), precision (0.88; 0.86), and sensitivity (0.91; 0.98) in article screening and data extraction tasks, but lower specificity (0.79; 0.42), especially when extracting data from tables. The platform reduced abstract and full-text screening time by over 90% compared to human reviewers.Conclusion The platform has strong potential to reduce reviewer workload but requires further development.</t>
  </si>
  <si>
    <t>10.3389/frai.2025.1662202</t>
  </si>
  <si>
    <t>WOS:001630334000001</t>
  </si>
  <si>
    <t>Zhang, XL; Mao, ZX; Chen, ZW; Gao, S</t>
  </si>
  <si>
    <t>Zhang, Xilin; Mao, Zhixin; Chen, Ziwen; Gao, Shen</t>
  </si>
  <si>
    <t>Effective Tool Augmented Multi-Agent Framework for Data Analysis</t>
  </si>
  <si>
    <t>Exploratory data analysis; Multi-agent; Large language models</t>
  </si>
  <si>
    <t>Data analysis tasks aim to provide insightful analysis for given data by incorporating background knowledge of the represented phenomenon, which in turn supports decision-making. While existing large language models (LLMs) can describe data trends, they still lag behind human data analysts in terms of integrating external knowledge and in-depth data analysis. Therefore, we propose a multi-agent data analysis framework based on LLMs. The framework decomposes the data analysis task into subtasks by employing three different agents. By empowering agents with the ability to utilize data search tools, the framework enables them to search for arbitrary relevant knowledge during the analysis process, leading to more insightful analysis. Moreover, to enhance the quality of the analysis results, we propose a multi-stage iterative optimization method that iteratively performs data analysis to form more in-depth conclusions. To validate the performance of our framework, we apply it to three real-world problems in the research development of higher education in China data. Experimental results demonstrate that our approach can achieve more insightful data analysis results compared to directly using LLMs alone.</t>
  </si>
  <si>
    <t>10.3724/2096-7004.di.2024.0013</t>
  </si>
  <si>
    <t>WOS:001446914500004</t>
  </si>
  <si>
    <t>Al-Shareef, Y</t>
  </si>
  <si>
    <t>Al-Shareef, Yahya</t>
  </si>
  <si>
    <t>CHRExpert: An AI-Driven Court of Human Rights Expert Assistant for Legal Practitioners Utilizing Transformer Models</t>
  </si>
  <si>
    <t>Law; Transformers; Artificial intelligence; Mathematical models; Europe; Decision making; Accuracy; Vectors; Encoding; Vocabulary; AI legal assistant; human rights litigation; transformer models; GPT-J; case outcome prediction; legal document analysis</t>
  </si>
  <si>
    <t>The growing complexity of human rights litigation, combined with the increasing volume of legal documents, presents significant challenges for legal professionals in efficiently managing case preparation and decision-making. This paper introduces CHRExpert, an Artificial Intelligence (AI)-driven legal assistant designed to support law practitioners in analyzing judicial decisions and predicting case outcomes. Utilizing a Pretrained Generative Transformer (GPT) with 6 billion parameters, fine-tuned on the European Court of Human Rights (ECHR) dataset, CHRExpert automates legal document analysis by identifying key legal provisions, performing statutory interpretation, and applying analogical reasoning to suggest legal strategies. The system is designed to support practitioners in aligning their legal arguments with judicial reasoning, particularly in post-litigation analysis. Evaluations based on final judgments demonstrated an accuracy of 83% in predicting outcomes for cases involving Articles 3, 6, and 8 of the European Convention on Human Rights, with an average AUC of 0.93. Additionally, CHRExpert reduced the time required for case preparation by 40%, streamlining legal workflows and improving efficiency. This paper demonstrates the potential practical application of AI to enhance legal processes by offering accurate predictions and experiential insights, making it a valuable tool for human rights litigation.</t>
  </si>
  <si>
    <t>10.1109/ACCESS.2025.3547763</t>
  </si>
  <si>
    <t>WOS:001439584100002</t>
  </si>
  <si>
    <t>Li, XG; Sun, YW; Sha, ZH</t>
  </si>
  <si>
    <t>Li, Xingang; Sun, Yuewan; Sha, Zhenghui</t>
  </si>
  <si>
    <t>LLM4CAD: Multimodal Large Language Models for Three-Dimensional Computer-Aided Design Generation</t>
  </si>
  <si>
    <t>multimodal large language models; GPT-4; GPT-4V; computer-aided design; generative design</t>
  </si>
  <si>
    <t>DATASET</t>
  </si>
  <si>
    <t>The evolution of multimodal large language models (LLMs) capable of processing diverse input modalities (e.g., text and images) holds new prospects for their application in engineering design, such as the generation of 3D computer-aided design (CAD) models. However, little is known about the ability of multimodal LLMs to generate 3D design objects, and there is a lack of quantitative assessment. In this study, we develop an approach to enable LLMs to generate 3D CAD models (i.e., LLM4CAD) and perform experiments to evaluate their efficacy where GPT-4 and GPT-4V were employed as examples. To address the challenge of data scarcity for multimodal LLM studies, we created a data synthesis pipeline to generate CAD models, sketches, and image data of typical mechanical components (e.g., gears and springs) and collect their natural language descriptions with dimensional information using Amazon Mechanical Turk. We positioned the CAD program (programming script for CAD design) as a bridge, facilitating the conversion of LLMs' textual output into tangible CAD design objects. We focus on two critical capabilities: the generation of syntactically correct CAD programs (Cap1) and the accuracy of the parsed 3D shapes (Cap2) quantified by intersection over union. The results show that both GPT-4 and GPT-4V demonstrate great potential in 3D CAD generation by just leveraging their zero-shot learning ability. Specifically, on average, GPT-4V outperforms when processing only text-based input, exceeding the results obtained using multimodal inputs, such as text with image, for Cap 1 and Cap 2. However, when examining category-specific results of mechanical components, the prominence of multimodal inputs is increasingly evident for more complex geometries (e.g., springs and gears) in both Cap 1 and Cap 2. The potential of multimodal LLMs to improve 3D CAD generation is clear, but their application must be carefully calibrated to the complexity of the target CAD models to be generated.</t>
  </si>
  <si>
    <t>10.1115/1.4067085</t>
  </si>
  <si>
    <t>WOS:001403467800006</t>
  </si>
  <si>
    <t>Hu, CB; Liu, B; Li, X; Ye, YF; Yin, ML</t>
  </si>
  <si>
    <t>Hu, Chuanbo; Liu, Bin; Li, Xin; Ye, Yanfang; Yin, Minglei</t>
  </si>
  <si>
    <t>Knowledge-prompted ChatGPT: Enhancing drug trafficking detection on social media</t>
  </si>
  <si>
    <t>Large language models; ChatGPT; Prompt engineering; Drug trafficking; Social media</t>
  </si>
  <si>
    <t>Social media platforms such as Instagram and Twitter have emerged as critical channels for marketing and selling illegal drugs. Detecting and labeling online illicit drug trafficking activities have become an important measure to combat online drug trafficking. Recently, machine learning has been applied to drug trafficking detection. However, the effectiveness of conventional supervised learning methods in detecting drug trafficking heavily relies on access to substantial amounts of labeled data, while data annotation is time-consuming and resourceintensive. Furthermore, these models often face challenges in accurately identifying trafficking activities when drug dealers use deceptive language and euphemisms to avoid detection. To overcome this limitation, we conduct the first systematic study on leveraging large language models (LLMs), such as ChatGPT, to detect illicit drug trafficking activities on social media. We propose an analytical framework to compose knowledge-informed prompts, which serve as the interface that humans can interact with and use LLMs to perform the detection task. Additionally, we designed a Monte Carlo dropout-based prompt optimization method to further improve performance and interpretability. Our experimental findings demonstrate that the proposed framework outperforms other baseline language models in terms of drug trafficking detection accuracy, showing a remarkable improvement of nearly 12%. By integrating prior knowledge and the proposed prompts, ChatGPT can effectively identify and label drug trafficking activities on social networks, even in the presence of deceptive language and euphemisms used by drug dealers to evade detection. The implications of our research extend to social networks, emphasizing the importance of incorporating prior knowledge and scenario-based prompts into analytical tools to improve online security and public safety.</t>
  </si>
  <si>
    <t>10.1016/j.im.2024.104010</t>
  </si>
  <si>
    <t>WOS:001285202600001</t>
  </si>
  <si>
    <t>Yu, SZ; Androsov, A; Yan, HB</t>
  </si>
  <si>
    <t>Yu, Shuzhen; Androsov, Alexey; Yan, Hanbing</t>
  </si>
  <si>
    <t>Exploring the prospects of multimodal large language models for Automated Emotion Recognition in education: Insights from Gemini</t>
  </si>
  <si>
    <t>COMPUTERS &amp; EDUCATION</t>
  </si>
  <si>
    <t>Data science applications in education; Teaching/learning strategies; Multimodal large language models; Automated Emotion Recognition</t>
  </si>
  <si>
    <t>FACIAL EXPRESSION RECOGNITION; STUDENT ENGAGEMENT; TUTORING SYSTEM; COMMUNICATION; CHALLENGES; RESOLUTION; FRAMEWORK; SETTINGS</t>
  </si>
  <si>
    <t>Emotions play a pivotal role in daily judgments and decision-making, particularly in educational settings, where understanding and responding to learners' emotions is essential for personalized learning. While there has been growing interest in emotion recognition, traditional methods, such as manual observations and self-reports, are often subjective and time-consuming. The rise of AI has led to the development of Automated Emotion Recognition (AER), offering transformative opportunities for educational reform by enabling personalized learning through emotional insights. However, AER continues to face challenges, including reliance on large-scale labeled databases, limited flexibility, and inadequate adaptation to diverse educational contexts. Recent advancements in AI, particularly Multimodal Large Language Models (MLLMs), show promise in addressing these challenges, though their application in AER remains underexplored. This study aimed to fill this gap by systematically evaluating the performance of Gemini, a pioneering MLLM, in image-based AER tasks across five databases: CK+, FER-2013, RAF-DB, OL-SFED and DAiSEE. The analysis examined recognition accuracy, error patterns, emotion inference mechanisms, and the impact of image preprocessing techniques - such as face cropping, bilinear interpolation, and super-resolution - on the model's performance. The results revealed that Gemini achieved high emotion recognition accuracy, especially in distinguishing emotional polarities across all databases. Image preprocessing significantly improved the recognition of basic emotions, though its effect on academic emotion recognition was minor. The confusion in academic emotion recognition stemmed from Gemini's limited understanding of academic emotion features and its insufficient ability to capture contextual cues. Building on the results, this study outlines specific future research directions from both technological and educational perspectives. These findings offer valuable insights for advancing MLLMs in educational applications.</t>
  </si>
  <si>
    <t>0360-1315</t>
  </si>
  <si>
    <t>1873-782X</t>
  </si>
  <si>
    <t>10.1016/j.compedu.2025.105307</t>
  </si>
  <si>
    <t>WOS:001464142100001</t>
  </si>
  <si>
    <t>Hughes, L; Malik, T; Dettmer, S; Al-Busaidi, AS; Dwivedi, YK</t>
  </si>
  <si>
    <t>Hughes, Laurie; Malik, Tegwen; Dettmer, Sandra; Al-Busaidi, Adil S.; Dwivedi, Yogesh K.</t>
  </si>
  <si>
    <t>Reimagining Higher Education: Navigating the Challenges of Generative AI Adoption</t>
  </si>
  <si>
    <t>INFORMATION SYSTEMS FRONTIERS</t>
  </si>
  <si>
    <t>Adoption; Challenges; Generative Artificial Intelligence; Generative AI; Higher education; Large Language Models (LLMs)</t>
  </si>
  <si>
    <t>ARTIFICIAL-INTELLIGENCE; MODEL</t>
  </si>
  <si>
    <t>The proliferation of generative artificial intelligence (GenAI) has disrupted academic institutions across the world, presenting transformative challenges for decision makers, and leading to questions around existing methods and practices within higher education (HE). The widespread adoption of GenAI tools and processes highlights an ongoing change to existing perceptions of the role of humans and machines. Academics have expressed concerns relating to: academic integrity, undermining critical thinking, lowering of academic standards and the threat to existing academic models. This study presents a mixed methods approach to developing valuable insight to the key underlying challenges impacting GenAI adoption within HE. The results highlight many of the key challenges impacting decision makers in the formation of policy and strategic direction. The findings identify significant interdependencies between the key underlying challenges associated with GenAI adoption in HE. We further discuss the implications in the findings of the high levels of driving power of the factors: (i) perceived risks from Large Language Model training and learning; (ii) the reliability of GenAI outputs in the context of impact on creativity and decision making; (iii) the impact from poor levels of GenAI platform regulation. We posit this research as offering new insight and perspective on the changing landscape of HE through the widespread adoption of GenAI.</t>
  </si>
  <si>
    <t>1387-3326</t>
  </si>
  <si>
    <t>1572-9419</t>
  </si>
  <si>
    <t>2025 FEB 13</t>
  </si>
  <si>
    <t>10.1007/s10796-025-10582-6</t>
  </si>
  <si>
    <t>WOS:001420063800001</t>
  </si>
  <si>
    <t>Gupta, C; Gill, NS; Gulia, P; Pau, G</t>
  </si>
  <si>
    <t>Gupta, Chhaya; Gill, Nasib Singh; Gulia, Preeti; Pau, Giovanni</t>
  </si>
  <si>
    <t>CODNet: Context-based object detection network for multimodal image captioning and virtual question answering</t>
  </si>
  <si>
    <t>CNN; Large language model; Multiplicative LSTM; Multimodal modeling; Yolov6</t>
  </si>
  <si>
    <t>Present MLL (Multimodal Large Language) models do exceptionally well in computer vision tasks, such as answering virtual questions and captioning images. However, they are not up to par in important perceptual tasks like object detection. To overcome this constraint, an entirely novel research work is presented for contextual object detection, which aims to comprehend observable items in various human-AI interaction scenarios. This study investigates two widely used scenarios: captioning the images and virtual question answering. For human-machine interaction, a brand-new CODNet (Context-based Object Detection Network) is presented that can locate, recognize, and connect visual objects with spoken inputs. The proposed network is capable of end-to-end modeling of visual language contexts. This network unifies language and vision functions by interpreting images in a foreign language and coordinating language functions with vision-centric jobs that may be managed and created flexibly using language instructions. The network comprises three sub-modules: an encoder that extracts the required features from the context, a pre-trained large language model meta AI (Llama) for decoding the context, and a decoder for predicting anchor boxes around the contextually recognized objects in images. The features are extracted with the help of a convolutional neural network merged with multiplicative LSTM. A fine-tuned YOLOv6 model detects and locates the required objects in the image provided. The network is trained on the MS-COCO dataset, evaluated on real-time images, and achieved over 95% average weighted accuracy.</t>
  </si>
  <si>
    <t>10.1016/j.imavis.2025.105768</t>
  </si>
  <si>
    <t>WOS:001600704400001</t>
  </si>
  <si>
    <t>Ahmad, N; Zhang, CS</t>
  </si>
  <si>
    <t>Ahmad, Nouman; Zhang, Changsheng</t>
  </si>
  <si>
    <t>Interpretable Vulnerability Detection in LLMs: A BERT-Based Approach with SHAP Explanations</t>
  </si>
  <si>
    <t>Attention mechanisms; CodeBERT; explainable AI (XAI) for security; large language model (LLM); trustworthy AI; vulnerability detection</t>
  </si>
  <si>
    <t>Source code vulnerabilities present significant security threats, necessitating effective detection techniques. Rigid rule-sets and pattern matching are the foundation of traditional static analysis tools, which drown developers in false positives and miss context-sensitive vulnerabilities. Large Language Models (LLMs) like BERT, in particular, are examples of artificial intelligence (AI) that exhibit promise but frequently lack transparency. In order to overcome the issues with model interpretability, this work suggests a BERT-based LLM strategy for vulnerability detection that incorporates Explainable AI (XAI) methods like SHAP and attention heatmaps. Furthermore, to ensure auditable and comprehensible choices, we present a transparency obligation structure that covers the whole LLM lifetime. Our experiments on a comprehensive and extensive source code DiverseVul dataset show that the proposed method outperform, attaining 92.3% detection accuracy and surpassing CodeT5 (89.4%), GPT-3.5 (85.1%), and GPT-4 (88.7%) under the same evaluation scenario. Through integrated SHAP analysis, this exhibits improved detection capabilities while preserving explainability, which is a crucial advantage over black-box LLM alternatives in security contexts. The X AI analysis discovers crucial predictive tokens such as susceptible and function through SHAP framework. Furthermore, the local token interactions that support the decision-making of the model process are graphically highlighted via attention heatmaps. This method provides a workable solution for reliable vulnerability identification in software systems by effectively fusing high detection accuracy with model explainability. Our findings imply that transparent AI models are capable of successfully detecting security flaws while preserving interpretability for human analysts.</t>
  </si>
  <si>
    <t>10.32604/cmc.2025.067044</t>
  </si>
  <si>
    <t>WOS:001591361300001</t>
  </si>
  <si>
    <t>Liang, XC; Tao, ML; Xia, YH; Wang, JH; Li, K; Wang, YJ; He, YF; Yang, JS; Shi, TY; Wang, YT; Zhang, M; Wang, XQ</t>
  </si>
  <si>
    <t>Liang, Xuechen; Tao, Meiling; Xia, Yinghui; Wang, Jianhui; Li, Kun; Wang, Yijin; He, Yangfan; Yang, Jingsong; Shi, Tianyu; Wang, Yuantao; Zhang, Miao; Wang, Xueqian</t>
  </si>
  <si>
    <t>SAGE: Self-evolving Agents with Reflective and Memory-augmented Abilities</t>
  </si>
  <si>
    <t>Large language model; AI Agent; Self-evolution; Ebbinghaus forgetting curve</t>
  </si>
  <si>
    <t>Large language models (LLMs) have made significant advances in natural language processing but face persistent challenges in dynamic environments, including continuous decision-making, long-term memory retention, and constrained context windows. To address these limitations, we propose SAGE (Self-evolving Agents with Reflective and Memory-augmented Abilities), a novel framework comprising three collaborative agents (User, Assistant, and Checker) that integrate iterative feedback, reflective reasoning, and memory optimization based on the Ebbinghaus forgetting curve. SAGE enhances agents' multi-tasking and long-context capabilities through adaptive strategy adjustment, optimized information storage, and reduced cognitive load. Evaluations across AgentBench and long-text tasks demonstrate transformative improvements: closed-source models like GPT-4 achieve 2.26x performance gains in database operations, while open-source models exhibit 5.0-48.0 absolute percentage point improvements, with smaller models (e.g., Qwen-1.8B) closing the gap to GPT-3.5-level performance. Key innovations include a memory syntax mechanism reducing overhead by 47% and a reflection module resolving 73.6% of ambiguous references in dialog tasks. These advances position SAGE as a scalable solution for real-world applications such as customer support (45.3% WebShop task improvement) and healthcare diagnostics (22.06 F1 on HotpotQA). Our results underscore SAGE's ability to bridge theoretical LLM capabilities with practical deployment needs, enabling robust, self-evolving AI systems.</t>
  </si>
  <si>
    <t>SEP 28</t>
  </si>
  <si>
    <t>10.1016/j.neucom.2025.130470</t>
  </si>
  <si>
    <t>WOS:001503666200008</t>
  </si>
  <si>
    <t>Yu, YY; Li, HH; Chen, Z; Jiang, YC; Li, Y; Suchow, JW; Zhang, DH; Khashanah, K</t>
  </si>
  <si>
    <t>Yu, Yangyang; Li, Haohang; Chen, Zhi; Jiang, Yuechen; Li, Yang; Suchow, Jordan W.; Zhang, Denghui; Khashanah, Khaldoun</t>
  </si>
  <si>
    <t>FinMem: A Performance-Enhanced LLM Trading Agent With Layered Memory and Character Design</t>
  </si>
  <si>
    <t>Decision making; Investment; Memory modules; Large language models; Data mining; Training; Real-time systems; Tuning; Reflection; Prediction algorithms; Financial AI; large language models; trading algorithms; deep learning; financial technology</t>
  </si>
  <si>
    <t>We introduce FinMem, a novel Large Language Models (LLM)-based agent framework for financial trading, designed to address the need for automated systems that can transform real-time data into executable decisions. FinMem comprises three core modules: Profile for customizing agent characteristics, Memory for hierarchical financial data assimilation, and Decision-making for converting insights into investment choices. The Memory module, which mimics human traders' cognitive structure, offers interpretability and real-time tuning while handling the critical timing of various information types. It employs a layered approach to process and prioritize data based on its timeliness and relevance, ensuring that the most recent and impactful information is given appropriate weight in decision-making. FinMem's adjustable cognitive span allows retention of critical information beyond human limits, enabling it to balance historical patterns with current market dynamics. This framework facilitates self-evolution of professional knowledge, agile reactions to investment cues, and continuous refinement of trading decisions in financial environments. When compared against advanced algorithmic agents using a large-scale real-world financial dataset, FinMem demonstrates superior performance across classic metrics like Cumulative Return and Sharpe ratio. Further tuning of the agent's perceptual span and character setting enhances its trading performance, positioning FinMem as a cutting-edge solution for automated trading.</t>
  </si>
  <si>
    <t>10.1109/TBDATA.2025.3593370</t>
  </si>
  <si>
    <t>WOS:001626457200040</t>
  </si>
  <si>
    <t>Wang, C; Wei, SY; Qi, JT</t>
  </si>
  <si>
    <t>Wang, Chao; Wei, Siyuan; Qi, Juntong</t>
  </si>
  <si>
    <t>MatchNav: LLM-based enhanced description and instruction matching in vision-and-language navigation</t>
  </si>
  <si>
    <t>Autonomous agents; Decision making; Embodied-AI; Large language model; Multimodal information fusion; Vision-and-language navigation</t>
  </si>
  <si>
    <t>In the artificial intelligence (AI) community, Vision-and Language Navigation (VLN) tasks are critical for achieving embodied intelligence, requiring agents to navigate environments based on natural language instructions. Some VLN research based on representation learning, multimodal fusion, and reinforcement learning have yielded promising outcomes. However, these approaches often struggle with issues such as weak environmental perception, poor instruction comprehension, and limited reasoning capabilities. Recently, VLN approaches utilizing large language models (LLMs) have shown initial success in addressing these issues. Nevertheless, existing works still face challenges such as memory confusion, poor task generalization and semantic ambiguities. To address these challenges, we draw inspiration from the paradigm of analogical reasoning in human thought to propose MATCHNAV, an improved VLN method aimed at enhancing memory accuracy, task generalization and reducing semantic ambiguity in household navigation tasks. MATCHNAV integrates three key modules: CognitionMatcher, EnvMatcher, and InstructionMatcher. CognitionMatcher reinforces and consolidates short-term memory. EnvMatcher improves recognition and adaptation across different task environments. InstructionMatcher resolves semantic ambiguity by comparing the similarity between generated and predefined instructions. By leveraging these modules, MATCHNAV significantly enhances the adaptability and robustness of navigation models. Our experimental results demonstrate that MATCHNAV outperforms existing methods in accuracy and robustness across various task environments. These findings suggest that MATCHNAV provides a more reliable and intelligent solution for VLN tasks.</t>
  </si>
  <si>
    <t>10.1016/j.inffus.2025.103444</t>
  </si>
  <si>
    <t>WOS:001525744800004</t>
  </si>
  <si>
    <t>Liu, YF; Panwang, Y; Gu, C</t>
  </si>
  <si>
    <t>Liu, Yifei; Panwang, Yuang; Gu, Chao</t>
  </si>
  <si>
    <t>Turning right? An experimental study on the political value shift in large language models</t>
  </si>
  <si>
    <t>HUMANITIES &amp; SOCIAL SCIENCES COMMUNICATIONS</t>
  </si>
  <si>
    <t>Constructing artificial intelligence that aligns with human values is a crucial challenge, with political values playing a distinctive role among various human value systems. In this study, we adapted the Political Compass Test and combined it with rigorous bootstrapping techniques to create a standardized method for testing political values in AI. This approach was applied to multiple versions of ChatGPT, utilizing a dataset of over 3000 tests to ensure robustness. Our findings reveal that while newer versions of ChatGPT consistently maintain values within the libertarian-left quadrant, there is a statistically significant rightward shift in political values over time, a phenomenon we term a 'value shift' in large language models. This shift is particularly noteworthy given the widespread use of LLMs and their potential influence on societal values. Importantly, our study controlled for factors such as user interaction and language, and the observed shifts were not directly linked to changes in training datasets. While this research provides valuable insights into the dynamic nature of value alignment in AI, it also underscores limitations, including the challenge of isolating all external variables that may contribute to these shifts. These findings suggest a need for continuous monitoring of AI systems to ensure ethical value alignment, particularly as they increasingly integrate into human decision-making and knowledge systems.</t>
  </si>
  <si>
    <t>2662-9992</t>
  </si>
  <si>
    <t>FEB 10</t>
  </si>
  <si>
    <t>10.1057/s41599-025-04465-z</t>
  </si>
  <si>
    <t>Arts &amp; Humanities - Other Topics; Social Sciences - Other Topics</t>
  </si>
  <si>
    <t>WOS:001417583100004</t>
  </si>
  <si>
    <t>Balestri, R</t>
  </si>
  <si>
    <t>Balestri, Roberto</t>
  </si>
  <si>
    <t>Gender and content bias in Large Language Models: a case study on Google Gemini 2.0 Flash Experimental</t>
  </si>
  <si>
    <t>generative AI; Gemini 2.0; ChatGPT-4o; AI ethics; bias reduction; content moderation; gender bias; ethical AI development</t>
  </si>
  <si>
    <t>This study evaluates the biases in Gemini 2.0 Flash Experimental, a state-of-the-art large language model (LLM) developed by Google, focusing on content moderation and gender disparities. By comparing its performance to ChatGPT-4o, examined in a previous work of the author, the analysis highlights some differences in ethical moderation practices. Gemini 2.0 demonstrates reduced gender bias, notably with female-specific prompts achieving a substantial rise in acceptance rates compared to results obtained by ChatGPT-4o. It adopts a more permissive stance toward sexual content and maintains relatively high acceptance rates for violent prompts (including gender-specific cases). Despite these changes, whether they constitute an improvement is debatable. While gender bias has been reduced, this reduction comes at the cost of permitting more violent content toward both males and females, potentially normalizing violence rather than mitigating harm. Male-specific prompts still generally receive higher acceptance rates than female-specific ones. These findings underscore the complexities of aligning AI systems with ethical standards, highlighting progress in reducing certain biases while raising concerns about the broader implications of the model's permissiveness. Ongoing refinements are essential to achieve moderation practices that ensure transparency, fairness, and inclusivity without amplifying harmful content.</t>
  </si>
  <si>
    <t>MAR 18</t>
  </si>
  <si>
    <t>10.3389/frai.2025.1558696</t>
  </si>
  <si>
    <t>WOS:001455995400001</t>
  </si>
  <si>
    <t>Kapoor, R; Shridevi, S; Damodaran, N</t>
  </si>
  <si>
    <t>Kapoor, Rishit; Shridevi, S.; Damodaran, Natesan</t>
  </si>
  <si>
    <t>Multimodal Graph-Based Stacked Transformer Network for Brain Tumor Classification, Segmentation and Report Generation</t>
  </si>
  <si>
    <t>Accuracy; Transformers; Brain modeling; Tumors; Medical diagnostic imaging; Training; Medical services; Data models; Large language models; Image segmentation; Brain mapping; deep learning; graph neural networks; brain healthcare diagnosis; large language model; multimodal learning; transformers</t>
  </si>
  <si>
    <t>Conventional artificial intelligence driven healthcare diagnostics tend to process medical images and clinical text in isolation, losing possible synergistic insights that emerge from their integration. This work presents a novel Multimodal Graph-Based Stacked Transformer Network (MM-GSTN) that combines both modalities of text and vision to create interpretable diagnostic reports. The MM-GSTN combines heterogeneous data through vision transformers and language models with a clinical knowledge graph to encode relationships among patient data, diseases, and symptoms. The proposed architecture, MM-GSTN, is powered by Meta's Segment Anything Analysis (SAM) for accurate brain mapping, along with the EfficientNet-B0 model, which is combined with a multistacked transformer network, resulting in a classification accuracy of 99%. The system further produces a comprehensive diagnostic report from the finetuned Llama-3.2-11B Vision-Instruct language model utilizing Low-Rank Adaptation (LoRA) training technique, resulting in improved Rouge-1 and Rouge-L scores from 0.005 to 0.072 and BLEU score from 0.036 to 0.068. Integrating a graph network into the overall system maps the relationships between patient data, diseases, and symptoms, which significantly enhances the diagnostic accuracy and clinical decision-making. This work highlights the potential of MM-GSTN as a scalable and explainable AI tool for the diagnosis of brain tumors.</t>
  </si>
  <si>
    <t>10.1109/ACCESS.2025.3631733</t>
  </si>
  <si>
    <t>WOS:001619064400049</t>
  </si>
  <si>
    <t>Whitty, MT</t>
  </si>
  <si>
    <t>Whitty, Monica Therese</t>
  </si>
  <si>
    <t>How to Conduct AI-Assisted (Large Language Model-Assisted) Content Analysis in Information Science and Cyber Security Research</t>
  </si>
  <si>
    <t>AI-assisted content analysis; LLMs; information science; cyber security; reliability; validity; coding; responsible AI; hallucination bias</t>
  </si>
  <si>
    <t>QUALITATIVE CONTENT-ANALYSIS; MANAGEMENT</t>
  </si>
  <si>
    <t>The advent of Large Language Models (LLMs) has revolutionised natural language processing, providing unprecedented capabilities in text generation and analysis. This paper examines the utility of Artificial-Intelligence-assisted (AI-assisted) content analysis (CA), supported by LLMs, as a methodological tool for research in Information Science (IS) and Cyber Security. It reviews current applications, methodological practices, and challenges, illustrating how LLMs can augment traditional approaches to qualitative data analysis. Key distinctions between CA and other qualitative methods are outlined, alongside the traditional steps involved in CA. To demonstrate relevance, examples from Information Science and Cyber Security are highlighted, along with a new example detailing the steps involved. A hybrid workflow is proposed that integrates human oversight with AI capabilities, grounded in the principles of Responsible AI. Within this model, human researchers remain central to guiding research design, interpretation, and ethical decision-making, while LLMs support efficiency and scalability. Both deductive and inductive AI-assisted frameworks are introduced. Overall, AI-assisted CA is presented as a valuable approach for advancing rigorous, replicable, and ethical scholarship in Information Science and Cyber Security. This paper contributes to prior LLM-assisted coding work, proposing that this hybrid model is preferred over a fully manual content analysis.</t>
  </si>
  <si>
    <t>OCT 20</t>
  </si>
  <si>
    <t>10.3390/electronics14204104</t>
  </si>
  <si>
    <t>WOS:001601429900001</t>
  </si>
  <si>
    <t>Li, J; Jiang, WT; Shen, LY; Ren, YW</t>
  </si>
  <si>
    <t>Li, Jun; Jiang, Wentao; Shen, Liyan; Ren, Yawei</t>
  </si>
  <si>
    <t>Optimized Frequency Collaborative Strategy Drives AI Image Detection</t>
  </si>
  <si>
    <t>Frequency-domain analysis; Feature extraction; Internet of Things; Detectors; Filters; Security; Collaboration; Semantics; Image synthesis; Discrete cosine transforms; artificial intelligence (AI) image detection; deep learning; domain fusion; Internet of Things (IoT) security</t>
  </si>
  <si>
    <t>Artificial intelligence (AI) image generation powered by large language model (large language modelss (LLMs)) enables highly realistic image synthesis and manipulation, posing significant security risks to Internet of Things (IoT) systems, particularly in identity authentication and data integrity. Although multidomain synthetic image detection has advanced, how spatial and frequency domain features affect decision making is still an open question, causing models to emphasize less critical areas and fall into local optimality. Through multidomain empirical analysis, we reveal the common contrastive differences in image textures and further demonstrate that frequency analysis helps capture the spectral differences in images. Building on this, we propose the collaborative spatial and frequency detector (CSFD). First, the image is decomposed into strong and weak texture regions in the spatial domain. Second, it aggregates different components in the frequency domain, using weighted channel attention to enhance spatial reasoning. Finally, the texture regions are combined to discriminate synthetic images. Experimental results demonstrate that incorporating channel attention based on frequency information improves the detection of synthetic images with spectral defects. On a comprehensive AI-generated image detection benchmark, the proposed method improves accuracy by 2.61% over current methods.</t>
  </si>
  <si>
    <t>JUN 1</t>
  </si>
  <si>
    <t>10.1109/JIOT.2025.3531053</t>
  </si>
  <si>
    <t>WOS:001492153900027</t>
  </si>
  <si>
    <t>Hong, JY; Seto, C; Fan, A; Maciejewski, R</t>
  </si>
  <si>
    <t>Hong, Jiayi; Seto, Christian; Fan, Arlen; Maciejewski, Ross</t>
  </si>
  <si>
    <t>Do LLMs Have Visualization Literacy? An Evaluation on Modified Visualizations to Test Generalization in Data Interpretation</t>
  </si>
  <si>
    <t>Data visualization; Visualization; Costs; Data models; Benchmark testing; Codes; Training; Data mining; Computational modeling; Cognition; Large language model; visualization literacy; evaluation study</t>
  </si>
  <si>
    <t>In this article, we assess the visualization literacy of two prominent Large Language Models (LLMs): OpenAI's Generative Pretrained Transformers (GPT), the backend of ChatGPT, and Google's Gemini, previously known as Bard, to establish benchmarks for assessing their visualization capabilities. While LLMs have shown promise in generating chart descriptions, captions, and design suggestions, their potential for evaluating visualizations remains under-explored. Collecting data from humans for evaluations has been a bottleneck for visualization research in terms of both time and money, and if LLMs were able to serve, even in some limited role, as evaluators, they could be a significant resource. To investigate the feasibility of using LLMs in the visualization evaluation process, we explore the extent to which LLMs possess visualization literacy-a crucial factor for their effective utility in the field. We conducted a series of experiments using a modified 53-item Visualization Literacy Assessment Test (VLAT) for GPT-4 and Gemini. Our findings indicate that the LLMs we explored currently fail to achieve the same levels of visualization literacy when compared to data from the general public reported in VLAT, and LLMs heavily relied on their pre-existing knowledge to answer questions instead of utilizing the information provided by the visualization when answering questions.</t>
  </si>
  <si>
    <t>10.1109/TVCG.2025.3536358</t>
  </si>
  <si>
    <t>WOS:001566958200026</t>
  </si>
  <si>
    <t>Dofitas, C Jr; Kim, YW; Byun, YC</t>
  </si>
  <si>
    <t>Dofitas Jr, Cyreneo; Kim, Yong-Woon; Byun, Yung-Cheol</t>
  </si>
  <si>
    <t>Advanced Agricultural Query Resolution Using Ensemble-Based Large Language Models</t>
  </si>
  <si>
    <t>Accuracy; Ensemble learning; Agriculture; Data models; Crops; Context modeling; Complexity theory; Analytical models; Reliability; Productivity; Agricultural domain; BERT; Llama 3.1; agricultural-BERT; large language model; knowledge retrieval; weight voting average ensemble</t>
  </si>
  <si>
    <t>Effective knowledge retrieval is crucial for addressing challenges related to optimization, such as pest management, soil health and crop productivity. Current single-model approaches struggle with limited accuracy, inconsistent responses, and inability to handle the increasing complexity of agricultural data, leading to unreliable recommendations for farmers. This study demonstrates an innovative weighted voting ensemble method that improves agricultural knowledge retrieval by combining Meta-LLaMA 3.1, Agricultural-BERT, and BERT-based-uncased. The ensemble model optimizes the prediction process by utilizing domain-specific data and a weighted voting mechanism to improve query performance and answer production. Our study outperformed individual models in providing accurate and contextually relevant responses, with an accuracy of 93%. We evaluated the system using both BLEU and ROUGE metrics to assess the quality of the generated text. Our ensemble model achieved a BLEU score 53.8 and demonstrated superior performance in the ROUGE evaluation, with ROUGE-1, ROUGE-2, and ROUGE-L scores of 0.70, 0.55 and 0.61. These results highlight the method's ability to generate contextually suitable, domain-specific responses that address the practical needs of agricultural experts. By integrating advanced LLMs with domain-specific knowledge, the proposed ensemble system significantly improves agricultural knowledge retrieval and provides more accurate and practical responses in the field. The findings suggest that the ensemble approach can effectively support decision-making in agricultural practices, particularly in management agricultural optimization.</t>
  </si>
  <si>
    <t>10.1109/ACCESS.2025.3541602</t>
  </si>
  <si>
    <t>WOS:001435463100029</t>
  </si>
  <si>
    <t>Montero, PB; Gassen, JB; Descovi, G; Barnasque, TO; da Silva, GR; Machado, FA; Casanova, GV; Maran, V; Machado, A</t>
  </si>
  <si>
    <t>Montero, Pedro Bilar; Bulegon Gassen, Jonas; Descovi, Glenio; Barnasque, Tais Oltramari; da Silva, Gabriel Rodrigues; Machado, Felipe Amadori; Casanova, Gabriel Vieira; Maran, Vinicius; Machado, Alencar</t>
  </si>
  <si>
    <t>Integrating RAG for Smarter Animal Certification Platforms</t>
  </si>
  <si>
    <t>Retrieval-Augmented Generation; Large Language Models; poultry health; sanitary certification; PDSA-RS; Brazilian regulations; legal texts; animal health; natural language processing</t>
  </si>
  <si>
    <t>Large Language Models (LLMs) encounter significant challenges when applied in specialized domains that require precise and localized information. This problem is particularly critical in regulatory sectors, such as the animal health sector in Brazil, where professionals depend on complex and constantly updated legal norms to perform their work. The generic knowledge encapsulated in traditional LLMs is often insufficient to provide reliable support in these contexts, which can lead to inaccurate or outdated responses. To address this gap, this work presents a practical implementation of a Retrieval-Augmented Generation (RAG) system. We detail the integration of this system with the Plataforma de Defesa Sanit &amp; aacute;ria Animal do Rio Grande do Sul (PDSA-RS), a real platform used for animal production certification. Our solution connects an LLM to an external knowledge base containing specific Brazilian legislation, allowing the model to retrieve relevant legal texts in real time to generate its responses. The principal objective is to demonstrate how this approach can produce accurate and contextually grounded answers for professionals in the veterinary field, assisting in decision-making processes for sanitary certification.</t>
  </si>
  <si>
    <t>SEP 30</t>
  </si>
  <si>
    <t>10.3390/info16100843</t>
  </si>
  <si>
    <t>WOS:001601675200001</t>
  </si>
  <si>
    <t>Chadli, K; Botterweck, G; Saber, T</t>
  </si>
  <si>
    <t>Chadli, Kouider; Botterweck, Goetz; Saber, Takfarinas</t>
  </si>
  <si>
    <t>PEARL: Performance and energy aware routing for LLMs</t>
  </si>
  <si>
    <t>Large language models (LLMs); Dynamic routing mechanism; Cost-effective AI deployment; Meta-models</t>
  </si>
  <si>
    <t>Large Language Models (LLMs) have become indispensable across numerous applications. However, these LLMs differ significantly in their capabilities and the computational or energy costs they incur. Given the varying demands of individual queries-such as differences in domain or complexity-relying on a single LLM for an application is often suboptimal. Whether the model is the largest and most energy-intensive, or has the highest average test performance, it may not always be the ideal choice. As a result, selecting an LLM that balances both accuracy and energy efficiency for a specific application remains a challenging task. To navigate this spectrum of complexity, we propose PEARL; a routing mechanism that leverages a proxy model to assess the complexity of each incoming query. Guided by the assessment and prediction of performance and energy consumption parameters, our mechanism enable decision-makers to configure an upper bound for the energy consumption of their LLM inference and assign queries to the most performing LLM while not exceeding the energy consumption limitations they might put on their infrastructure. In addition to being configurable/dynamic, we demonstrate that our approach significantly reduces energy consumption on benchmark datasets (i.e., more than 18% in certain cases) while achieving higher accuracy.</t>
  </si>
  <si>
    <t>10.1016/j.future.2025.108218</t>
  </si>
  <si>
    <t>WOS:001616542000003</t>
  </si>
  <si>
    <t>Gjorgjevikj, A; Nikolikj, A; Seljak, BK; Eftimov, T</t>
  </si>
  <si>
    <t>Gjorgjevikj, Ana; Nikolikj, Ana; Seljak, Barbara Korousic; Eftimov, Tome</t>
  </si>
  <si>
    <t>User-defined trade-offs in LLM benchmarking: balancing accuracy, scale, and sustainability</t>
  </si>
  <si>
    <t>Machine learning; Natural language processing; Large language model; Benchmarking; Multi-criteria decision-making; Promethee method</t>
  </si>
  <si>
    <t>ANALYTIC HIERARCHY PROCESS; PROMETHEE</t>
  </si>
  <si>
    <t>This paper presents xLLMBench, a transparent, decision-centric benchmarking framework that empowers decision-makers to rank large language models (LLMs) based on their preferences across diverse, potentially conflicting performance and non-performance criteria, e.g., domain accuracy, model size, energy consumption, CO2 emissions. Existing LLM benchmarking methods often rely on individual performance criteria (metrics) or human feedback, so methods systematically combining multiple criteria into a single interpretable ranking lack. Methods considering human preferences typically rely on direct human feedback to determine rankings, which can be resource-intensive and not fully aligned with application-specific requirements. Motivated by current limitations of LLM benchmarking, xLLMBench leverages multi-criteria decision-making methods to provide decision-makers with the flexibility to tailor benchmarking processes to their requirements. It focuses on the final step of the benchmarking process (robust analysis of benchmarking results) which in LLMs' case often involves their ranking. The framework assumes that the selection of datasets, metrics, and LLMs involved in the experiment is conducted following established best practices. We demonstrate xLLMBench's usefulness in two scenarios: combining LLM results for one metric across different datasets and combining results for multiple metrics within one dataset. Our results show that while some LLMs maintain stable rankings, others exhibit significant changes when correlated datasets are removed, when the focus shifts to contamination-free datasets or fairness metrics. This highlights that LLMs have distinct strengths/weaknesses, going beyond overall performance. Our sensitivity analysis reveals robust rankings, while the diverse visualizations enhance transparency. xLLMBench can be used with existing platforms to support transparent, reproducible, and contextually-meaningful LLM benchmarking.</t>
  </si>
  <si>
    <t>10.1016/j.knosys.2025.114405</t>
  </si>
  <si>
    <t>WOS:001584748800007</t>
  </si>
  <si>
    <t>Lisnic, B; Gaurina, M</t>
  </si>
  <si>
    <t>Lisnic, Bosko; Gaurina, Marija</t>
  </si>
  <si>
    <t>LARGE LANGUAGE MODELS IN PHYSICS: ANALYSIS OF ACCURACY AND TEACHER PERCEPTION</t>
  </si>
  <si>
    <t>INTERDISCIPLINARY DESCRIPTION OF COMPLEX SYSTEMS</t>
  </si>
  <si>
    <t>LLM; education; physics; STEM; AI literacy; evaluation</t>
  </si>
  <si>
    <t>This article explores the educational potential of large language models (LLMs) in physics teaching for secondary schools. The aim is to examine the accuracy, consistency and execution time of LLMs in solving tasks from national physics exams for secondary schools in the Republic of Croatia. In addition, we want to collect teachers' perceptions of their use in teaching and as a tool in preparation for state maturas. The quantitative part analysed the responses obtained from 15 models from four different platforms (OpenAI, Perplexity, Microsoft Copilot, DeepSeek) in solving tasks from national physics exams. In the qualitative part, a focus group was conducted with physics teachers. The results show a high level of accuracy of individual models, and problems in solving tasks with a graphical display were revealed. Teachers recognised the potential of LLMs as auxiliary tools but emphasised the necessity of students' prior knowledge in physics and teachers' need for critical literacy and control. The research provides insight into the possibilities and limitations that LLMs bring with them in STEM education and opens space for further research into the application of artificial intelligence tools in education.</t>
  </si>
  <si>
    <t>1334-4684</t>
  </si>
  <si>
    <t>1334-4676</t>
  </si>
  <si>
    <t>10.7906/indecs.23.6.5</t>
  </si>
  <si>
    <t>WOS:001650736500005</t>
  </si>
  <si>
    <t>Strogonov, V; Pollert, J</t>
  </si>
  <si>
    <t>Strogonov, Vadim; Pollert, Jaroslav</t>
  </si>
  <si>
    <t>Artificial intelligence-enhanced web application approach to data management in the WIDER UPTAKE project</t>
  </si>
  <si>
    <t>circular economy; data management; large language models; sustainable water management; water reuse; web application</t>
  </si>
  <si>
    <t>The paper describes a web application developed for managing and presenting experiment data of the WIDER UPTAKE project funded by Horizon Europe. The project's goal is to promote water-smart and sustainable solutions among stakeholders in multiple countries. The application enhances data management and stakeholder engagement through the use of a third-party large language model. It integrates data from demonstration case studies with real-time sensor measurements and laboratory tests, into a comprehensive cloud-based platform. It facilitates data visualization, regulatory compliance checks, and risk assessments for chemical and microbial hazards. The application significantly aided in the coordination and communication of project findings among stakeholders. Key functionalities include interactive diagrams, risk assessment tools, and automated report generation using artificial intelligence (AI). The AI-generated reports, while maintaining confidentiality of data in most cases, provided clear and informative summaries of data compliance with regulatory standards. The web application extended stakeholder engagement, democratized access to complex data, and supported decision-making processes for implementing sustainable water management solutions. However, the development encountered significant challenges surrounding transparency, fairness, accountability, and privacy, which impedes the refinement and scalability of this approach for broader use. Future research should focus on overcoming these obstacles to ensure a more effective and ethical application.</t>
  </si>
  <si>
    <t>10.2166/hydro.2025.248</t>
  </si>
  <si>
    <t>WOS:001478341900006</t>
  </si>
  <si>
    <t>Wang, ZR; Liu, Y</t>
  </si>
  <si>
    <t>Wang, Zerui; Liu, Yan</t>
  </si>
  <si>
    <t>STAA: Spatio-Temporal Attention Attribution for Real-Time Interpreting Transformer-Based AI Video Models</t>
  </si>
  <si>
    <t>Transformers; Streaming media; Computational modeling; Real-time systems; Computer architecture; Adaptation models; Analytical models; Explainable AI; Computational efficiency; Complexity theory; Artificial intelligence; explainable AI; computer vision; video analysis</t>
  </si>
  <si>
    <t>Transformer-based video models have performed SOTA in various action recognition and video understanding tasks. The limitation is the lack of explainability of these complex models. Current Explainable AI (XAI) methods focus on feature importance analysis of only one dimension, either spatial or temporal features. When applied to transformer-based video models, the challenges are two-fold. They fail to capture the integrated spatio-temporal nature of video data and incur prohibitive computational costs for real-time applications. This paper presents STAA (Spatio-Temporal Attention Attribution), an XAI method for interpreting video transformer models for action recognition tasks. STAA simultaneously extracts both spatial importance within frames and temporal relevance across the video sequence from attention values in transformers. This unified approach solves the challenge by capturing how transformer models integrate information across both dimensions for decision-making, providing comprehensive explanations that reflect the model's actual reasoning process. We enhance STAA's raw output through post-processing. The experiments on the Kinetics-400 dataset demonstrate superior faithfulness (0.844 +/- 0.116) and monotonicity (0.850 +/- 0.030). In terms of computational overhead, our STAA method is applicable for real-time video XAI analysis applications. We implement a cloud-based architecture that enables video explanations with 150 ms latency.</t>
  </si>
  <si>
    <t>10.1109/ACCESS.2025.3575440</t>
  </si>
  <si>
    <t>WOS:001511067800029</t>
  </si>
  <si>
    <t>Ghatora, PS; Dang, BT; Hoc, HT; Pervez, S</t>
  </si>
  <si>
    <t>Ghatora, Pawanjit Singh; Dang, Binh Thanh; Hoc, Huynh Thai; Pervez, Shahbaz</t>
  </si>
  <si>
    <t>Fine-Tuning LLMs for E-Commerce Sentiment Analysis: Proprietary Versus Open-Source Approaches</t>
  </si>
  <si>
    <t>Sentiment analysis; Reviews; Electronic commerce; Computational modeling; Data models; Adaptation models; Training; Analytical models; Tuning; Solid modeling; Fine-tuning; generative pre-training transformer; large language model; natural language processing; sentiment analysis</t>
  </si>
  <si>
    <t>AT-A-TIME</t>
  </si>
  <si>
    <t>The increasing volume of online product reviews presents both opportunities and challenges for e-commerce platforms seeking to leverage customer sentiment for strategic decision-making. This study investigates the optimization of Large Language Models (LLMs) for product review sentiment analysis through systematic fine-tuning and hyperparameter optimization. We evaluated three LLMs (gpt-3.5-turbo-0125, gpt-4o-mini-2024-07-18, and distilbert-base-uncased) using 12,000 product reviews for training and 3,000 for validation, derived from an original corpus of 205,052 reviews, across nine hyperparameter scenarios. Validation results demonstrate that smaller batch sizes improved proprietary model performance, while DistilBERT achieved superior accuracy through moderate-low learning rates but exhibited extreme hyperparameter sensitivity. However, generalization testing on unseen data revealed distinct performance patterns: GPT models demonstrated exceptional accuracy with substantial improvements over their validation results, while DistilBERT maintained strong performance but showed reduced improvement compared to its validation peak. These findings establish fundamental differences in optimization characteristics between proprietary and open-source models. GPT models exhibited robust generalization capabilities with consistent performance improvements across diverse datasets, while DistilBERT required precise hyperparameter tuning to achieve optimal results. The results demonstrate that generalization performance provides critical insights for deployment decisions, with GPT models offering superior robustness for production environments requiring consistent performance across varied review contexts, while DistilBERT remains viable for specialized applications with controlled data distributions.</t>
  </si>
  <si>
    <t>10.1109/ACCESS.2025.3631616</t>
  </si>
  <si>
    <t>WOS:001627693200042</t>
  </si>
  <si>
    <t>Meng, Z; Dong, JH; Guo, LM; Su, F; Liu, JX; Wang, GX; Zhao, ZC</t>
  </si>
  <si>
    <t>Meng, Zhu; Dong, Junhao; Guo, Limei; Su, Fei; Liu, Jiaxuan; Wang, Guangxi; Zhao, Zhicheng</t>
  </si>
  <si>
    <t>Now and future of artificial intelligence-based signet ring cell diagnosis: A survey</t>
  </si>
  <si>
    <t>Signet ring cell; Automatic diagnosis; Deep learning; Multi-modal diagnosis; Artificial intelligence</t>
  </si>
  <si>
    <t>GASTRIC-CANCER; FOUNDATION MODEL; DEEP; IMAGES; CLASSIFICATION; NORMALIZATION; SEGMENTATION</t>
  </si>
  <si>
    <t>Signet ring cells (SRCs), associated with a high propensity for peripheral metastasis and poor prognosis, critically influence surgical decision-making and outcome prediction. However, their detection remains challenging even for experienced pathologists. While artificial intelligence (AI)-based automated SRC diagnosis has gained increasing attention for its potential to enhance diagnostic efficiency and accuracy, existing methodologies lack systematic review. This gap impedes the assessment of disparities between algorithmic capabilities and clinical applicability. This paper presents a comprehensive survey of AI-driven SRC analysis from 2008 through June 2025. We systematically summarize the biological characteristics of SRCs and challenges in their automated identification. Representative algorithms are analyzed and categorized as unimodal or multi-modal approaches. Unimodal algorithms, encompassing image, omics, and text data, are reviewed; image-based ones are further subdivided into classification, detection, segmentation, and foundation model tasks. Multi-modal algorithms integrate two or more data modalities (images, omics, and text). Finally, by evaluating current methodological performance against clinical assistance requirements, we discuss unresolved challenges and future research directions in SRC analysis. This survey aims to assist researchers, particularly those without medical backgrounds, in understanding the landscape of SRC analysis and the prospects for intelligent diagnosis, thereby accelerating the translation of computational algorithms into clinical practice.</t>
  </si>
  <si>
    <t>10.1016/j.eswa.2025.129188</t>
  </si>
  <si>
    <t>WOS:001544972800003</t>
  </si>
  <si>
    <t>Hean, O; Saha, U; Saha, B</t>
  </si>
  <si>
    <t>Hean, Oudom; Saha, Utsha; Saha, Binita</t>
  </si>
  <si>
    <t>Can AI help with your personal finances?</t>
  </si>
  <si>
    <t>APPLIED ECONOMICS</t>
  </si>
  <si>
    <t>Large language models; artificial intelligence; generative pre-trained transformers; personal finances; financial literacy; D14; G11; G53</t>
  </si>
  <si>
    <t>LITERACY</t>
  </si>
  <si>
    <t>In recent years, Large Language Models (LLMs) have emerged as a transformative development in artificial intelligence (AI), drawing significant attention from industry and academia. Trained on vast datasets, these sophisticated AI systems exhibit impressive natural language processing and content generation capabilities. This paper explores the potential of LLMs to address key challenges in personal finance, focusing on the United States. We evaluate several leading LLMs, including OpenAI's ChatGPT, Google's Gemini, Anthropic's Claude, and Meta's Llama, to assess their effectiveness in providing accurate financial advice on topics such as mortgages, taxes, loans, and investments. Our findings show that, while these models achieve an average accuracy rate of approximately 70%, they also display notable limitations in certain areas. Specifically, LLMs struggle to provide accurate responses to complex financial queries, with performance varying significantly across different topics. Despite these limitations, the analysis reveals notable improvements in newer versions of these models, highlighting their growing utility for individuals and financial advisors. As these AI systems continue to evolve, their potential for advancing AI-driven applications in personal finance becomes increasingly promising.</t>
  </si>
  <si>
    <t>0003-6846</t>
  </si>
  <si>
    <t>1466-4283</t>
  </si>
  <si>
    <t>10.1080/00036846.2025.2450384</t>
  </si>
  <si>
    <t>WOS:001392783200001</t>
  </si>
  <si>
    <t>Kim, Y; Aamir, Z; Singh, M; Boorboor, S; Mueller, K; Kaufman, AE</t>
  </si>
  <si>
    <t>Kim, Yoonsang; Aamir, Zainab; Singh, Mithilesh; Boorboor, Saeed; Mueller, Klaus; Kaufman, Arie E.</t>
  </si>
  <si>
    <t>Explainable XR: Understanding User Behaviors of XR Environments Using LLM-Assisted Analytics Framework</t>
  </si>
  <si>
    <t>Data visualization; Visual analytics; Recording; Large language models; Pipelines; Data analysis; Context; Scalability; Collaboration; Cognition; Extended Reality; Cross Reality; Multimodal Data Collection; User Behavior; Visual Analytics; Personalized Assistive Techniques; Large Language Models</t>
  </si>
  <si>
    <t>REALITY</t>
  </si>
  <si>
    <t>We present Explainable XR, an end-to-end framework for analyzing user behavior in diverse eXtended Reality (XR) environments by leveraging Large Language Models (LLMs) for data interpretation assistance. Existing XR user analytics frameworks face challenges in handling cross-virtuality - AR, VR, MR - transitions, multi-user collaborative application scenarios, and the complexity of multimodal data. Explainable XR addresses these challenges by providing a virtuality-agnostic solution for the collection, analysis, and visualization of immersive sessions. We propose three main components in our framework: (1) A novel user data recording schema, called User Action Descriptor (UAD), that can capture the users' multimodal actions, along with their intents and the contexts; (2) a platform-agnostic XR session recorder, and (3) a visual analytics interface that offers LLM-assisted insights tailored to the analysts' perspectives, facilitating the exploration and analysis of the recorded XR session data. We demonstrate the versatility of Explainable XR by demonstrating five use-case scenarios, in both individual and collaborative XR applications across virtualities. Our technical evaluation and user studies show that Explainable XR provides a highly usable analytics solution for understanding user actions and delivering multifaceted, actionable insights into user behaviors in immersive environments.</t>
  </si>
  <si>
    <t>10.1109/TVCG.2025.3549537</t>
  </si>
  <si>
    <t>WOS:001476476900009</t>
  </si>
  <si>
    <t>Ren, TF; Zhang, ZP; Jia, B; Zhang, SW</t>
  </si>
  <si>
    <t>Ren, Tengfei; Zhang, Zhipeng; Jia, Bo; Zhang, Shiwen</t>
  </si>
  <si>
    <t>Retrieval-Augmented Generation-aided causal identification of aviation accidents: A large language model methodology</t>
  </si>
  <si>
    <t>Retrieval-Augmented Generation; Aviation Safety; Natural Language Processing; Cause</t>
  </si>
  <si>
    <t>Identification and assessment of key information within historical aviation accident reports are essential for preventing future accidents. However, manual causation extraction of key details is a labor-intensive and inefficient process due to the unstructured or semi-structured format of reports. To narrow these gaps, this paper proposes a Retrieval-Augmented Generation (RAG)-aided Causal Identification (RACI) model combining the Large Language Model approach. This novel model comprises a retrieval module and a generation module. Leveraging the real-world aviation reports published by the National Transportation Safety Board (NTSB), the proposed model demonstrates a substantial improvement in both retrieval accuracy and robustness. Specifically, the RACI method achieves a mean Average Precision (mAP) of 0.815 and a maximum mean Normalized Discounted Cumulative Gain (mNDCG) of 0.761. This study further examines the influence of various prompt designs on the reason localization performance of RACI. With the enhancement of RAG and noise filter method, RACI shows great robustness to noisy inputs. This highlights RACI's potential applicability in assisting the experts with causation identification. The experiment results demonstrate that RACI can serve as an efficient expert system to enhance decision making and risk management in aviation safety.</t>
  </si>
  <si>
    <t>10.1016/j.eswa.2025.127306</t>
  </si>
  <si>
    <t>WOS:001458438100001</t>
  </si>
  <si>
    <t>Rezaeikhonakdar, D</t>
  </si>
  <si>
    <t>Rezaeikhonakdar, Delaram</t>
  </si>
  <si>
    <t>AI Chatbots and Challenges of HIPAA Compliance for AI Developers and Vendors</t>
  </si>
  <si>
    <t>JOURNAL OF LAW MEDICINE &amp; ETHICS</t>
  </si>
  <si>
    <t>AI Chatbot; Artificial Intelligence; Law and Medicine; Privacy; Health Policy</t>
  </si>
  <si>
    <t>Developers and vendors of large language models (LLMs) - such as ChatGPT, Google Bard, and Microsoft's Bing at the forefront-can be subject to Health Insurance Portability and Accountability Act of 1996 (HIPAA) when they process protected health information (PHI) on behalf of the HIPAA covered entities. In doing so, they become business associates or subcontractors of a business associate under HIPAA.</t>
  </si>
  <si>
    <t>1073-1105</t>
  </si>
  <si>
    <t>1748-720X</t>
  </si>
  <si>
    <t>10.1017/jme.2024.15</t>
  </si>
  <si>
    <t>Social Sciences - Other Topics; Government &amp; Law; Medical Ethics; Legal Medicine</t>
  </si>
  <si>
    <t>WOS:001193799200021</t>
  </si>
  <si>
    <t>Ding, F; Yuan, YQ; Lv, LZ; Zhang, R; Zhou, WB</t>
  </si>
  <si>
    <t>Ding, Fan; Yuan, Yaqian; Lv, Lizhi; Zhang, Rui; Zhou, Wenbo</t>
  </si>
  <si>
    <t>Transformer-Enhanced DQN Approach for Energy and Cost-Efficient Large-Scale Dynamic Workflow Scheduling in Heterogeneous Environment</t>
  </si>
  <si>
    <t>Dynamic scheduling; Task analysis; Processor scheduling; Scheduling; Heuristic algorithms; Transformers; Costs; Cost; deep reinforcement learning (DRL); dynamic workflow scheduling; energy; transformer</t>
  </si>
  <si>
    <t>In a heterogeneous workflow environment, the uncertainty of task execution times, dynamic resource changes, and task dependencies' evolution pose significant scheduling challenges. This article investigates how to make intelligent and adaptive scheduling decisions in a constantly changing heterogeneous cloud environment. We propose a novel scheduling approach, transformer-enhanced DQN (T-DQN) that combines the strengths of reinforcement learning (RL) and the Transformer model into a hybrid strategy. This method leverages the ability of RL to handle uncertainty and dynamics in the decision-making process while integrating the advantages of the Transformer model in dealing with long sequences and complex relationships. Our experimental evaluation shows that the T-DQN algorithm outperforms existing algorithms consistently in real-world workflow, dynamic scenarios, and high-load environments. T-DQN reduces makespan by up to 13.66%, improves energy by about 16.65%, and improves cost by 44.72% compared to the six other approaches. This performance is particularly significant in high-load environments, where T-DQN's adaptability and scalability minimize failure rates and optimize resource management, affirming its suitability as a robust solution to complex cloud computing challenges.</t>
  </si>
  <si>
    <t>10.1109/JIOT.2024.3442997</t>
  </si>
  <si>
    <t>WOS:001351916500095</t>
  </si>
  <si>
    <t>Song, D; Xie, X; Song, JY; Zhu, DR; Huang, YH; Felix, JX; Ma, L</t>
  </si>
  <si>
    <t>Song, Da; Xie, Xuan; Song, Jiayang; Zhu, Derui; Huang, Yuheng; Felix, Juefei-Xu; Ma, Lei</t>
  </si>
  <si>
    <t>LUNA: A Model-Based Universal Analysis Framework for Large Language Models</t>
  </si>
  <si>
    <t>IEEE TRANSACTIONS ON SOFTWARE ENGINEERING</t>
  </si>
  <si>
    <t>Large language models; deep neural networks; model-based analysis; quality assurance; Large language models; deep neural networks; model-based analysis; quality assurance</t>
  </si>
  <si>
    <t>MARKOV; EXTRACTION</t>
  </si>
  <si>
    <t>Over the past decade, Artificial Intelligence (AI) has had great success recently and is being used in a wide range of academic and industrial fields. More recently, Large Language Models (LLMs) have made rapid advancements that have propelled AI to a new level, enabling and empowering even more diverse applications and industrial domains with intelligence, particularly in areas like software engineering and natural language processing. Nevertheless, a number of emerging trustworthiness concerns and issues exhibited in LLMs, e.g., robustness and hallucination, have already recently received much attention, without properly solving which the widespread adoption of LLMs could be greatly hindered in practice. The distinctive characteristics of LLMs, such as the self-attention mechanism, extremely large neural network scale, and autoregressive generation usage contexts, differ from classic AI software based on Convolutional Neural Networks and Recurrent Neural Networks and present new challenges for quality analysis. Up to the present, it still lacks universal and systematic analysis techniques for LLMs despite the urgent industrial demand across diverse domains. Towards bridging such a gap, in this paper, we initiate an early exploratory study and propose a universal analysis framework for LLMs, named LUNA, which is designed to be general and extensible and enables versatile analysis of LLMs from multiple quality perspectives in a human-interpretable manner. In particular, we first leverage the data from desired trustworthiness perspectives to construct an abstract model as an auxiliary analysis asset and proxy, which is empowered by various abstract model construction methods built-in LUNA. To assess the quality of the abstract model, we collect and define a number of evaluation metrics, aiming at both the abstract model level and the semantics level. Then, the semantics, which is the degree of satisfaction of the LLM w.r.t. the trustworthiness perspective, is bound to and enriches the abstract model with semantics, which enables more detailed analysis applications for diverse purposes, e.g., abnormal behavior detection. To better understand the potential usefulness of our analysis framework LUNA, we conduct a large-scale evaluation, the results of which demonstrate that 1) the abstract model has the potential to distinguish normal and abnormal behavior in LLM, 2) LUNA is effective for the real-world analysis of LLMs in practice, and the hyperparameter settings influence the performance, 3) different evaluation metrics are in different correlations with the analysis performance. In order to encourage further studies in the quality assurance of LLMs, we made all of the code and more detailed experimental results data available on the supplementary website of this paper https://sites.google.com/view/llm-luna.</t>
  </si>
  <si>
    <t>0098-5589</t>
  </si>
  <si>
    <t>1939-3520</t>
  </si>
  <si>
    <t>10.1109/TSE.2024.3411928</t>
  </si>
  <si>
    <t>WOS:001272193600014</t>
  </si>
  <si>
    <t>Susnjak, T; Hwang, P; Reyes, N; Barczak, ALC; Mcintosh, T; Unga, SR</t>
  </si>
  <si>
    <t>Susnjak, Teo; Hwang, Peter; Reyes, Napoleon; Barczak, Andre L. C.; Mcintosh, Timothy; Unga, Surangika Ranath</t>
  </si>
  <si>
    <t>Automating Research Synthesis with Domain-Specific Large Language Model Fine-Tuning</t>
  </si>
  <si>
    <t>ACM TRANSACTIONS ON KNOWLEDGE DISCOVERY FROM DATA</t>
  </si>
  <si>
    <t>AI-Assisted Literature Review; Text Mining for Research Synthesis; LLM Fine-tuning; Systematic Literature Review Automation; Retrieval-Augmented Generation for Research; Domain-Specific Model Training; Knowledge Synthesis AI; AI-Driven Research; Literature Review Automation; Generative AI; AI-Enhanced Systematic Reviews; PRISMA and AI; Question and Answering</t>
  </si>
  <si>
    <t>DATA EXTRACTION; META-SYNTHESIS; REVIEWS; CHALLENGES</t>
  </si>
  <si>
    <t>This research pioneers the use of fine-tuned Large Language Models (LLMs) to automate Systematic Literature Reviews (SLRs), presenting a significant and novel contribution in integrating AIto enhance academic research methodologies. Our study employed advanced fine-tuning methodologies on open sourced LLMs, applying textual data mining techniques to automate the knowledge discovery and synthesis phases of an SLR process, thus demonstrating a practical and efficient approach for extracting and analyzing high-quality information from large academic datasets. The results maintained high fidelity in factual accuracy in LLM responses, and were validated through the replication of an existing PRISMA-conforming SLR. Our research proposed solutions for mitigating LLM hallucination and proposed mechanisms for tracking LLM responses to their sources of information, thus demonstrating how this approach can meet the rigorous demands of scholarly research. The findings ultimately confirmed the potential of fine-tuned LLMs in streamlining various labor-intensive processes of conducting literature reviews. As a scalable proof-of-concept, this study highlights the broad applicability of our approach across multiple research domains. The potential demonstrated here advocates for updates to PRISMA reporting guidelines, incorporating AI-driven processes to ensure methodological transparency and reliability in future SLRs. This study broadens the appeal of AI-enhanced tools across various academic and research fields, demonstrating how to conduct comprehensive and accurate literature reviews with more efficiency in the face of ever-increasing volumes of academic studies while maintaining high standards.</t>
  </si>
  <si>
    <t>1556-4681</t>
  </si>
  <si>
    <t>1556-472X</t>
  </si>
  <si>
    <t>10.1145/3715964</t>
  </si>
  <si>
    <t>WOS:001508994700014</t>
  </si>
  <si>
    <t>Syromiatnikov, MV; Ruvinskaya, VM</t>
  </si>
  <si>
    <t>Syromiatnikov, M., V; Ruvinskaya, V. M.</t>
  </si>
  <si>
    <t>UA-LLM: ADVANCING CONTEXT-BASED QUESTION ANSWERING IN UKRAINIAN THROUGH LARGE LANGUAGE MODELS</t>
  </si>
  <si>
    <t>RADIO ELECTRONICS COMPUTER SCIENCE CONTROL</t>
  </si>
  <si>
    <t>large language model; question-answering; few-shot learning; generative annotation</t>
  </si>
  <si>
    <t>Context. Context-based question answering, a fundamental task in natural language processing, demands a deep understanding of the language's nuances. While being a sophisticated task, it's an essential part of modern search systems, intelligent assistants, chatbots, and the whole Conversational AI field. While English, Chinese, and other widely spoken languages have gathered an exten-sive number of datasets, algorithms, and benchmarks, the Ukrainian language, with its rich linguistic heritage and intricate syntax, has remained among low-resource languages in the NLP community, making the Question Answering problem even harder. Objective. The purpose of this work is to establish and benchmark a set of techniques, leveraging Large Language Models, com-bined in a single framework for solving the low-resource problem for Context-based question-answering task in Ukrainian. Method. A simple yet flexible framework for leveraging Large Language Models, developed as a part of this research work, en-lights two key methods proposed and evaluated in this paper for dealing with a small amount of training data for context-based ques-tion-answering tasks. The first one utilizes Zero-shot and Few-shot learning - the two major subfields of N-shot learning, where N corresponds to the number of training samples, to build a bilingual instruction-based prompt strategy for language models inferencing in an extractive manner (find an answer span in context) instead of their natural generative behavior (summarize the context accord-ing to question). The second proposed method is based on the first one, but instead of just answering the question, the language mod-el annotates the input context through the generation of question-answer pairs for the given paragraph. This synthetic data is used for extractive model training. This paper explores both augmentation-based training, when there is some annotated data already, andcompletely synthetic training, when no data is available. The key benefit of these two methods is the ability to obtain comparable prediction quality even without an expensive and long-term human annotation process. Results. Two proposed methods for solving the low-to-zero amount of training data problem for context-based question-answering tasks in Ukrainian were implemented and combined into the flexible LLM experimentation framework. Conclusions. This research comprehensively studied OpenAI GPT-3.5, OpenAI GPT-4, Cohere Command, and Meta LLaMa-2 language understanding capabilities applied to context-based question answering in low-resource Ukrainian. The thorough evaluation of proposed methods on a diverse set of metrics proves their efficiency, unveiling the possibility of building components of search engines, chatbot applications, and standalone general-domain CBQA systems with Ukrainian language support while having almost zero annotated data. The prospect for further research is to extend the scope from the CBQA task evaluated in this paper to all major NLU tasks with the final goal of establishing a complete benchmark for LLMs' capabilities evaluation in the Ukrainian language</t>
  </si>
  <si>
    <t>1607-3274</t>
  </si>
  <si>
    <t>2313-688X</t>
  </si>
  <si>
    <t>10.15588/1607-3274-2024-1-14</t>
  </si>
  <si>
    <t>WOS:001282290000014</t>
  </si>
  <si>
    <t>Zhang, YX; Liu, CB; Liu, YZ; Gao, YF; Lu, ZY; Xie, HT; Zhang, YD</t>
  </si>
  <si>
    <t>Zhang, Yixuan; Liu, Chuanbin; Liu, Yizhi; Gao, Yifan; Lu, Zhiying; Xie, Hongtao; Zhang, Yongdong</t>
  </si>
  <si>
    <t>Leveraging Concise Concepts With Probabilistic Modeling for Interpretable Visual Recognition</t>
  </si>
  <si>
    <t>Visualization; Probabilistic logic; Semantics; Training; Redundancy; Predictive models; Large language models; Adaptation models; Accuracy; Prototypes; Concept bottleneck model; vision-language model; probabilistic modeling</t>
  </si>
  <si>
    <t>Interpretable visual recognition is essential for decision-making in high-stakes situations. Recent advancements have automated the construction of interpretable models by leveraging Visual Language Models (VLMs) and Large Language Models (LLMs) with Concept Bottleneck Models (CBMs), which process a bottleneck layer associated with human-understandable concepts. However, existing methods suffer from two main problems: a) the collected concepts from LLMs could be redundant with task-irrelevant descriptions, resulting in an inferior concept space with potential mismatch. b) VLMs directly map the global deterministic image embeddings with fine-grained concepts results in an ambiguous process with imprecise mapping results. To address the above two issues, we propose a novel solution for CBMs with Concise Concept and Probabilistic Modeling (CCPM) that can achieve superior classification performance via high-quality concepts and precise mapping strategy. First, we leverage in-context examples as category-related clues to guide LLM concept generation process. To mitigate redundancy in the concept space, we propose a Relation-Aware Selection (RAS) module to obtain a concise concept set that is discriminative and relevant based on image-concept and inter-concept relationships. Second, for precise mapping, we employ a Probabilistic Distribution Adapter (PDA) that estimates the inherent ambiguity of the image embeddings of pre-trained VLMs to capture the complex relationships with concepts. Extensive experiments indicate that our model achieves state-of-the-art results with a 6.18% improvement in classification accuracy on eight mainstream recognition benchmarks as well as reliable explainability through interpretable analysis.</t>
  </si>
  <si>
    <t>10.1109/TMM.2025.3557677</t>
  </si>
  <si>
    <t>WOS:001498274900025</t>
  </si>
  <si>
    <t>Deng, W; Hu, DY; Jiang, ZL; Zhang, P; Shi, Y</t>
  </si>
  <si>
    <t>Deng, Wei; Hu, Dongyi; Jiang, Zilong; Zhang, Peng; Shi, Yong</t>
  </si>
  <si>
    <t>Context-Driven Recommendation via Heterogeneous Temporal Modeling and Large Language Model in the Takeout System</t>
  </si>
  <si>
    <t>context-driven; multimodal hybrid fusion; time awareness; sequential recommendation; DeepSeek-R1</t>
  </si>
  <si>
    <t>On food delivery platforms, user decisions are often driven by dynamic contextual factors such as time, intent, and lifestyle patterns. Traditional context-aware recommender systems struggle to capture such implicit signals, especially when user behavior spans heterogeneous long- and short-term patterns. To address this, we propose a context-driven recommendation framework that integrates a hybrid sequence modeling architecture with a Large Language Model for post hoc reasoning and reranking. Specifically, the solution tackles several key issues: (1) integration of multimodal features to achieve explicit context fusion through a hybrid fusion strategy; (2) introduction of a context capture layer and a context propagation layer to enable effective encoding of implicit contextual states hidden in the heterogeneous long and short term; (3) cross attention mechanisms to facilitate context retrospection, which allows implicit contexts to be uncovered; and (4) leveraging the reasoning capabilities of DeepSeek-R1 as a post-processing step to perform open knowledge-enhanced reranking. Extensive experiments on a real-world dataset show that our approach significantly outperforms strong baselines in both prediction accuracy and Top-K recommendation quality. Case studies further demonstrate the model's ability to uncover nuanced, implicit contextual cues-such as family roles and holiday-specific behaviors-making it particularly effective for personalized, dynamic recommendations in high-frequency scenes.</t>
  </si>
  <si>
    <t>10.3390/systems13080682</t>
  </si>
  <si>
    <t>WOS:001558247400001</t>
  </si>
  <si>
    <t>Zhang, LJ; Yuan, JB; He, YG; Yu, M; Zhu, K; Yu, ZN</t>
  </si>
  <si>
    <t>Zhang, Liangji; Yuan, Jianbo; He, Yougming; Yu, Miao; Zhu, Kun; Yu, Zhenni</t>
  </si>
  <si>
    <t>Diversity-driven reasoning: Mitigating logical errors in LLMs through social-attribute guided multi-agent collaboration</t>
  </si>
  <si>
    <t>Large language model; Multi-agent collaboration; Group decision making</t>
  </si>
  <si>
    <t>This paper proposes a Multi-Attribute Hybrid Expert (MAME) framework to address the challenges of error solidification in large language models (LLMs) arising from logical error accumulation and answer convergence during multi-round complex reasoning tasks. First, we introduce a Group Feedback Framework (GFF) that integrates group decision-making theory into multi-agent collaboration. By simulating human consensus formation and error correction mechanisms, we define a dynamic confidence matrix and an answer credibility score to quantify inter-agent influence. These metrics dynamically guide agents in adjusting their reasoning paths based on collective feedback. Second, we propose a Multi-Attribute Prompting (MAP) method that assigns distinct social attributes to each agent, fostering perspective diversity through weight vector modulation and generation strategies. This approach effectively mitigates logical error accumulation, significantly suppresses error propagation across rounds, and prevents answer convergence and solidification. We evaluated MAME using Qwen2.5 models at scales of 3B, 7B, 14B, 32B, and 72B parameters. Experimental results demonstrate significant performance improvements across reasoning tasks: MAME achieves enhancements of up to 24.05 % in mathematical reasoning, 39.1 % in logical reasoning, and 4.94 % in commonsense reasoning compared to baseline models. Notably, MAME represents the first framework to embed social personality theory within multi-agent cooperation, providing an interpretable error correction mechanism for LLM-based complex reasoning. Our findings highlight the critical role of personality diversity in mitigating logical stagnation, laying a foundation for the deeper integration of LLMs with behavioral science and decision theory. The code is open source: https://github. com/ioio0614/MAME.</t>
  </si>
  <si>
    <t>10.1016/j.engappai.2025.113126</t>
  </si>
  <si>
    <t>WOS:001633624200011</t>
  </si>
  <si>
    <t>Lindemann, NF</t>
  </si>
  <si>
    <t>Lindemann, Nora Freya</t>
  </si>
  <si>
    <t>Chatbots, search engines, and the sealing of knowledges</t>
  </si>
  <si>
    <t>Chatbots; Large language models; Search; Situated knowledge; Sealed surfaces; Sealing of knowledges</t>
  </si>
  <si>
    <t>In 2023, online search engine provider Microsoft integrated a language model that provides direct answers to search queries into its search engine Bing. Shortly afterwards, Google also introduced a similar feature to its search engine with the launch of Google Gemini. This introduction of direct answers to search queries signals an important and significant change in online search. This article explores the implications of this new search paradigm. Drawing on Donna Haraway's theory of Situated Knowledges and Rainer Muhlhoff's concept of Sealed Surfaces, I introduce the term Sealed Knowledges to draw attention to the increasingly difficult access to the plurality of potential answers to search queries through the output of a singular, authoritative, and plausible text paragraph. I argue that the integration of language models for the provision of direct answers into search engines is based on a de-situated and disembodied understanding of knowledge and affects the subjectivities of its users. At the same time, the sealing of knowledges can lead to an increasing spread of misinformation and may make marginalized knowledge increasingly difficult to find. The paper concludes with an outlook on how to resist the increasing sealing of knowledges in online search.</t>
  </si>
  <si>
    <t>10.1007/s00146-024-01944-w</t>
  </si>
  <si>
    <t>WOS:001206455500002</t>
  </si>
  <si>
    <t>Tahir, HA; Alayed, W; Ul Hassan, W; Haider, A</t>
  </si>
  <si>
    <t>Tahir, H. Ahmed; Alayed, Walaa; Ul Hassan, Waqar; Haider, Amir</t>
  </si>
  <si>
    <t>Proposed Explainable Interference Control Technique in 6G Networks Using Large Language Models (LLMs)</t>
  </si>
  <si>
    <t>AI/ML; LLM; intelligent communication; beyond 5G; 6G</t>
  </si>
  <si>
    <t>5G; MANAGEMENT</t>
  </si>
  <si>
    <t>After the advent of 5th generation (5G) and 6th generation (6G) cellular networks, the complexity of managing real-time signal interference has increased in dense and dynamic environments. Traditional interference techniques, such as frequency reuse and allocation, while effective, lack robust adaptability and transparency needed to reduce interference in advanced communication networks. This paper introduces a novel approach that fuses large language models (LLMs) and Explainable Artificial Intelligence (XAI) to mitigate interference and enhance interference management in the mathematical foundations of 6G networks. The proposed approach provides accurate interference predictions, which the LLM balances with its complex architecture, necessary to meet the demands of beyond 5G and 6G networks, along with interpretable explanations to ensure transparency in decision-making. The proposed framework has been evaluated across various performance metrics. Interference latency consistently achieves lower rates of 0.95 s, compared to traditional techniques, which average around 1 s. Furthermore, the confidence score of the LLM shows a stable value of 0.87 throughout the system, compared to 0.85 in techniques without LLMs. Overall, the XAI-driven LLM demonstrates the potential of incorporating LLMs and XAI into wireless networks to improve resilience in next-generation networks. This proof of concept introduces a novel framework that offers new dimensions in wireless communication, particularly for interference management, prediction, and mitigation.</t>
  </si>
  <si>
    <t>10.3390/electronics13224375</t>
  </si>
  <si>
    <t>WOS:001364329000001</t>
  </si>
  <si>
    <t>Abbasi, AA; Farooqi, AH</t>
  </si>
  <si>
    <t>Abbasi, Altamash Ahmad; Farooqi, Ashfaq Hussain</t>
  </si>
  <si>
    <t>Integrating CT image reconstruction, segmentation, and large language models for enhanced diagnostic insight</t>
  </si>
  <si>
    <t>MEDICAL &amp; BIOLOGICAL ENGINEERING &amp; COMPUTING</t>
  </si>
  <si>
    <t>Computed tomography; Convolutional neural network; Large language model; Peak signal-to-noise ratio</t>
  </si>
  <si>
    <t>Deep learning has significantly advanced medical imaging, particularly computed tomography (CT), which is vital for diagnosing heart and cancer patients, evaluating treatments, and tracking disease progression. High-quality CT images enhance clinical decision-making, making image reconstruction a key research focus. This study develops a framework to improve CT image quality while minimizing reconstruction time. The proposed four-step medical image analysis framework includes reconstruction, preprocessing, segmentation, and image description. Initially, raw projection data undergoes reconstruction via a Radon transform to generate a sinogram, which is then used to construct a CT image of the pelvis. A convolutional neural network (CNN) ensures high-quality reconstruction. A bilateral filter reduces noise while preserving critical anatomical features. If required, a medical expert can review the image. The K-means clustering algorithm segments the preprocessed image, isolating the pelvis and removing irrelevant structures. Finally, the FuseCap model generates an automated textual description to assist radiologists. The framework's effectiveness is evaluated using peak signal-to-noise ratio (PSNR), normalized mean square error (NMSE), and structural similarity index measure (SSIM). The achieved values-PSNR 30.784, NMSE 0.032, and SSIM 0.877-demonstrate superior performance compared to existing methods. The proposed framework reconstructs high-quality CT images from raw projection data, integrating segmentation and automated descriptions to provide a decision-support tool for medical experts. By enhancing image clarity, segmenting outputs, and providing descriptive insights, this research aims to reduce the workload of frontline medical professionals and improve diagnostic efficiency.</t>
  </si>
  <si>
    <t>0140-0118</t>
  </si>
  <si>
    <t>1741-0444</t>
  </si>
  <si>
    <t>2025 SEP 25</t>
  </si>
  <si>
    <t>10.1007/s11517-025-03446-3</t>
  </si>
  <si>
    <t>Computer Science; Engineering; Mathematical &amp; Computational Biology; Medical Informatics</t>
  </si>
  <si>
    <t>WOS:001577691700001</t>
  </si>
  <si>
    <t>Liu, SQ; Liu, ZS; Chen, DL; Dai, WC; Zhou, L; Liu, Z; Cheung, RCC; Koç, ÇK</t>
  </si>
  <si>
    <t>Liu, Siqi; Liu, Zhusen; Chen, Donglong; Dai, Wangchen; Zhou, Lu; Liu, Zhe; Cheung, Ray C. C.; Koc, Cetin Kaya</t>
  </si>
  <si>
    <t>MLFormer: a high performance MPC linear inference framework for transformers</t>
  </si>
  <si>
    <t>JOURNAL OF CRYPTOGRAPHIC ENGINEERING</t>
  </si>
  <si>
    <t>Multi-party computation; Linear transformer; Private inference; Parallel processing; GPU</t>
  </si>
  <si>
    <t>Transformer-based models are widely used in natural language processing tasks, and their application has been further extended to computer vision as well. In their usage, data security has become a crucial concern when deploying deep learning services on cloud platforms. To address these security concerns, Multi-party computation (MPC) is employed to prevent data and model leakage during the inference process. However, Transformer model introduces several challenges for MPC computation, including the time overhead of the Softmax (normalized exponential) function, the accuracy issue caused by the dynamic range of approximated division and exponential, and the high memory overhead when processing long sequences. To overcome these challenges, we propose MLformer, an MPC-based inference framework for transformer models based on Crypten Knott et al. (Adv Neural Inf Process Syst 34: 4961-4973, 2021), a secure machine learning framework suggested by Facebook AI Research group, in the semi-honest adversary model. In this framework, we replace the softmax attention with linear attention, which has linear time and memory complexity with input length. The modification eliminates the softmax function entirely, resulting in lower time and memory overhead. To ensure the accuracy of linear attention, we propose the scaled linear attention to address the dynamic range issue caused by the MPC division used and a new approximate division function is proposed to reduce the computational time of the attention block. Furthermore, to improve the efficiency and accuracy of MPC exponential and reciprocal which are commonly used in transformer model, we propose a novel MPC exponential protocol and first integrate the efficient reciprocal protocol Bar-Ilan and Beaver (in Proceedings of the 8th annual ACM symposium on principles of distributed computing, pp. 201-209, 1989) to our framework. Additionally, we optimize the computation of causal linear attention, which is utilized in private inference of auto-regression tasks, using our novel CUDA kernel functions. All the proceeding optimizations contribute to the construction of a more accurate and efficient framework. The experimental results demonstrate that our framework achieves comparable accuracy with reduced inference time and GPU memory overhead compared to the original transformer model. The speedup reaches 78.79% compared to traditional private transformer with input length of 1024 patches.</t>
  </si>
  <si>
    <t>2190-8508</t>
  </si>
  <si>
    <t>2190-8516</t>
  </si>
  <si>
    <t>NOV 19</t>
  </si>
  <si>
    <t>10.1007/s13389-024-00365-1</t>
  </si>
  <si>
    <t>WOS:001358922700001</t>
  </si>
  <si>
    <t>Samee, NA; Alabdulhafith, M; Shah, SMAH; Rizwan, A</t>
  </si>
  <si>
    <t>Samee, Nagwan Abdel; Alabdulhafith, Maali; Shah, Syed Muhammad Ahmed Hassan; Rizwan, Atif</t>
  </si>
  <si>
    <t>JusticeAI: A Large Language Models Inspired Collaborative and Cross-Domain Multimodal System for Automatic Judicial Rulings in Smart Courts</t>
  </si>
  <si>
    <t>Law; Accuracy; Decision making; Artificial intelligence; Predictive models; Natural language processing; Europe; Data models; Support vector machines; Deep learning; multimodal networks; smart courts; deep learning; transformers</t>
  </si>
  <si>
    <t>SEMANTIC-BASED METHODOLOGY</t>
  </si>
  <si>
    <t>There has been a significant amount of attention in recent years toward the utilization of artificial intelligence (AI) in the realm of legal decision-making. This growing pattern reveals a higher interest among academics and legal professionals in utilizing AI technologies to enhance a number of legal system components. Artificial intelligence (AI) tools, such as machine learning and natural language processing, possess the capacity to analyze vast quantities of legal data, extract valuable insights, and facilitate decision-making processes. The primary aim of this study is to develop a sophisticated framework for judicial decision-making that incorporates methodologies from artificial intelligence and utilizes the dataset from the European Court of Human Rights (ECHR). The utilization of this methodology holds promise in improving the decision-making procedures of legal professionals and reducing the laborious task of manually analyzing legal documents. As a result, this can lead to the facilitation of more accurate predictions of court rulings. Our research introduces a hybrid ensemble model designed specifically for smart court rulings. This innovative approach harnesses the benefits of pre-trained embeddings and large language models to accurately predict court decisions. By utilizing the power of pre-existing embeddings and incorporating the capabilities of advanced language models, our proposed model demonstrates enhanced predictive accuracy and efficiency in the context of court rulings. We also focus on the models' feasible interpretability and highlight their ability to determine key factors in legal decision-making. We attain a notably high accuracy score of around 83%. Our research illuminates how large language models (LLMs) and advanced deep learning techniques can be utilized to predict legal outcomes.</t>
  </si>
  <si>
    <t>10.1109/ACCESS.2024.3491775</t>
  </si>
  <si>
    <t>WOS:001362127900020</t>
  </si>
  <si>
    <t>Dongye, X; Weng, DD; Jiang, HY; Tian, ZY; Bao, YH; Chen, PK</t>
  </si>
  <si>
    <t>Dongye, Xiaonuo; Weng, Dongdong; Jiang, Haiyan; Tian, Zeyu; Bao, Yihua; Chen, Pukun</t>
  </si>
  <si>
    <t>Personalized decision-making for agents in face-to-face interaction in virtual reality</t>
  </si>
  <si>
    <t>MULTIMEDIA SYSTEMS</t>
  </si>
  <si>
    <t>Face-to-face interaction; Virtual reality; Human-agent interaction; Large language model</t>
  </si>
  <si>
    <t>VIDEO</t>
  </si>
  <si>
    <t>Intelligent agents for face-to-face interaction in virtual reality are expected to make decisions and provide appropriate feedback based on the user's multimodal interaction inputs. Designing the agent's decision-making process poses a significant challenge owing to the limited availability of multimodal interaction decision-making datasets and the complexities associated with providing personalized interaction feedback to diverse users. To overcome these challenges, we propose a novel design framework that involves generating and labeling symbolic interaction data, pre-training a small-scale real-time decision-making network, collecting personalized interaction data within interactions, and fine-tuning the network using personalized data. We develop a prototype system to demonstrate our design framework, which utilizes interaction distances, head orientations, and hand postures as inputs in virtual reality. The agent is capable of delivering personalized feedback from different users. We evaluate the proposed design framework by demonstrating the utilization of large language models for data labeling, emphasizing reliability and robustness. Furthermore, we evaluate the incorporation of personalized data fine-tuning for decision-making networks within our design framework, highlighting its importance in improving the user interaction experience. The design principles of this framework can be further explored and applied to various domains involving virtual agents.</t>
  </si>
  <si>
    <t>0942-4962</t>
  </si>
  <si>
    <t>1432-1882</t>
  </si>
  <si>
    <t>DEC 24</t>
  </si>
  <si>
    <t>10.1007/s00530-024-01591-7</t>
  </si>
  <si>
    <t>WOS:001382413000001</t>
  </si>
  <si>
    <t>Xiong, YX; Chen, YT; Zhang, H</t>
  </si>
  <si>
    <t>Xiong, Yunxuan; Chen, Yuntao; Zhang, Hai</t>
  </si>
  <si>
    <t>ICR: A framework for resolving knowledge conflicts in retrieval-augmented generation</t>
  </si>
  <si>
    <t>Retrieval-augmented generation; Large language models; Knowledge conflict; Direct preference optimization; Knowledge integration</t>
  </si>
  <si>
    <t>Retrieval-Augmented Generation (RAG) systems often exhibit irrational and inconsistent behavior when reconciling conflicts between internal parametric knowledge and externally retrieved evidence. This critical issue significantly undermines system reliability and practical applicability. Current approaches often lack a reliable and intelligent decision-making mechanism when confronted with such knowledge conflicts, struggling to effectively reconcile inconsistencies between information from different sources. To address this issue, this paper introduces the Internalized Conflict Resolution (ICR) framework. It systematically defines eight typical categories of knowledge conflict scenarios and leverages Direct Preference Optimization (DPO) for training. This process internalizes human-desired conflict resolution logic into the model's parameters, enabling it to autonomously call and execute appropriate solution strategies based on human instructions.Experimental results demonstrate that the ICR framework significantly enhances the model's robustness in decision-making and generalization capability in conflict scenarios, outperforming existing baseline methods on datasets such as TriviaQA and NQ. This study provides an effective solution for building stable and trustworthy RAG systems, facilitating the evolution of large language models from passive information processors into proactive, rational decision-makers.</t>
  </si>
  <si>
    <t>10.1016/j.neucom.2025.132139</t>
  </si>
  <si>
    <t>WOS:001628468100001</t>
  </si>
  <si>
    <t>Lifelo, Z; Ding, JG; Ning, HS; Dhelim, S</t>
  </si>
  <si>
    <t>Lifelo, Zita; Ding, Jianguo; Ning, Huansheng; Dhelim, Sahraoui</t>
  </si>
  <si>
    <t>Artificial Intelligence-Enabled Metaverse for Sustainable Smart Cities: Technologies, Applications, Challenges, and Future Directions</t>
  </si>
  <si>
    <t>artificial intelligence; digital twins; metaverse; generative AI; large language models; smart cities; sustainable cities; adaptive urban systems; urban transformation; urban planning</t>
  </si>
  <si>
    <t>SEMANTIC COMMUNICATION; IOT APPLICATIONS; BIG DATA; INTERNET; CITY; NETWORKS; MODEL; ARCHITECTURE; PREDICTION; MANAGEMENT</t>
  </si>
  <si>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</si>
  <si>
    <t>10.3390/electronics13244874</t>
  </si>
  <si>
    <t>WOS:001386778700001</t>
  </si>
  <si>
    <t>Ma, XF; Ge, XX; Xu, HY; Fu, DY; Wang, ZX; Liu, YC; He, KQ; Xu, WR</t>
  </si>
  <si>
    <t>Ma, Xiufa; Ge, Xinxin; Xu, Heyang; Fu, Dayuan; Wang, Zhexu; Liu, Yuchen; He, Keqing; Xu, Weiran</t>
  </si>
  <si>
    <t>FuseMind: Fusing reflection and prediction elevates agent's reasoning capabilities</t>
  </si>
  <si>
    <t>LLM agents reasoning; Strategic planning enhancement; Reflection-prediction integration</t>
  </si>
  <si>
    <t>Large language models (LLMs) are being increasingly utilized as goal-oriented agents to interact with various external environments, such as games, compilers, and APIs. Nevertheless, these language agents still face diffi-culties when it comes to long-term reasoning and planning. In this paper, we present FuseMind, a novel agent framework that integrates the Reflection Module and the Prediction Module to enhance the reasoning capabil-ities of large language model (LLM) agents. FuseMind consists of two key modules: (1) the Reflection Module, which enables agents to process task feedback through verbal reflection and store their insights in an episodic memory buffer, facilitating improved decision-making in subsequent interactions and efficient learning from past experiences; and (2) the Prediction Module, which encourages agents to reconcile discrepancies between fore-casts and actual outcomes, thereby broadening their reasoning scope and promoting more strategically focused thought processes. Experimental results demonstrate that FuseMind achieves significant performance gains over strong baseline agents on a variety of challenging tasks. Ablation studies further reveal that FuseMind consistently improves LLM agent performance by enhancing both reasoning diversity and strategic orientation.</t>
  </si>
  <si>
    <t>DEC 28</t>
  </si>
  <si>
    <t>10.1016/j.neucom.2025.131755</t>
  </si>
  <si>
    <t>WOS:001597825400002</t>
  </si>
  <si>
    <t>Han, YY; Liu, JP; Luo, A; Wang, Y; Bao, S</t>
  </si>
  <si>
    <t>Han, Yaoyao; Liu, Jiping; Luo, An; Wang, Yong; Bao, Shuai</t>
  </si>
  <si>
    <t>Fine-Tuning LLM-Assisted Chinese Disaster Geospatial Intelligence Extraction and Case Studies</t>
  </si>
  <si>
    <t>natural disasters; large language models; geospatial intelligence; social media; spatiotemporal information mining; emergency management</t>
  </si>
  <si>
    <t>SOCIAL MEDIA; INFORMATION</t>
  </si>
  <si>
    <t>The extraction of disaster geospatial intelligence (DGI) from social media data with spatiotemporal attributes plays a crucial role in real-time disaster monitoring and emergency decision-making. However, conventional machine learning approaches struggle with semantic complexity and limited Chinese disaster corpus. Recent advancements in large language models (LLMs) offer new opportunities to overcome these challenges due to their enhanced semantic comprehension and multi-task learning capabilities. This study investigates the potential application of LLMs in disaster intelligence extraction and proposes an efficient, scalable method for multi-hazard DGI extraction. Building upon a unified ontological framework encompassing core natural disaster elements, this method employs parameter-efficient low-rank adaptation (LoRA) fine-tuning to optimize open-source Chinese LLMs using a meticulously curated instruction-tuning dataset. It achieves simultaneous identification of multi-hazard intelligence cues and extraction of disaster spatial entity attributes from unstructured Chinese social media texts through unified semantic parsing and structured knowledge mapping. Compared to pre-trained models such as BERT and ERNIE, the proposed method was shown to achieve state-of-the-art evaluation results, with the highest recognition accuracy (F1-score: 0.9714) and the best performance in structured information generation (BLEU-4 score: 92.9649). Furthermore, we developed and released DGI-Corpus, a Chinese instruction-tuning dataset covering various disaster types, to support the research and application of LLMs in this field. Lastly, the proposed method was applied to analyze the spatiotemporal evolution patterns of the Zhengzhou 7.20 flood disaster. This study enhances the efficiency of natural disaster monitoring and emergency management, offering technical support for disaster response and mitigation decision-making.</t>
  </si>
  <si>
    <t>10.3390/ijgi14020079</t>
  </si>
  <si>
    <t>WOS:001430421900001</t>
  </si>
  <si>
    <t>Mukhtar, H; Schaub, R; Erol-Kantarci, M</t>
  </si>
  <si>
    <t>Mukhtar, Hind; Schaub, Raymond; Erol-Kantarci, Melike</t>
  </si>
  <si>
    <t>QoS Prediction for Satellite-Based Avionic Communication Using Transformers</t>
  </si>
  <si>
    <t>IEEE TRANSACTIONS ON MACHINE LEARNING IN COMMUNICATIONS AND NETWORKING</t>
  </si>
  <si>
    <t>Avionic communications; quality of service (QoS); machine learning; transformers; predictive modeling; Avionic communications; quality of service (QoS); machine learning; transformers; predictive modeling</t>
  </si>
  <si>
    <t>Satellite-based communication systems are crucial for providing high-speed data services in aviation, particularly for business aviation operations that demand global connectivity. These systems face challenges from numerous interdependent factors, such as satellite handovers, congestion, flight maneuvers, and seasonal variations, making accurate Quality of Service (QoS) prediction complex. Currently, there is no established methodology for predicting QoS in avionic communication systems. This paper addresses this gap by proposing machine learning-based approaches for pre-flight QoS prediction. Specifically, we leverage transformer models to predict QoS along a given flight path using real-world data. The model takes as input a variety of positional and network-related features, such as aircraft location, satellite information, historical QoS, and handover probabilities, and outputs a predicted performance score for each position along the flight. This approach allows for proactive decision-making, enabling flight crews to select the most optimal flight paths before departure, improving overall operational efficiency in business aviation. Our proposed encoder-decoder transformer model achieved an overall prediction accuracy of 65% and an RMSE of 1.91, representing a significant improvement over traditional baseline methods. While these metrics are notable, our model's key contribution is a substantial improvement in prediction accuracy for underrepresented classes, which were a major limitation of prior approaches. Additionally, the model significantly reduces inference time, achieving predictions in 40 seconds compared to 6,353 seconds for a traditional KNN model. This approach allows for proactive decision-making, enabling flight crews to select optimal flight paths before departure, improving overall operational efficiency in business aviation.</t>
  </si>
  <si>
    <t>2831-316X</t>
  </si>
  <si>
    <t>10.1109/TMLCN.2026.3653719</t>
  </si>
  <si>
    <t>WOS:001666911100001</t>
  </si>
  <si>
    <t>Bindle, A; Singla, P; Sharma, S; Khakimov, A; Alkanhel, RI; Muthanna, A</t>
  </si>
  <si>
    <t>Bindle, Abhay; Singla, Preeti; Sharma, Sachin; Khakimov, Abdukodir; Alkanhel, Reem Ibrahim; Muthanna, Ammar</t>
  </si>
  <si>
    <t>A Hybrid Large Language Model for Context-Aware Document Ranking in Telecommunication Data</t>
  </si>
  <si>
    <t>Communications technology; Semantics; Synthetic data; Context modeling; Adaptation models; Telecommunications; Standards; Optimization; Industries; Data models; BM25; document ranking; information retrieval; large language models; semantic similarity; telecommunication; vector space analysis</t>
  </si>
  <si>
    <t>Large language models (LLMs) have drawn a lot of attention due to their exceptional comprehension and reasoning capabilities. The development of LLM methods are leading to countless prospects for the automation of numerous tasks in the telecommunication industry. Following pre-training and fine-tuning, LLMs are able to carry out a variety of downstream activities in response to human instructions. This paper presents hybrid document retrieval and ranking approach that integrates statistical, probabilistic, and neural network-based retrieval models to enhance information retrieval performance in telecommunication domain. Traditional methods such as Term Frequency-Inverse Document Frequency (TF-IDF), and Best Match 25 (BM25) provide effective lexical matching, while deep learning-based models like Sentence-BERT (SBERT), and Word to Vector (Word2Vec) improve semantic understanding by capturing contextual relationships between query and document representations. The proposed framework introduces a novel multi-stage ranking mechanism that strategically integrates term-frequency-based scoring with semantic similarity modelling using Sentence-BERT and Word2Vec. Unlike existing models, our method dynamically adjusts weights across lexical and semantic components based on query features, enabling real-time adaptation for telecom-specific QA tasks. Performance evaluation is conducted using BLEU Score, ROUGE metrics, Cosine Similarity, and Word2Vec Similarity, demonstrating that the hybrid model outperforms conventional retrieval baselines in both precision and recall-oriented tasks. The proposed model effectively aligns query intent with retrieved documents, increase in efficiency of domain-specific search. The future scope includes dynamic embedding techniques to handle domain adaptation and attention-based ranking optimizations for long-form information retrieval. This research enhances information retrieval by combining machine learning-based ranking with traditional methods, improving knowledge discovery and decision-making in telecommunications and technical document processing.</t>
  </si>
  <si>
    <t>10.1109/ACCESS.2025.3585637</t>
  </si>
  <si>
    <t>WOS:001530267800048</t>
  </si>
  <si>
    <t>Barzdins, P; Pretkalnins, I; Barzdins, G</t>
  </si>
  <si>
    <t>Barzdins, Paulis; Pretkalnins, Ingus; Barzdins, Guntis</t>
  </si>
  <si>
    <t>From Captions to Pixels: Open-Set Semantic Segmentation without Masks</t>
  </si>
  <si>
    <t>BALTIC JOURNAL OF MODERN COMPUTING</t>
  </si>
  <si>
    <t>semantic segmentation; robotics; robot vision; computer vision; deep learning</t>
  </si>
  <si>
    <t>This paper presents a novel approach to open -set semantic segmentation in unstructured environments where there are no meaningful prior mask proposals. Our method leverages pretrained encoders from foundation models and uses image -caption datasets for training, reducing the need for annotated masks and extensive computational resources. We introduce a novel contrastive loss function, named CLIC (Contrastive Loss function on Image -Caption data), which enables training a semantic segmentation model directly on an image -caption dataset. By utilising image -caption datasets, our method provides a practical solution for semantic segmentation in scenarios where large-scale segmented mask datasets are not readily available, as is the case for unstructured environments where full segmentation is unfeasible. Our approach is adaptable to evolving foundation models, as the encoders are used as black -boxes. The proposed method has been designed with robotics applications in mind to enhance their autonomy and decision -making capabilities in real -world scenarios.</t>
  </si>
  <si>
    <t>2255-8942</t>
  </si>
  <si>
    <t>2255-8950</t>
  </si>
  <si>
    <t>10.22364/bjmc.2024.12.1.06</t>
  </si>
  <si>
    <t>WOS:001194961500001</t>
  </si>
  <si>
    <t>Sajja, R; Sermet, Y; Demir, I</t>
  </si>
  <si>
    <t>Sajja, Ramteja; Sermet, Yusuf; Demir, Ibrahim</t>
  </si>
  <si>
    <t>End-to-End Deployment of the Educational AI Hub for Personalized Learning and Engagement: A Case Study on Environmental Science Education</t>
  </si>
  <si>
    <t>Education; Artificial intelligence; Adaptive learning; Virtual assistants; Accuracy; Electronic learning; Water quality; Learning management systems; Large language models; Decision making; Artificial intelligence (AI); document parsing techniques; generative pre-training transformer (GPT); large language models (LLM); natural language processing (NLP); personalized learning</t>
  </si>
  <si>
    <t>This study introduces an end-to-end framework for deploying conversational AI-enabled educational assistants, focusing on personalized support for students across diverse subject areas, including Business, Culture, Environmental Sciences, History, Politics, and Science, as outlined in our evaluation framework. The system leverages advanced conversational AI technologies to provide targeted, course-specific learning experiences by facilitating access to complex data and integrating seamlessly with Learning Management Systems (LMS) like Canvas. Key metrics-information retrieval accuracy, question-answering accuracy, and hallucination accuracy-were selected to rigorously evaluate the system's ability to retrieve relevant contexts, generate accurate responses, and identify unanswerable questions. Additionally, the Educational AI Hub agents utilize innovative document parsing methods, such as the Nougat technique, to interpret content accurately, enabling adaptable academic support tailored to individual learning needs and extending to quantitative fields through code execution capabilities. This study also emphasizes the importance of accessibility, inclusivity, and user privacy. The results showcase the potential for enhanced engagement and improved understanding of environmental concepts and software tools, demonstrating the significant impact of conversational AI in educational settings, especially in disciplines involving complex data interactions. A case study, presented at the 12th International Congress on Environmental Modelling and Software, illustrates the Educational AI Hub's effectiveness in enhancing student engagement and delivering personalized learning experiences in environmental sciences education.</t>
  </si>
  <si>
    <t>10.1109/ACCESS.2025.3554222</t>
  </si>
  <si>
    <t>WOS:001457763200019</t>
  </si>
  <si>
    <t>Ashir, AM; Taha, MA</t>
  </si>
  <si>
    <t>Ashir, Abubakar M.; Taha, Mohammed Abdulghani</t>
  </si>
  <si>
    <t>BERT with an Augmented Cross-attention Decoder (BERT-ACD) for Binary and Fine-grained Multiband Sentiment Detection</t>
  </si>
  <si>
    <t>INTELLIGENZA ARTIFICIALE</t>
  </si>
  <si>
    <t>sentiment analysis; BERT; large language models; dependency parsing; natural language processing; cross-attention layers</t>
  </si>
  <si>
    <t>In contemporary times, research in sentiment analysis has taken deeper steps into a finer and more granular analysis, transcending beyond the traditional binary or ternary classification of sentiment/opinion into positive, negative, or neutral. With the increasing complexity and challenging nature of such tasks, large language models inspired by transformer architecture are frequently deployed to address such challenges. Despite recorded improvements, challenges in identifying different levels, strengths or bands of sentiment intensity and the aspect for which the sentiment is expressed remain unresolved. In this article, we propose a banded sentiment analysis system for categorizing texts into 7 meaningful and relatable bands of sentiment for modern applications. It is also capable of performing aspect-based sentiment analysis in the same pipeline. The system architecture is inspired by the transformer language model with a BERT-based encoder and a newly proposed cross-attention, non-autoregressive decoder with augmented inputs. The decoder receives an n-gram-based augmented input sequence embedding that is specifically extracted from the original input, which comprises a list of the subjects, descriptive phrases, and modification phrases that underscore cases of amplification or undertone in a sentence. Rule-based tree parsing was proposed for use with dependency parsing for the extraction of these augmented inputs for the cross-attention decoder. Extensive experiments were conducted under different architecture setups and conditions with popular sentiment analysis datasets (Amazon reviews 2023, IMDB Movies review, SST-5 and SST-2 datasets) to verify the efficacy of the system. Extended labeling was also performed on the SST-5 dataset to generate 7 sentiment classes with the help of GPT4 and Bard. Experiments validate the efficacy of the proposed models.</t>
  </si>
  <si>
    <t>1724-8035</t>
  </si>
  <si>
    <t>2211-0097</t>
  </si>
  <si>
    <t>10.1177/17248035241291687</t>
  </si>
  <si>
    <t>WOS:001467177500001</t>
  </si>
  <si>
    <t>Gimmelberg, D; Ludviga, I</t>
  </si>
  <si>
    <t>Gimmelberg, Dmitrii; Ludviga, Iveta</t>
  </si>
  <si>
    <t>Strategic Complexity and Behavioral Distortion: Retail Investing Under Large Language Model Augmentation</t>
  </si>
  <si>
    <t>INTERNATIONAL JOURNAL OF FINANCIAL STUDIES</t>
  </si>
  <si>
    <t>perceived cognitive assistance (PCA); large language models (LLMs); retail investor behavior; behavioral finance; AI-augmented decision-making; theory of planned behavior; algorithmic trading; cognitive biases; fintech adoption; market efficiency</t>
  </si>
  <si>
    <t>COMPUTER SELF-EFFICACY; USER ACCEPTANCE; PLANNED-BEHAVIOR; DECISION-MAKING; COGNITIVE LOAD; ANCHORING BIAS; TECHNOLOGY; TIME; METAANALYSIS; PERFORMANCE</t>
  </si>
  <si>
    <t>This conceptual article introduces Perceived Cognitive Assistance (PCA)-a novel psychological construct capturing how interactive support from Large Language Models (LLMs) alters investors' perception of their cognitive capacity to execute complex trading strategies. PCA formalizes a behavioral shift: LLM-empowered retail investors may transition from intuitive heuristics to institutional-grade strategies-sometimes without adequate comprehension. This empowerment-distortion duality forms the theoretical contribution's core. To empirically validate this model, this article outlines a five-step research agenda including psychological diagnostics, trading behavior analysis, market efficiency tests, and a Behavioral Shift Index (BSI). One agenda component-a dual-agent simulation framework-enables causal benchmarking in post-LLM environments. This simulation includes two contributions: (1) the Virtual Trader, a cognitively degraded benchmark approximating bounded human reasoning, and (2) the Digital Persona, a psychologically emulated agent grounded in behaviorally plausible logic. These components offer methods for isolating LLM assistance's cognitive uplift and evaluating behavioral implications under controlled conditions. This article contributes by specifying a testable link from established decision frameworks (Theory of Planned Behavior, Technology Acceptance Model, and Risk-as-Feelings) to two estimators: a moderated regression for individual decisions (Equation (1)) and a composite Behavioral Shift Index derived from trading logs (Equation (2)). We state directional, falsifiable predictions for the regression coefficients and for index dynamics, and we outline an identification and robustness plan-versioned, time-locked, and auditable-to be executed in the subsequent empirical phase. The result is a clear operational pathway from theory to measurement and testing, prior to empirical implementation. No empirical results are reported here; the contribution is the operational, falsifiable architecture and its implementation plan, to be executed in a separate preregistered study.</t>
  </si>
  <si>
    <t>2227-7072</t>
  </si>
  <si>
    <t>10.3390/ijfs13040210</t>
  </si>
  <si>
    <t>WOS:001646653300001</t>
  </si>
  <si>
    <t>Saha, B; Saha, U; Malik, MZ</t>
  </si>
  <si>
    <t>Saha, Binita; Saha, Utsha; Malik, Muhammad Zubair</t>
  </si>
  <si>
    <t>QuIM-RAG: Advancing Retrieval-Augmented Generation With Inverted Question Matching for Enhanced QA Performance</t>
  </si>
  <si>
    <t>Large language models (LLMs); retrieval-augmented generation (RAG); question answering (QA); ChatGPT; GPT-3.5-turbo; Meta-LLaMA3-8B-instruct; hallucination mitigation; information dilution; Large language models (LLMs); retrieval-augmented generation (RAG); question answering (QA); ChatGPT; GPT-3.5-turbo; Meta-LLaMA3-8B-instruct; hallucination mitigation; information dilution</t>
  </si>
  <si>
    <t>This work presents a novel architecture for building Retrieval-Augmented Generation (RAG) systems to improve Question Answering (QA) tasks from a target corpus. Large Language Models (LLMs) have revolutionized the analyzing and generation of human-like text. These models rely on pre-trained data and lack real-time updates unless integrated with live data tools. RAG enhances LLMs by integrating online resources and databases to generate contextually appropriate responses. However, traditional RAG still encounters challenges like information dilution and hallucinations when handling vast amounts of data. Our approach addresses these challenges by converting corpora into a domain-specific dataset and RAG architecture is constructed to generate responses from the target document. We introduce QuIM-RAG (Question-to-question Inverted Index Matching), a novel approach for the retrieval mechanism in our system. This strategy generates potential questions from document chunks and matches these with user queries to identify the most relevant text chunks for generating accurate answers. We have implemented our RAG system on top of the open-source Meta-LLaMA3-8B-instruct model by Meta Inc. that is available on Hugging Face. We constructed a custom corpus of 500+ pages from a high-traffic website accessed thousands of times daily for answering complex questions, along with manually prepared ground truth QA for evaluation. We compared our approach with traditional RAG models using BERT-Score and RAGAS, state-of-the-art metrics for evaluating LLM applications. Our evaluation demonstrates that our approach outperforms traditional RAG architectures on both metrics.</t>
  </si>
  <si>
    <t>10.1109/ACCESS.2024.3513155</t>
  </si>
  <si>
    <t>WOS:001378949400041</t>
  </si>
  <si>
    <t>Abdelazim, H; Tharwat, M; Mohamed, A</t>
  </si>
  <si>
    <t>Abdelazim, Hazem; Tharwat, Mohamed; Mohamed, Ammar</t>
  </si>
  <si>
    <t>Semantic Embeddings for Arabic Retrieval Augmented Generation (ARAG)</t>
  </si>
  <si>
    <t>Arabic NLP; large language models; retrieval aug-mented generation; semantic embedding</t>
  </si>
  <si>
    <t>recent times, Retrieval Augmented Generation (RAG) models have garnered considerable attention, primarily due to the impressive capabilities exhibited by Large Language Models (LLMs). Nevertheless, the Arabic language, despite its significance and widespread use, has received relatively less research emphasis in this field. A critical element within RAG systems is the Information Retrieval component, and at its core lies the vector embedding process commonly referred to as semantic embedding. This study encompasses an array of multilingual semantic embedding models, intending to enhance the model's ability to comprehend and generate Arabic text effec-tively. We conducted an extensive evaluation of the performance of ten cutting-edge Multilingual Semantic embedding models, employing a publicly available ARCD dataset as a benchmark and assessing their performance using the average Recall@k metric. The results showed that the Microsoft E5 sentence embedding model outperformed all other models on the ARCD dataset, with Recall@10 exceeding 90%</t>
  </si>
  <si>
    <t>WOS:001125968900001</t>
  </si>
  <si>
    <t>Tanasa, AM; Oprea, SV</t>
  </si>
  <si>
    <t>Tanasa, Andreea-Maria; Oprea, Simona-Vasilica</t>
  </si>
  <si>
    <t>Rethinking Chart Understanding Using Multimodal Large Language Models</t>
  </si>
  <si>
    <t>Chart understanding; large language models; multimodal models; PDF extraction</t>
  </si>
  <si>
    <t>Extracting data from visually rich documents and charts using traditional methods that rely on OCR-based parsing poses multiple challenges, including layout complexity in unstructured formats, limitations in recognizing visual elements, and the correlation between different parts of the documents, as well as domain-specific semantics. Simply extracting text is not sufficient; advanced reasoning capabilities are proving to be essential to analyze content and answer questions accurately. This paper aims to evaluate the ability of the Large Language Models (LLMs) to correctly answer questions about various types of charts, comparing their performance when using images as input versus directly parsing PDF files. To retrieve the images from the PDF, ColPali, a model leveraging state-of-the-art visual language models, is used to identify the relevant page containing the appropriate chart for each question. Google's Gemini multimodal models were used to answer a set of questions through two approaches: 1) processing images derived from PDF documents and 2) directly utilizing the content of the same PDFs. Our findings underscore the limitations of traditional OCR-based approaches in visual document understanding (VrDU) and demonstrate the advantages of multimodal methods in both data extraction and reasoning tasks. Through structured benchmarking of chart question answering (CQA) across input formats, our work contributes to the advancement of chart understanding (CU) and the broader field of multimodal document analysis. Using two diverse and information-rich sources: the World Health Statistics 2024 report by the World Health Organisation and the Global Banking Annual Review 2024 by McKinsey &amp; Company, we examine the performance of multimodal LLMs across different input modalities, comparing their effectiveness in processing charts as images versus parsing directly from PDF content. These documents were selected due to their multimodal nature, combining dense textual analysis with varied visual representations, thus presenting realistic challenges for vision-language models. This comparison is aimed at assessing how advanced models perform with different input formats and to determine if an image-based approach enhances chart comprehension in terms of accurate data extraction and reasoning capabilities.</t>
  </si>
  <si>
    <t>10.32604/cmc.2025.065421</t>
  </si>
  <si>
    <t>WOS:001529615700001</t>
  </si>
  <si>
    <t>Al-Masri, E; Subramanian, IN</t>
  </si>
  <si>
    <t>Al-Masri, Eyhab; Subramanian, Ishwarya Narayana</t>
  </si>
  <si>
    <t>SOLAR: Illuminating LLM performance in API discovery and service ranking for edge AI and IoT</t>
  </si>
  <si>
    <t>Large language models; Web service discovery; API ranking; Service-orinted computing; API selection; AI for Web Services; LLM benchmarking; Ranking consistency; AI models</t>
  </si>
  <si>
    <t>The growing complexity of web service and API discovery calls for robust methods to evaluate how well Large Language Models (LLMs) retrieve, rank, and assess APIs. However, current LLMs often produce inconsistent results, highlighting the need for structured, multi-dimensional evaluation. This paper introduces SOLAR (Systematic Observability of LLM API Retrieval), a framework that assesses LLM performance across three key dimensions: functional capability, implementation feasibility, and service sustainability. We evaluate four leading LLMs-GPT-4 Turbo (OpenAI), Claude 3.5 Sonnet (Anthropic), LLaMA 3.2 (Meta), and Gemini 2.0 Flash (Google)-on their ability to identify, prioritize, and evaluate APIs across varying query complexities. Results show GPT-4 Turbo and Claude 3.5 Sonnet achieve high functional alignment (FCA &gt;= 0.75 for simple queries) and strong ranking consistency (Spearman's rho approximate to 0.95). However, all models struggle with implementation feasibility and long-term sustainability, with feasibility scores declining as complexity increases and sustainability scores remaining low (SSI approximate to 0.40), limiting deployment potential. Despite retrieving overlapping APIs, models often rank them inconsistently, raising concerns for AI-driven service selection. SOLAR identifies strong correlations between functional accuracy and ranking stability but weaker links to real-world feasibility and longevity. These findings are particularly relevant for Edge AI environments, where real-time processing, distributed intelligence, and reliable API integration are critical. SOLAR offers a comprehensive lens for evaluating LLM effectiveness in service discovery, providing actionable insights to advance robust, intelligent API integration across IoT and AI-driven systems. Our work aims to inform both future model development and deployment practices in high-stakes computing environments.</t>
  </si>
  <si>
    <t>10.1016/j.iot.2025.101630</t>
  </si>
  <si>
    <t>WOS:001487125000001</t>
  </si>
  <si>
    <t>Guariso, D; Adewoyin, R; Aguilar, GR; Guerrero, OA; Davies, A</t>
  </si>
  <si>
    <t>Guariso, Daniele; Adewoyin, Rilwan; Aguilar, Gisela Robles; Guerrero, Omar A.; Davies, Alisha</t>
  </si>
  <si>
    <t>A generalized LLMs framework to support public health financing through probabilistic predictions and uncertainty quantification</t>
  </si>
  <si>
    <t>Large Language Models; Public health financing; Uncertainty quantification; Health-for-All; Prompt engineering; Wider determinants of health</t>
  </si>
  <si>
    <t>LANGUAGE MODELS; ARTIFICIAL-INTELLIGENCE</t>
  </si>
  <si>
    <t>As a systemic problem, public health cannot be addressed without considering other policy dimensions. Hence, a holistic approach across public policy areas is necessary to incorporate Health-for-All values into decision-making. However, such multisectoral interventions require public budgets that are effectively mapped into public health outcomes and indicators of their wider determinants. This budget-tagging procedure is high-cost, given that it is often done manually by domain experts. In this paper, we propose Categorical Perplexity-based Uncertainty Quantification (CPUQ), a novel, cost-effective Large Language Models (LLMS) framework that can be leveraged by policymakers to build budget-to-indicator and indicator-to-indicator mappings. This model-agnostic method employs categorical-style prompts to generate interpretable Bernoulli and categorical distributions for edges in a Text-attributed Graph, which is associated with the descriptions of the budget items and indicators. The prompting strategy proposed provides a novel way to incorporate models' uncertainty within the final outputs, enhancing accuracy and safety, We find that the budget-to-indicator mapping predicted by the framework aligns effectively with expert annotations, while when prompted to infer indicator-to-indicator networks, CPUQ estimates more nuanced relationships compared to alternative LLMS- based methods. Through our work, we hope to provide valuable insights into the strengths and weaknesses of leveraging LL.Ms to support public health budget planning, with the aim of promoting the implementation of the Health-for-All agenda across diverse governments and institutions.</t>
  </si>
  <si>
    <t>10.1016/j.artmed.2025.103203</t>
  </si>
  <si>
    <t>WOS:001535014800001</t>
  </si>
  <si>
    <t>Li, TT; Song, JB</t>
  </si>
  <si>
    <t>Li, Tingting; Song, Jingbo</t>
  </si>
  <si>
    <t>Deep Learning-Powered Financial Product Recommendation System in Banks: Integration of Transformer and Transfer Learning</t>
  </si>
  <si>
    <t>Banks; Financial Recommendation System; Graph Neural Networks; Intelligent Financial Technology Innovation; Transfer Learning; Transformer Model</t>
  </si>
  <si>
    <t>With the rapid evolution of financial technology, the recommendation system for financial products, as a crucial technology to enhance user experience and reduce information search costs, is increasingly becoming the focus of the financial services sector. As market competition intensifies, the diversity of user demands, coupled with the continuous expansion of financial product types, has exposed limitations in traditional recommendation systems regarding accuracy and personalized services. Therefore, this study aims to explore the application of deep learning technology in the field of financial product recommendations, aiming to construct a more intelligent and precise financial product recommendation system. The metrics we focus on include precision, recall, and F1-score, comprehensively evaluating the effectiveness of the proposed methods. In terms of methodology, we first employ a Transformer model, leveraging its powerful self-attention mechanism to capture the complex relationships between user behavior sequences and financial product information.</t>
  </si>
  <si>
    <t>10.4018/JOEUC.343257</t>
  </si>
  <si>
    <t>WOS:001293789600018</t>
  </si>
  <si>
    <t>Zhang, YF; Liao, W</t>
  </si>
  <si>
    <t>Zhang, Yunfei; Liao, Wei</t>
  </si>
  <si>
    <t>Improving large language models for adverse drug reactions named entity recognition via error correction prompt engineering</t>
  </si>
  <si>
    <t>Prompt engineering; Adverse drug reaction; Named entity recognition; GPT-3.5; GPT-4</t>
  </si>
  <si>
    <t>The monitoring and analysis of adverse drug reactions (ADRs ) are important for ensuring patient safety and improving treatment outcomes. Accurate identification of drug names, drug components, and ADR entities during named entity recognition (NER) processes is essential for ensuring drug safety and advancing the integration of drug information. Given that existing medical name entity recognition technologies rely on large amounts of manually annotated data for training, they are often less effective when applied to adverse drug reactions due to significant data variability and the high similarity between drug names. This paper proposes a prompt template for ADR that integrates error correction examples. The prompt template includes: 1. Basic prompts with task descriptions, 2. Annotated entity explanations, 3. Annotation guidelines, 4. Annotated samples for few-shot learning, 5. Error correction examples. Additionally, it integrates complex ADR data from the web and constructs a corpus containing three types of entities (drug name, drug components, and adverse drug reactions) using the Begin, Inside, Outside (BIO) annotation method. Finally, we evaluate the effectiveness of each prompt and compare it with the fine-tuned Large Language Model Meta AI (LLaMA) model and the DeepSeek model. Experimental results show that under this prompt template, the F1 score of GPT-3.5 increased from 0.648 to 0.887, and that of GPT-4 increased from 0.757 to 0.921. It is significantly better than the fine-tuned LLaMA model and DeepSeek model. It demonstrates the superiority of the proposed method, and provides a solid foundation for extracting drug-related entity relationships and building knowledge graphs.</t>
  </si>
  <si>
    <t>10.1016/j.jbi.2025.104893</t>
  </si>
  <si>
    <t>WOS:001565838400002</t>
  </si>
  <si>
    <t>Reason, T; Wu, YC; Jones, C; Benbow, E; Johannesen, K; Malcolm, B</t>
  </si>
  <si>
    <t>Reason, Tim; Wu, Yunchou; Jones, Cheryl; Benbow, Emma; Johannesen, Kasper; Malcolm, Bill</t>
  </si>
  <si>
    <t>The Artificial Intelligence Statistician: Utilizing Generative Artificial Intelligence to Select an Appropriate Model and Execute Network Meta-Analyses</t>
  </si>
  <si>
    <t>automated analysis; health technology assessment (HTA); joint clinical assessments (JCAs); large language models (LLMs); network meta-analysis (NMA)</t>
  </si>
  <si>
    <t>Objectives: This exploratory study aimed to develop a large language model (LLM)-based process to automate components of network meta-analysis (NMA), including model selection, analysis, output evaluation, and results interpretation. Automating these tasks with LLMs can enhance efficiency, consistency, and scalability in health economics and outcomes research, while ensuring that analyses adhere to established guidelines required by health technology assessment agencies. Improvements in efficiency and scalability may potentially become relevant as the European Union Health Technology Assessment Regulation comes into force, given anticipated analysis requirements and timelines. Methods: Using Claude 3.5 Sonnet (V2), a process was designed to automate statistical model selection, NMA output evaluation, and results interpretation based on an analysis-ready data set. Validation was assessed by replicating examples from the National Institute for Health and Care Excellence Technical Support Document (TSD2), replicating results of non-Decision Support Unit-published NMAs, and generating comprehensive outputs (eg, heterogeneity, inconsistency, and convergence). Results: The automated LLM-based process produced accurate results. Compared with TSD2 examples, differences were minimal, within expectations (given differences in sampling frameworks used), and comparable to those observed between estimates produced by the R vignettes against TSD2. Similar consistency was noted for non-Decision Support Unit-published NMA examples. Additionally, the LLM process generated and interpreted comprehensive NMA outputs. Conclusions: This exploratory study demonstrates the feasibility of LLMs to automate key components of NMAs, determining the requisite NMA framework based only on input data. Further exploring these capabilities could clarify their role in streamlining NMA workflows.</t>
  </si>
  <si>
    <t>10.1016/j.jval.2025.08.001</t>
  </si>
  <si>
    <t>WOS:001616612600004</t>
  </si>
  <si>
    <t>Shi, GS; Deng, XF; Luo, LH; Xia, LJ; Bao, L; Ye, B; Du, F; Pan, SR; Li, YX</t>
  </si>
  <si>
    <t>Shi, Guangsi; Deng, Xiaofeng; Luo, Linhao; Xia, Lijuan; Bao, Lei; Ye, Bei; Du, Fei; Pan, Shirui; Li, Yuxiao</t>
  </si>
  <si>
    <t>LLM-powered explanations: Unraveling recommendations through subgraph reasoning</t>
  </si>
  <si>
    <t>Explainable recommendation; Large language model; Knowledge graph</t>
  </si>
  <si>
    <t>Recommendation systems (RecSys) are pivotal in enhancing user experiences across various web applications by analyzing the complicated relationships between users and items. An explainable RecSys is crucial for the product development and subsequent decision-making. Knowledge graphs (KGs) have been widely used to enhance the performance of RecSys. However, KGs are known to be noisy and incomplete, making it hard to provide reliable explanations for recommendation results. We introduce a novel recommender that synergies Large Language Models (LLMs) and KGs to enhance the recommendation and provide interpretable results. We first harness the power of LLMs to augment KG reconstruction, where LLMs analyze and extract information from user reviews to generate new triples. In this way, we can enrich KGs with explainable paths that express user preferences. In addition, we introduce a novel subgraph reasoning module that effectively measures the importance of nodes and discovers reasoning for recommendation. Finally, these reasoning paths are fed into the LLMs to generate interpretable explanations of the recommendation results. Our approach significantly enhances both the effectiveness and interpretability of RecSys, especially in cross-selling scenarios where traditional methods falter. The effectiveness of our approach has been rigorously tested on four open real-world datasets, with our methods demonstrating a superior performance over contemporary state-of-the-art techniques by an average improvement of 12%. The application of our model in a cross-selling RecSys for a multinational engineering and technology company further underscores its practical utility and potential to redefine recommendation practices through improved accuracy and user trust.</t>
  </si>
  <si>
    <t>10.1016/j.knosys.2025.114307</t>
  </si>
  <si>
    <t>WOS:001607878500001</t>
  </si>
  <si>
    <t>Caruccio, L; Cimino, G; Cirillo, S; Deufemia, V; Polese, G; Solimando, G</t>
  </si>
  <si>
    <t>Caruccio, Loredana; Cimino, Gaetano; Cirillo, Stefano; Deufemia, Vincenzo; Polese, Giuseppe; Solimando, Giandomenico</t>
  </si>
  <si>
    <t>Identifying fake reviews for refund purposes: Evaluating the effectiveness of a transfer-learning model against emerging Large Language Models</t>
  </si>
  <si>
    <t>Fake reviews detection; E-commerce; Large language models; Transfer learning</t>
  </si>
  <si>
    <t>SENTIMENT; FEATURES</t>
  </si>
  <si>
    <t>Background: Recently, dishonest sellers are using social platforms to advertise products that can be purchased for free through a refund mechanism, which is based on the writing of five-star fake reviews. The aim is to increase product visibility by influencing their ranking compared to similar products. This mechanism is leading to a significant distortion of e-commerce platforms, eroding trust among customers and sellers. Objective: In this paper, we address the problem of identifying fake reviews, aiming to provide an approach for mitigating fraudulent practices that compromise the integrity and transparency of e-commerce platforms. Methods: We propose a supervised model tailored for identifying fake reviews for refund purposes and compare its performance with some of the most recent generative models. Since, to the best of our knowledge, no datasets exist in the literature suitable for fake review identification in the process of Purchasing, Requesting reviews, and Refunding a product, we first proposed a new dataset of fake and genuine reviews from Amazon, collected with the help of a domain expert. Then, we defined five other new datasets containing reviews automatically generated by language models. To interact with these models, we designed new prompt approaches specifically tailored to our goal, which exploit the iterative refinement behind these models for improving classification results. Results: Experimental results demonstrated the effectiveness of the supervised model in detecting both types of fake reviews, outperforming state-of-the-art models with improvements ranging from 0.23 to 0.70 in terms of accuracy, precision, and recall.</t>
  </si>
  <si>
    <t>10.1016/j.engappai.2025.112448</t>
  </si>
  <si>
    <t>WOS:001592561200004</t>
  </si>
  <si>
    <t>Yan, ZJ; Zhou, H; Tabassum, H; Liu, X</t>
  </si>
  <si>
    <t>Yan, Zijiang; Zhou, Hao; Tabassum, Hina; Liu, Xue</t>
  </si>
  <si>
    <t>Hybrid LLM-DDQN-Based Joint Optimization of V2I Communication and Autonomous Driving</t>
  </si>
  <si>
    <t>IEEE WIRELESS COMMUNICATIONS LETTERS</t>
  </si>
  <si>
    <t>Optimization; Interference; Signal to noise ratio; Decision making; Vehicle-to-infrastructure; Transmitting antennas; Autonomous vehicles; Transportation; Receiving antennas; Handover; Autonomous driving; large language model; vehicular networks; network optimization</t>
  </si>
  <si>
    <t>Large language models (LLMs) have received considerable interest recently due to their outstanding reasoning and comprehension capabilities. This letter explores applying LLMs to vehicular networks, aiming to jointly optimize vehicle-to-infrastructure (V2I) communications and autonomous driving (AD) policies. We deploy LLMs for AD decision-making to maximize traffic flow and avoid collisions for road safety, and a double deep Q-learning algorithm (DDQN) is used for V2I optimization to maximize the received data rate and reduce frequent handovers. In particular, for LLM-enabled AD, we employ the Euclidean distance to identify previously explored AD experiences, and then LLMs can learn from past good and bad decisions for further improvement. Then, LLM-based AD decisions will become part of states in V2I problems, and DDQN will optimize the V2I decisions accordingly. After that, the AD and V2I decisions are iteratively optimized until convergence. Such an iterative optimization approach can better explore the interactions between LLMs and conventional reinforcement learning techniques, revealing the potential of using LLMs for network optimization and management. Finally, the simulations demonstrate that our proposed hybrid LLM-DDQN approach outperforms the conventional DDQN algorithm, showing faster convergence and higher average rewards.</t>
  </si>
  <si>
    <t>2162-2337</t>
  </si>
  <si>
    <t>2162-2345</t>
  </si>
  <si>
    <t>10.1109/LWC.2025.3539638</t>
  </si>
  <si>
    <t>WOS:001465463100005</t>
  </si>
  <si>
    <t>Karras, A; Theodorakopoulos, L; Karras, C; Theodoropoulou, A; Kalliampakou, I; Kalogeratos, G</t>
  </si>
  <si>
    <t>Karras, Aristeidis; Theodorakopoulos, Leonidas; Karras, Christos; Theodoropoulou, Alexandra; Kalliampakou, Ioanna; Kalogeratos, Gerasimos</t>
  </si>
  <si>
    <t>LLMs for Cybersecurity in the Big Data Era: A Comprehensive Review of Applications, Challenges, and Future Directions</t>
  </si>
  <si>
    <t>large language models (LLMs); cybersecurity; big data; threat detection; incident response; adversarial attacks; cyber threat intelligence; security analytics; explainable AI (XAI); ethical AI; governance; decision-making; AI-powered cybercrime; human-AI collaboration</t>
  </si>
  <si>
    <t>OPPORTUNITIES; SECURITY; ATTACKS</t>
  </si>
  <si>
    <t>This paper presents a systematic review of research (2020-2025) on the role of Large Language Models (LLMs) in cybersecurity, with emphasis on their integration into Big Data infrastructures. Based on a curated corpus of 235 peer-reviewed studies, this review synthesizes evidence across multiple domains to evaluate how models such as GPT-4, BERT, and domain-specific variants support threat detection, incident response, vulnerability assessment, and cyber threat intelligence. The findings confirm that LLMs, particularly when coupled with scalable Big Data pipelines, improve detection accuracy and reduce response latency compared with traditional approaches. However, challenges persist, including adversarial susceptibility, risks of data leakage, computational overhead, and limited transparency. The contribution of this study lies in consolidating fragmented research into a unified taxonomy, identifying sector-specific gaps, and outlining future research priorities: enhancing robustness, mitigating bias, advancing explainability, developing domain-specific models, and optimizing distributed integration. In doing so, this review provides a structured foundation for both academic inquiry and practical adoption of LLM-enabled cyberdefense strategies. Last search: 30 April 2025; methods followed: PRISMA-2020; risk of bias was assessed; random-effects syntheses were conducted.</t>
  </si>
  <si>
    <t>10.3390/info16110957</t>
  </si>
  <si>
    <t>WOS:001623917800001</t>
  </si>
  <si>
    <t>Alotaibi, O; Tomy, S; Pardede, E</t>
  </si>
  <si>
    <t>Alotaibi, Obaid; Tomy, Sarath; Pardede, Eric</t>
  </si>
  <si>
    <t>Enhancing decision-making with large language models: context and sensitivity analysis</t>
  </si>
  <si>
    <t>EVOLUTIONARY INTELLIGENCE</t>
  </si>
  <si>
    <t>Context awareness recommendation; Data sensitivity level; Large language model (LLM); Near real-time data stream</t>
  </si>
  <si>
    <t>The speed of innovation of technologies around the world makes life easier, especially technologies that use the Internet (IoT). IoT-generated data often suffers from low quality due to issues such as duplicated data, missing values, and outliers, that negatively impact the analysis result. Data preprocessing is the approach that assists in enhancing the data quality in real time by tackling the issues. Setting the context in a more efficient way helps to improve the data cleaning process. This paper explores integrating LLMs into an interactive user interface for data stream cleaning, enhancing decision-making through context-aware recommendations and sensitivity assessments. The LLM operates locally, assisting users in dynamically refining contexts and sensitivity levels based on real-time interactions. To validate our proposed method, we conducted experiments using a healthcare dataset, evaluating results with precision, recall, and F1 score metrics, alongside the BERTScore for comparison. To ensure reliability and alignment with embedded instructions, we also engaged five expert reviewers. Beyond healthcare, we tested the proposed method on datasets from weather, business, industry, and education sectors, demonstrating its broad applicability. A comparative analysis with existing methods highlights the LLM's effectiveness in guiding users, ultimately fostering improved decision-making across diverse applications.</t>
  </si>
  <si>
    <t>1864-5909</t>
  </si>
  <si>
    <t>1864-5917</t>
  </si>
  <si>
    <t>NOV 26</t>
  </si>
  <si>
    <t>10.1007/s12065-025-01113-y</t>
  </si>
  <si>
    <t>WOS:001626508800003</t>
  </si>
  <si>
    <t>Hu, XK; Zhou, ZY; Sun, YR; Kersten, J; Klan, F; Fan, HC; Wiegmann, M</t>
  </si>
  <si>
    <t>Hu, Xuke; Zhou, Zhiyong; Sun, Yeran; Kersten, Jens; Klan, Friederike; Fan, Hongchao; Wiegmann, Matti</t>
  </si>
  <si>
    <t>GazPNE2: A General Place Name Extractor for Microblogs Fusing Gazetteers and Pretrained Transformer Models</t>
  </si>
  <si>
    <t>Sensors; Internet of Things; Blogs; Feature extraction; Transformers; COVID-19; Statistical learning; BERT; BERTweet; geoparsing; OpenStreetMap (OSM); place name extraction; Social Internet of Things (IoT); tweets</t>
  </si>
  <si>
    <t>SOCIAL NETWORKS; SYSTEM</t>
  </si>
  <si>
    <t>The concept of human as sensors defines a new sensing model, in which humans act as sensors by contributing their observations, perceptions, and sensations. This is crucial for the development of Social Internet of Things, which is an integral part of cyber-physical-social systems. Online social media platforms, as the most active places where users act as social sensors, are responsive to real-world events and are useful for gathering situational information in real time. Unfortunately, posts rarely contain structured geographic information, thus hindering their usage for contributing to various challenges, such as emergency response. We address this limitation by introducing a general approach for extracting place names from tweets, named GazPNE2. It combines global gazetteers (i.e., OpenStreetMap and GeoNames), deep learning, and pretrained transformer models (i.e., BERT and BERTweet), which requires no manually annotated data. It can extract place names at both coarse (e.g., city) and fine-grained (e.g., street and POI) levels and place names with abbreviations. To fully evaluate GazPNE2 and compare it with 11 competing approaches, we use 19 public tweet data sets, containing 38 802 tweets and 22 197 places across the world. The results show GazPNE2 achieves a much higher F1 (0.8) than the other approaches. Furthermore, we apply GazPNE2 to three large unannotated tweet data sets related to over 20 crisis events (e.g., coronavirus disease 2019), containing 560 040 tweets. An F1 of 0.84 is achieved on 3000 tweets, which are randomly selected from the three data sets and then manually annotated. Code and data are available on GitHub page: https://github.com/uhuohuy/GazPNE2.</t>
  </si>
  <si>
    <t>SEPT 1</t>
  </si>
  <si>
    <t>10.1109/JIOT.2022.3150967</t>
  </si>
  <si>
    <t>WOS:000846738200065</t>
  </si>
  <si>
    <t>Lowin, M</t>
  </si>
  <si>
    <t>Lowin, Maximilian</t>
  </si>
  <si>
    <t>A Text-Based Predictive Maintenance Approach for Facility Management Requests Utilizing Association Rule Mining and Large Language Models</t>
  </si>
  <si>
    <t>predictive maintenance; facility management; temporal association rule mining; sentence transformer; semantic similarity</t>
  </si>
  <si>
    <t>Introduction: Due to the lack of labeled data, applying predictive maintenance algorithms for facility management is cumbersome. Most companies are unwilling to share data or do not have time for annotation. In addition, most available facility management data are text data. Thus, there is a need for an unsupervised predictive maintenance algorithm that is capable of handling textual data. Methodology: This paper proposes applying association rule mining on maintenance requests to identify upcoming needs in facility management. By coupling temporal association rule mining with the concept of semantic similarity derived from large language models, the proposed methodology can discover meaningful knowledge in the form of rules suitable for decision-making. Results: Relying on the large German language models works best for the presented case study. Introducing a temporal lift filter allows for reducing the created rules to the most important ones. Conclusions: Only a few maintenance requests are sufficient to mine association rules that show links between different infrastructural failures. Due to the unsupervised manner of the proposed algorithm, domain experts need to evaluate the relevance of the specific rules. Nevertheless, the algorithm enables companies to efficiently utilize their data stored in databases to create interpretable rules supporting decision-making.</t>
  </si>
  <si>
    <t>10.3390/make6010013</t>
  </si>
  <si>
    <t>WOS:001192735600001</t>
  </si>
  <si>
    <t>Chen, H; Constante-Flores, GE; Li, C</t>
  </si>
  <si>
    <t>Chen, Hao; Constante-Flores, Gonzalo E.; Li, Can</t>
  </si>
  <si>
    <t>Diagnosing infeasible optimization problems using large language models</t>
  </si>
  <si>
    <t>Optimization; large language models; prompt engineering</t>
  </si>
  <si>
    <t>ASSISTED ANALYSIS SYSTEM; LINEAR-PROGRAMS; ANALYZE</t>
  </si>
  <si>
    <t>Decision-making problems can be represented as mathematical optimization models, finding wide applications in fields, such as economics, engineering, transportation, and health care. One of the primary barriers to deploying these models in practice is the challenge of helping practitioners understand and interpret such models, particularly when they are infeasible, meaning no decision satisfies all the constraints. Existing methods for diagnosing infeasible optimization models often rely on expert systems, necessitating significant background knowledge in optimization. In this paper, we introduce OptiChat, a first-of-its-kind natural language-based system equipped with a chatbot GUI for engaging in interactive conversations about infeasible optimization models. OptiChat can provide natural language descriptions of the optimization model itself, identify potential sources of infeasibility, and offer suggestions to make the model feasible. The implementation of OptiChat is built on GPT-4, which interfaces with an optimization solver to identify the minimal subset of constraints that render the entire optimization problem infeasible, known as the Irreducible Infeasible Subset (IIS). We utilize few-shot learning, expert chain-of-thought, key-retrieve, and sentiment prompts to enhance OptiChat's reliability. Our experiments demonstrate that OptiChat assists both expert and non-expert users in improving their understanding of the optimization models, enabling them to quickly identify the sources of infeasibility.</t>
  </si>
  <si>
    <t>10.1080/03155986.2024.2385189</t>
  </si>
  <si>
    <t>WOS:001290745400001</t>
  </si>
  <si>
    <t>Souza, LLD; Correia-Neto, IJ; Fonseca, FP; Martins, MD; Almeida, OPD; Pontes, HAR; Mariano, FV; Santos-Silva, AR; Araújo, ALD; Khurram, SA; Kowalski, LP; Alzahem, A; Hagag, A; Vargas, PA; Lopes, MA</t>
  </si>
  <si>
    <t>Souza, Lucas Lacerda de; Correia-Neto, Ivan Jose; Fonseca, Felipe Paiva; Martins, Manoela Domingues; Almeida, Oslei Paes de; Pontes, Helder Antonio Rebelo; Mariano, Fernanda Viviane; Santos-Silva, Alan Roger; Araujo, Anna Luiza Damaceno; Khurram, Syed Ali; Kowalski, Luiz Paulo; Alzahem, Ayyub; Hagag, Ahmed; Vargas, Pablo Agustin; Lopes, Marcio Ajudarte</t>
  </si>
  <si>
    <t>The role of large language models in advancing head and neck cancer research and care: a narrative review</t>
  </si>
  <si>
    <t>Large language models (LLMs); head and neck cancer (HNC); evidence-based medicine; diagnostic accuracy; ethical guidelines</t>
  </si>
  <si>
    <t>Background and Objective: Large language models (LLMs) are transforming the landscape of medicine by providing highly improved data processing forces. In head and neck cancer (HNC), these models can be of great aid in diagnostic practice and potential treatment outcomes through extensive categorizations of data. The objective of this study is to review the HNC LLM literature. Methods: A descriptive review of the literature on the use of LLMs in HNC is provided. Keywords were searched in the databases PubMed, Science Direct, and Web of Science. We reviewed manuscripts published in English, with no time limits. Key Content and Findings: The use of LLMs improved the applications in the fields of education and clinical decision-making. Integration with many sources of medical literature to aid clinicians in real-time can potentially reduce diagnostic errors and such in turn can lead the formulation of an efficient management plan, by the LLMs. Furthermore, LLMs may help in the patient-doctor relationship by providing clear and easily understandable information about the ailments and every possible treatment, tending to the interests of the patients. Conclusions: The benefits of LLMs in the delivery of HNC care are rather apparent, prompting measures to safeguard against the risks and develop an ethical framework for the approach's proper implementation. Several challenges including data protection, empathetic decision-making, and the inclusion of bias must be solved in order to facilitate the trust and credibility of applications in healthcare. LLMs demonstrate substantial enhancements to the effectiveness of patient management and clinical efficiency, yet their implementation enhances healthcare, the progress toward artificial intelligence should remain monitored to avoid adverse impacts on evolving individualized medicine in HNC care.</t>
  </si>
  <si>
    <t>10.21037/jmai-24-152</t>
  </si>
  <si>
    <t>WOS:001538057400039</t>
  </si>
  <si>
    <t>Yue, JQ; Zhao, CH; Zhao, JC; Huang, B</t>
  </si>
  <si>
    <t>Yue, Jiaqi; Zhao, Chunhui; Zhao, Jiancheng; Huang, Biao</t>
  </si>
  <si>
    <t>Enabling generalized zero-shot learning towards unseen domains by intrinsic learning from redundant LLM semantics</t>
  </si>
  <si>
    <t>Generalized zero-shot learning; Unseen domain; Semantic refinement; Large language model; Information asymmetry</t>
  </si>
  <si>
    <t>Generalized zero-shot learning (GZSL) focuses on recognizing seen and unseen classes against domain shift problem where data of unseen classes may be misclassified as seen classes. However, existing GZSL is still limited to seen domains. In the current work, we study cross-domain GZSL (CDGZSL) which addresses GZSL towards unseen domains. Different from existing GZSL methods, CDGZSL constructs a common feature space across domains and acquires the corresponding intrinsic semantics shared among domains to transfer from seen to unseen domains. Considering the information asymmetry problem caused by redundant class semantics annotated with large language models (LLMs), we present Meta Domain Alignment Semantic Refinement (MDASR). Technically, MDASR consists of two parts: Inter-class similarity alignment, which eliminates the non-intrinsic semantics not shared across all domains under the guidance of inter-class feature relationships, and unseen-class meta generation, which preserves intrinsic semantics to maintain connectivity between seen and unseen classes by simulating feature generation. MDASR effectively aligns the redundant semantic space with the common feature space, mitigating the information asymmetry in CDGZSL. The effectiveness of MDASR is demonstrated on two public datasets, Office-Home and Mini-DomainNet, as well as on a self-constructed multi-domain rare animal dataset. We have shared the LLM-based semantics for these datasets as a benchmark.</t>
  </si>
  <si>
    <t>10.1016/j.neunet.2025.107997</t>
  </si>
  <si>
    <t>WOS:001582917900003</t>
  </si>
  <si>
    <t>Xiong, C; Zheng, GF; Ma, X; Li, CL; Zeng, JF</t>
  </si>
  <si>
    <t>Xiong, Cheng; Zheng, Gengfeng; Ma, Xiao; Li, Chunlin; Zeng, Jiangfeng</t>
  </si>
  <si>
    <t>DelphiAgent: A trustworthy multi-agent verification framework for automated fact verification</t>
  </si>
  <si>
    <t>Large language models; Fact-checking; Delphi method; Agentic system; Hallucinations</t>
  </si>
  <si>
    <t>Large Language Models (LLMs) have been investigated for many reasoning-intensive tasks including fact verification and exhibited outstanding performance via coupling LLM's internal and external knowledge. However, non-agentic LLM-based methods produce responses based on direct prompts in an one-off manner, suffering from challenges in factuality and hallucinations. In this paper, we propose DelphiAgent, an innovative agentic framework for trustworthy fact-checking that employs multiple LLMs to emulate the workflow of the Delphi method, aiming at enhancing transparency in the decision-making procedure and mitigating hallucinations when generating justifications. This is implemented through a duel-system framework that integrates the evidence mining module and the Delphi decision-making module. The evidence mining module extracts evidence from raw uncensored reports and refines evidence, ensuring the provision of instructive rationales for the subsequent module. Meanwhile, drawing inspiration from the Delphi method, the decision-making module devises multiple LLM-based agents with distinct personalities to make factuality judgments individually based on the claim and its verified evidence, and reaches a consensus through multiple rounds of feedback and synthesis. The experimental findings from two challenging datasets indicate that DelphiAgent not only surpasses current LLM-based approaches but also is on par with state-of-the-art LLM-enhanced supervised baselines without necessitating a training regime, with macF1 improvements reaching up to 6.84% on RAWFC and comparable performance on LIAR-RAW. Furthermore, the generated justifications throughout the workflow underscore the trustworthiness of our proposed framework. The official implementation of this paper is available at https://github.com/zjfgh2015/DelphiAgent.</t>
  </si>
  <si>
    <t>10.1016/j.ipm.2025.104241</t>
  </si>
  <si>
    <t>WOS:001525828500001</t>
  </si>
  <si>
    <t>Abdullah, M; Negied, N</t>
  </si>
  <si>
    <t>Abdullah, Mohammed; Negied, Nermin</t>
  </si>
  <si>
    <t>Detection and Prediction of Future Mental Disorder From Social Media Data Using Machine Learning, Ensemble Learning, and Large Language Models</t>
  </si>
  <si>
    <t>Social networking (online); Depression; Anxiety disorders; Support vector machines; Mental health; Ensemble learning; Predictive models; ADHD; anxiety; bipolar; mental illness classification; depression detection; depression prediction; Reddit</t>
  </si>
  <si>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t>
  </si>
  <si>
    <t>10.1109/ACCESS.2024.3406469</t>
  </si>
  <si>
    <t>WOS:001308179200001</t>
  </si>
  <si>
    <t>Li, J; Zhou, T; Zhou, ZC; Wei, X; Song, H; Wang, ZX; Chen, YB; Lv, H</t>
  </si>
  <si>
    <t>Li, Jia; Zhou, Tong; Zhou, Zichun; Wei, Xuan; Song, Hong; Wang, Zhixiang; Chen, Yubo; Lv, Han</t>
  </si>
  <si>
    <t>Experience-guided multi-agent interpretable framework for radiology report summarization</t>
  </si>
  <si>
    <t>Radiology report summarization; Interpretability; Large language model; Multi-agent collaboration</t>
  </si>
  <si>
    <t>Background and Objective: Radiology report summarization, which involves generating concise impressions from detailed findings, is a critical task in medical decision-making. Recent advancements in large language models have shown promise in automating this task, yet existing methods often overlook the importance of leveraging historical radiology reports for experience induction and the interpretability of the prediction process. Methods: To address these challenges, we propose an Experience-guided Multi-Agent Interpretable framework (EMAI) for radiology report summarization. Our framework introduces a novel self-evolutive nearest-neighbor explicit experience induction algorithm to automatically extract and generalize knowledge from historical reports, enhancing the robustness and generalizability of the model. Additionally, we design an interpretable findings analysis module that deconstructs and explains the relationships between findings and impressions, providing human-comprehensible insights into the impression generation process. To dynamically integrate these components, we develop a collaborative multi-agent framework that adaptively determines when and how to leverage experiences or relevant reports for impression generation. Results: Experimental results on two public datasets, MIMIC-CXR and Open-I, demonstrate that our framework improves the accuracy and interpretability of radiology report summarization. The induction learning process enables LLMs to generalize better from diverse case data, while the interpretability mechanism provides valuable explanations that enhance the trustworthiness of the generated results. Conclusions: The EMAI framework effectively improves radiology report summarization by utilizing historical data and enhancing interpretability. It has the potential to better support medical decision-making through more accurate and trustworthy impression generation.</t>
  </si>
  <si>
    <t>10.1016/j.cmpb.2025.109078</t>
  </si>
  <si>
    <t>WOS:001590221300002</t>
  </si>
  <si>
    <t>Lin, B; Wang, SW; Qin, YH; Chen, LQ; Mao, XG</t>
  </si>
  <si>
    <t>Lin, Bo; Wang, Shangwen; Qin, Yihao; Chen, Liqian; Mao, Xiaoguang</t>
  </si>
  <si>
    <t>Large Language Models-Aided Program Debloating</t>
  </si>
  <si>
    <t>Software debloating; program reduction; large language model; Software debloating; program reduction; large language model</t>
  </si>
  <si>
    <t>As software grows in complexity to accommodate diverse features and platforms, software bloating has emerged as a significant challenge, adversely affecting performance and security. However, existing approaches inadequately address the dual objectives of debloating: maintaining functionality by preserving essential features and enhancing security by reducing security issues. Specifically, current software debloating techniques often rely on input-based analysis, using user inputs as proxies for the specifications of desired features. However, these approaches frequently overfit provided inputs, leading to functionality loss and potential security vulnerabilities. To address these limitations, we propose LEADER, a program debloating framework enhanced by Large Language Models (LLMs), which leverages their semantic understanding, generative capabilities, and decision-making strengths. LEADER mainly consists of two modules: (1) a documentation-guided test augmentation module designed to preserve functionality, which leverages LLMs to comprehend program documentation and generates sufficient tests to cover the desired features comprehensively, and (2) a multi-advisor-aided program debloating module that employs a neuro-symbolic pipeline to ensure that the security of the software can be perceived during debloating. This module combines debloating and security advisors for analysis and employs an LLM as a decision-maker to eliminate undesired code securely. Extensive evaluations on widely used benchmarks demonstrate the efficacy of LEADER. It achieves a 95.5% test case pass rate and reduces program size by 42.5%. Notably, it reduces the introduction of vulnerabilities during debloating by 79.1% and decreases pre-existing vulnerabilities by 16.5% more than CovA. These results demonstrate that LEADER surpasses the state-of-the-art tool CovA in functionality and security. These results underscore the potential of LEADER to set a new standard in program debloating by effectively balancing functionality and security.</t>
  </si>
  <si>
    <t>10.1109/TSE.2025.3594673</t>
  </si>
  <si>
    <t>WOS:001575768400011</t>
  </si>
  <si>
    <t>Sattar, MU; Hasan, R; Palaniappan, S; Mahmood, S; Khan, HW</t>
  </si>
  <si>
    <t>Sattar, Mian Usman; Hasan, Raza; Palaniappan, Sellappan; Mahmood, Salman; Khan, Hamza Wazir</t>
  </si>
  <si>
    <t>Beyond Polarity: Forecasting Consumer Sentiment with Aspect- and Topic-Conditioned Time Series Models</t>
  </si>
  <si>
    <t>sentiment analysis; time-series forecasting; consumer behavior; Natural Language Processing; transformer models; SARIMAX; exogenous variables; aspect extraction</t>
  </si>
  <si>
    <t>Existing approaches to social media sentiment analysis typically focus on static classification, offering limited foresight into how public opinion evolves. This study addresses that gap by introducing the Multi-Feature Sentiment-Driven Forecasting (MFSF) framework, a novel pipeline that enhances sentiment trend prediction by integrating rich contextual information from text. Using state-of-the-art transformer models on the Sentiment140 dataset, our framework extracts three concurrent signals from each tweet: sentiment polarity, aspect-based scores (e.g., 'price' and 'service'), and topic embeddings. These features are aggregated into a daily multivariate time series. We then employ a SARIMAX model to forecast future sentiment, using the extracted aspect and topic data as predictive exogenous variables. Our results, validated on the historical Sentiment140 Twitter dataset, demonstrate the framework's superior performance. The proposed multivariate model achieved a 26.6% improvement in forecasting accuracy (RMSE) over a traditional univariate ARIMA baseline. The analysis confirmed that conversational aspects like 'service' and 'quality' are statistically significant predictors of future sentiment. By leveraging the contextual drivers of conversation, the MFSF framework provides a more accurate and interpretable tool for businesses and policymakers to proactively monitor and anticipate shifts in public opinion.</t>
  </si>
  <si>
    <t>10.3390/info16080670</t>
  </si>
  <si>
    <t>WOS:001557697700001</t>
  </si>
  <si>
    <t>Alarfaj, FK; Khan, HU; Naz, A; Almusallam, N</t>
  </si>
  <si>
    <t>Alarfaj, Fawaz Khaled; Khan, Hikmat Ullah; Naz, Anam; Almusallam, Naif</t>
  </si>
  <si>
    <t>A real-time large language model framework with attention and embedding representations for misinformation detection</t>
  </si>
  <si>
    <t>Artificial intelligence; Feature engineering; Misinformation; Fake news; Deep learning; Social media; Transformer-based language models; Explainable artificial intelligence; Text mining; Natural language processing</t>
  </si>
  <si>
    <t>Artificial Intelligence (AI) plays a central role in understanding and managing the vast amount of information shared online. With the rise of the user-generated content on platforms pursuing the challenge of identifying and controlling misinformation has become increasingly urgent. Using advanced natural language processing techniques and large language models, this study proposes a framework to detect and analyze misleading content. By examining language patterns, and user behavior, main aim is to provide an effective solution for early and accurate misinformation detection in online environments. Traditional Machine Learning (ML) models and Deep Learning (DL) architecture, often rely on manual feature engineering and struggle to capture the complex semantics of deceptive text. The main aim is to introduce a transformer-based neural network variant known as eXtra Long Network (XLNet), a state-of-the-art large language model. The proposed framework integrates with attention mechanisms and contextual embeddings, to enhance the accuracy of text classification. Its significance lies in demonstrating how AI techniques can be adapted to address the critical application domain of misinformation detection, enabling more reliable identification of misleading content across diverse and evolving online narratives. By utilizing pre-trained contextual embeddings and permutation-based language modeling, XLNet significantly outperforms baseline approaches including ML with textual features, and DL models trained with word and sentence embedding with highest accuracy of 97 %, demonstrating its ability to generalize and make confident predictions. Empirical analysis further validated the findings through explainable AI techniques to ensure interpretability and transparency and statistical tests which further supported the performance of proposed model.</t>
  </si>
  <si>
    <t>10.1016/j.engappai.2025.113304</t>
  </si>
  <si>
    <t>WOS:001632868300032</t>
  </si>
  <si>
    <t>Rostam, ZRK; Szénási, S; Kertész, G</t>
  </si>
  <si>
    <t>Rostam, Zhyar Rzgar K.; Szenasi, Sandor; Kertesz, Gabor</t>
  </si>
  <si>
    <t>Achieving Peak Performance for Large Language Models: A Systematic Review</t>
  </si>
  <si>
    <t>Optimization methods; Training; Parallel processing; Computational modeling; Scalability; Libraries; Taxonomy; Distributed computing; Graphics processing units; Distributed training; GPU acceleration; large language model; LLM; LLM acceleration; LLM frameworks; LLM optimization; LLM optimization</t>
  </si>
  <si>
    <t>In recent years, large language models (LLMs) have achieved remarkable success in natural language processing (NLP). LLMs require an extreme amount of parameters to attain high performance. As models grow into the trillion-parameter range, computational and memory costs increase significantly. This makes it difficult for many researchers to access the resources needed to train or apply these models. Optimizing LLM performance involves two main approaches: fine-tuning pre-trained models for specific tasks to achieve state-of-the-art performance, and reducing costs or improving training time while maintaining similar performance. This paper presents a systematic literature review (SLR) following the Preferred Reporting Items for Systematic Reviews and Meta-Analyses (PRISMA) statement. We reviewed 65 publications out of 983 from 2017 to December 2023, retrieved from 5 databases. The study presents methods to optimize and accelerate LLMs while achieving cutting-edge results without sacrificing accuracy. We begin with an overview of the development of language modeling, followed by a detailed explanation of commonly used frameworks and libraries, and a taxonomy for improving and speeding up LLMs based on three classes: LLM training, LLM inference, and system serving. We then delve into recent optimization and acceleration strategies such as training optimization, hardware optimization, scalability and reliability, accompanied by the taxonomy and categorization of these strategies. Finally, we provide an in-depth comparison of each class and strategy, with two case studies on optimizing model training and enhancing inference efficiency. These case studies showcase practical approaches to address LLM resource limitations while maintaining performance.</t>
  </si>
  <si>
    <t>10.1109/ACCESS.2024.3424945</t>
  </si>
  <si>
    <t>WOS:001272161000001</t>
  </si>
  <si>
    <t>Chartier-Edwards, N; Grenier, E; Goujon, V</t>
  </si>
  <si>
    <t>Chartier-Edwards, Nicolas; Grenier, Etienne; Goujon, Valentin</t>
  </si>
  <si>
    <t>Galactica's dis-assemblage: Meta's beta and the omega of post-human science</t>
  </si>
  <si>
    <t>Artificial intelligence; Large language models; Galactica; Meta; Cyberneteics; Critical artificial intelligence studies</t>
  </si>
  <si>
    <t>Released mid-November 2022, Galactica is a set of six large language models (LLMs) of different sizes (from 125 M to 120B parameters) designed by Meta AI to achieve the ultimate ambition of a single neural network for powering scientific tasks, according to its accompanying whitepaper. It aims to carry out knowledge-intensive tasks, such as publication summarization, information ordering and protein annotation. However, just a few days after the release, Meta had to pull back the demo due to the strong hallucinatory tendencies or underwhelming performances of the model. This article aims to study, through a critical threefold argument, the potential impacts of LLMs once deployed in the scientific value chain. Our first argument is a technical one. By examining the technicity of Galactica, it is possible to explain the descripancies between its promotional corporate discourse and abysmal outputs. Second, by going back to debates in both computer science and computational philosophy on the automation of abduction, we argue from the epistemological front that LLMs indeed cannot produce strong abductions and, therefore, claims about the automation of hypothesis generation remains chambering. Finally, our third argument is a sociological one. By conceptualizing the scientific field through Nancy Katherine Hayles' cognitive assemblage theory, we aim to outline the potential steering of science by LLMs, mainly through information ordering. The core of our argument rests on the assertion that excessive control on information risks contravening a certain serendipitous aspect inherent to scientific discoveries.</t>
  </si>
  <si>
    <t>10.1007/s00146-024-02088-7</t>
  </si>
  <si>
    <t>WOS:001324154200001</t>
  </si>
  <si>
    <t>Swarup, A; Bhandarkar, A; Dizon-Paradis, OP; Wilson, R; Woodard, DL</t>
  </si>
  <si>
    <t>Swarup, Anushka; Bhandarkar, Avanti; Dizon-Paradis, Olivia P.; Wilson, Ronald; Woodard, Damon L.</t>
  </si>
  <si>
    <t>Maximizing Relation Extraction Potential: A Data-Centric Study to Unveil Challenges and Opportunities</t>
  </si>
  <si>
    <t>Feature extraction; Data mining; Classification algorithms; Neural networks; Training; Software algorithms; Semantics; Performance analysis; Machine learning algorithms; Information retrieval; Information extraction; joint relation extraction; large language models; natural language processing; relation classification; relation extraction</t>
  </si>
  <si>
    <t>Relation extraction is a Natural Language Processing task that aims to extract relationships from textual data. It is a critical step for information extraction. Due to its wide-scale applicability, research in relation extraction has rapidly scaled to using highly advanced neural networks. Despite their computational superiority, modern relation extractors fail to handle complicated extraction scenarios. However, a comprehensive performance analysis of the state-of-the-art extractors that compile these challenges has been missing from the literature, and this paper aims to bridge this gap. The goal has been to investigate the possible data-centric characteristics that impede neural relation extraction. Based on extensive experiments conducted using 15 state-of-the-art relation extraction algorithms ranging from recurrent architectures to large language models and seven large-scale datasets, this research suggests that modern relation extractors are not robust to complex data and relation characteristics. It emphasizes pivotal issues, such as contextual ambiguity, correlating relations, long-tail data, and fine-grained relation distributions. In addition, it sets a marker for future directions to alleviate these issues, thereby proving to be a critical resource for novice and advanced researchers. Efficient handling of the challenges described can have significant implications for the field of information extraction, which is a critical part of popular systems such as search engines and chatbots. Data and relevant code can be found at https://aaig.ece.ufl.edu/projects/relation-extraction.</t>
  </si>
  <si>
    <t>10.1109/ACCESS.2024.3494737</t>
  </si>
  <si>
    <t>WOS:001366323900011</t>
  </si>
  <si>
    <t>Laine, J; Minkkinen, M; Mäntymäki, M</t>
  </si>
  <si>
    <t>Laine, Joakim; Minkkinen, Matti; Mantymaki, Matti</t>
  </si>
  <si>
    <t>Understanding the Ethics of Generative AI: Established and New Ethical Principles</t>
  </si>
  <si>
    <t>COMMUNICATIONS OF THE ASSOCIATION FOR INFORMATION SYSTEMS</t>
  </si>
  <si>
    <t>Generative AI; GenAI; Artificial Intelligence; AI; Large Language Models; AI Chatbots; AI Ethics; AI Auditing; AI Governance</t>
  </si>
  <si>
    <t>INFORMATION-SYSTEMS; ARTIFICIAL-INTELLIGENCE; KNOWLEDGE; CHALLENGES; MANAGEMENT; CHATGPT</t>
  </si>
  <si>
    <t>This scoping review develops a conceptual synthesis of the ethics principles of generative artificial intelligence (GenAI) and large language models (LLMs). In regard to the emerging literature on GenAI, we explore 1) how established AI ethics principles are presented and 2) what new ethical principles have surfaced. The results indicate that established ethical principles continue to be relevant for GenAI systems but their salience and interpretation may shift, and that there is a need to recognize new principles in these systems. We identify six GenAI ethics principles: 1) respect for intellectual property, 2) truthfulness, 3) robustness, 4) recognition of malicious uses, 5) sociocultural responsibility, and 6) human-centric design. Addressing the challenge of satisfying multiple principles simultaneously, we suggest three meta-principles: categorizing and ranking principles to distinguish fundamental from supporting ones, mapping contradictions between principle pairs to understand their nature, and implementing continuous monitoring of fundamental principles due to the evolving nature of GenAI systems and their applications. To conclude, we suggest increased research emphasis on complementary ethics approaches to principlism, ethical tensions between different ethical viewpoints, end-user perspectives on the explainability and understanding of GenAI, and the salience of ethics principles to various GenAI stakeholders.</t>
  </si>
  <si>
    <t>1529-3181</t>
  </si>
  <si>
    <t>10.17705/1CAIS.05601</t>
  </si>
  <si>
    <t>WOS:001440583200001</t>
  </si>
  <si>
    <t>Olorunnimbe, K; Viktor, H</t>
  </si>
  <si>
    <t>Olorunnimbe, Kenniy; Viktor, Herna</t>
  </si>
  <si>
    <t>Ensemble of temporal Transformers for financial time series</t>
  </si>
  <si>
    <t>Deep learning; Ensemble; Financial price prediction; Temporal Transformer; Stock market forecast; Multi-horizon forecast</t>
  </si>
  <si>
    <t>The accuracy of price forecasts is important for financial market trading strategies and portfolio management. Compared to traditional models such as ARIMA and other state-of-the-art deep learning techniques, temporal Transformers with similarity embedding perform better for multi-horizon forecasts in financial time series, as they account for the conditional heteroscedasticity inherent in financial data. Despite this, the methods employed in generating these forecasts must be optimized to achieve the highest possible level of precision. One approach that has been shown to improve the accuracy of machine learning models is ensemble techniques. To this end, we present an ensemble approach that efficiently utilizes the available data over an extended timeframe. Our ensemble combines multiple temporal Transformer models learned within sliding windows, thereby making optimal use of the data. As combination methods, along with an averaging approach, we also introduced a stacking meta-learner that leverages a quantile estimator to determine the optimal weights for combining the base models of smaller windows. By decomposing the constituent time series of an extended timeframe, we optimize the utilization of the series for financial deep learning. This simplifies the training process of a temporal Transformer model over an extended time series while achieving better performance, particularly when accounting for the non-constant variance of financial time series. Our experiments, conducted across volatile and non-volatile extrapolation periods, using 20 companies from the Dow Jones Industrial Average show more than 40% and 60% improvement in predictive performance compared to the baseline temporal Transformer.</t>
  </si>
  <si>
    <t>10.1007/s10844-024-00851-2</t>
  </si>
  <si>
    <t>WOS:001171457400001</t>
  </si>
  <si>
    <t>Reddy, V; Veeranjaneyulu, N</t>
  </si>
  <si>
    <t>Reddy, Veerababu; Veeranjaneyulu, N.</t>
  </si>
  <si>
    <t>DeepFinLLM: an intelligent financial advisor unleashing strategic insights with large language models</t>
  </si>
  <si>
    <t>Large language models (LLMs); Hybrid retrieval; Financial QA; Semantic query parsing; Real-time data integration</t>
  </si>
  <si>
    <t>The demand for sophisticated advisory systems has intensified in the contemporary financial landscape, necessitating innovative solutions that deliver precise and timely insights for investors. Traditional financial models frequently encounter limitations, including inflexibility, dependence on static datasets, and inadequate adaptability to user-specific requirements. To address these challenges, we propose DeepFinLLM, a hybrid financial advisory system that integrates a state-of-the-art language model, specifically the DeepSeek Chat V3 0324, with the Financial Modeling Prep API. DeepFinLLM utilizes various financial data sources, encompassing historical market data, real-time financial news, and user-generated data, while employing advanced natural language processing techniques for comprehensive analysis. DeepFinLLM features semantic query parsing and hybrid retrieval systems to enhance the accuracy of financial question answering. Moreover, it provides personalized financial advice tailored to individual user preferences and incorporates continuous learning capabilities, significantly enhancing its applicability in today's dynamic financial environment. This innovative system processes complex financial queries in real-time, achieving a notable accuracy rate of 94.2%, an F1 score of 0.92 in stock predictions, and an Exact Match rate of 87.5% in identifying relevant financial insights. DeepFinLLM serves as a robust solution for both expert and novice investors, facilitating informed decision-making and effectively navigating the complexities of the financial landscape.</t>
  </si>
  <si>
    <t>10.1007/s10844-025-00959-z</t>
  </si>
  <si>
    <t>WOS:001509394400001</t>
  </si>
  <si>
    <t>Liu, PF; Zhang, YH; Yang, YS; Zhao, XW; Tao, B</t>
  </si>
  <si>
    <t>Liu, Peifeng; Zhang, Yuhao; Yang, Yisheng; Zhao, Xingwei; Tao, Bo</t>
  </si>
  <si>
    <t>Intelligent generation and reasoning method for aviation assembly knowledge graph based on joint knowledge embedding learning</t>
  </si>
  <si>
    <t>Knowledge graph; Large language model; Knowledge embedding learning; Aviation assembly; Intelligent manufacturing</t>
  </si>
  <si>
    <t>ENTITY</t>
  </si>
  <si>
    <t>The field of aviation assembly is characterized by high system complexity and nontrivial operations. Currently, the knowledge assistance in this field is mainly based on assembly technical manuals, and the document format is mostly unstructured, lacking structured descriptive information. Therefore, knowledge-assisted technology faces challenges such as insufficient accuracy in structured knowledge construction and limited interpretability of reasoning. To address the above problems, this paper proposes a knowledge graph intelligent generation and reasoning framework based on joint knowledge embedding learning. Traditional keyword-based semantic retrieval knowledge assistance is insufficient for global knowledge and context reasoning. In the proposed framework, the prior domain knowledge is embedded in a large language model through knowledge embedding learning for intelligent generation of structured knowledge graphs. Then, the generated knowledge graph will be vectorized in a low-dimensional space in the form of subgraph sets by knowledge embedding learning, facilitating knowledge reasoning in the given domain. Verification experiments of aviation assembly knowledge graph construction and auxiliary decision-making are conducted. The results show that the accuracy of proposed knowledge graph generation reaches 91.33 %, and the accuracy of knowledge reasoning is 96.55 %. This method provides an efficient technical solution for knowledge management and application in the field of aviation assembly.</t>
  </si>
  <si>
    <t>10.1016/j.asoc.2025.114140</t>
  </si>
  <si>
    <t>WOS:001614851800001</t>
  </si>
  <si>
    <t>Aragón, ME; López-Monroy, AP; Montes-y-Gómez, M; Losada, DE</t>
  </si>
  <si>
    <t>Aragon, Mario Ezra; Lopez-Monroy, Adrian Pastor; Montes-y-Gomez, Manuel; Losada, David E.</t>
  </si>
  <si>
    <t>Online expressions, offline struggles: Using social media to identify depression-related symptoms</t>
  </si>
  <si>
    <t>Depression; Social media; Beck's Depression Inventory; Large language models</t>
  </si>
  <si>
    <t>INVENTORY</t>
  </si>
  <si>
    <t>With their growing popularity, social media platforms have become valuable tools for researchers and health professionals, offering new opportunities to identify linguistic patterns associated with mental health. In this study, we analyze depression-related symptoms using user-generated posts on social media and the Beck Depression Inventory (BDI). Using posts from individuals who have self-reported a depression diagnosis, we train and evaluate sentence classification models to assess their ability to detect BDI symptoms. Specifically, we conduct binary classification experiments to identify the presence of depression-related symptoms and additional tests to categorize sentences into specific BDI symptom types. We also perform a comprehensive symptom-level analysis to examine how depressive symptoms are expressed linguistically, linking social media data with a clinically validated framework. In addition, we analyze symptom distributions between users with and without depression and across platforms, providing insight into how symptoms manifest in diverse online contexts. Furthermore, we incorporate a data augmentation strategy that leverages Large Language Models to generate clinically grounded synthetic examples and evaluate their effectiveness against human-generated data. Our findings indicate that users with depression exhibit a significantly higher prevalence of certain BDI symptoms-particularly Suicidal Thoughts, Crying, Self-Dislike, and Changes in Sleeping Pattern-while control users predominantly express milder categories such as Sadness or Pessimism. Synthetic data improves the detection of underrepresented symptoms and enhances model robustness, although human-generated data better captures subtle linguistic nuances. Specialized models outperform general ones, but specific symptom categories remain challenging, underscoring the need for more interpretable and clinically grounded detection frameworks.</t>
  </si>
  <si>
    <t>10.1016/j.osnem.2025.100338</t>
  </si>
  <si>
    <t>WOS:001597564500001</t>
  </si>
  <si>
    <t>Murad, SA; Dahal, A; Rahimi, N</t>
  </si>
  <si>
    <t>Akbar Murad, Saydul; Dahal, Ashim; Rahimi, Nick</t>
  </si>
  <si>
    <t>Multilingual Cyber Threat Detection in Tweets/X Using ML, DL, and LLM: A Comparative Analysis</t>
  </si>
  <si>
    <t>Social networking (online); Multilingual; Threat assessment; Translation; Blogs; Analytical models; Accuracy; Radio frequency; Long short term memory; Sentiment analysis; deep learning (DL); large language model (LLM); loss; machine learning (ML); Tweet/X data</t>
  </si>
  <si>
    <t>Cyber threat detection has become an important area of focus in the digital age of today due to the growing spread of fake information and harmful content on social media platforms such as Twitter (now X). These cyber threats, often disguised within tweets, pose significant risks to individuals, communities, and even nations, emphasizing the need for effective detection systems. While previous research has explored tweet-based threats, much of the work is limited to specific languages, domains, or locations or relies on single-model approaches, reducing their applicability to diverse real-world scenarios. To address these gaps, our study focuses on multilingual tweet cyber threat detection using a variety of advanced models. The research was conducted in three stages: 1) we collected and labeled tweet datasets in four languages-English, Chinese, Russian, and Arabic-employing both manual and polarity-based labeling methods to ensure high-quality annotations; 2) each dataset was analyzed individually using ML and DL models to assess their performance on distinct languages; and 3) finally, we combined all four datasets into a single multilingual dataset and applied deep learning (DL) and large language model (LLM) architectures to evaluate their efficacy in identifying cyber threats across various languages. Our results show that among machine learning models, random forest (RF) attained the highest performance, and the bidirectional long short-term memory (Bi-LSTM) architecture consistently surpassed other DL and LLM architectures across all datasets. These findings underline the effectiveness of Bi-LSTM in multilingual cyber threat detection.</t>
  </si>
  <si>
    <t>10.1109/TCSS.2025.3623021</t>
  </si>
  <si>
    <t>WOS:001611673000001</t>
  </si>
  <si>
    <t>Sun, Y; Han, Y; Liu, XK</t>
  </si>
  <si>
    <t>Sun, Yi; Han, Ying; Liu, Xinke</t>
  </si>
  <si>
    <t>Intelligent Gas Risk Assessment and Report Generation for Coal Mines: An Innovative Framework Based on GLM Fine-Tuning</t>
  </si>
  <si>
    <t>coal mine safety; fine-tuning; large language models; intelligent risk assessment; automated report generation</t>
  </si>
  <si>
    <t>DRIVEN COAL; ACCIDENTS</t>
  </si>
  <si>
    <t>Traditional coal mine gas risk assessment relies on manual operations, leading to inefficiencies, incomplete information integration, and insufficient evaluation accuracy, ultimately affecting safety oversight. This paper proposes an intelligent gas risk assessment and report generation framework (IGRARG) based on fine-tuning a Generative Language Model (GLM) to address these challenges. The framework integrates multi-source sensor data with the reasoning capabilities of large language models (LLMs). It constructs a gas risk dataset for coal mine safety scenarios, fine-tuned with GLM. Incorporating industry regulations and a domain-specific knowledge base enhanced with a Retrieval-Augmented Generation (RAG) mechanism, the framework automates alarm judgment, suggestion generation, and report creation via a hierarchical graph structure. Real-time human feedback further refines decision making. Experimental results show an evaluation accuracy of 85-93%, with over 300 field tests achieving a 94.46% alarm judgment accuracy and reducing weekly report generation from 90 min to 2-3 min. This framework significantly enhances the intelligence and efficiency of gas risk assessment, providing robust decision support for coal mine safety management.</t>
  </si>
  <si>
    <t>10.3390/electronics14020379</t>
  </si>
  <si>
    <t>WOS:001405357300001</t>
  </si>
  <si>
    <t>Alipour-Vaezi, M; Tsui, KL</t>
  </si>
  <si>
    <t>Alipour-Vaezi, Mohammad; Tsui, Kwok-Leung</t>
  </si>
  <si>
    <t>Data-driven portfolio management for motion pictures industry: A new data-driven optimization methodology using a large language model as the expert</t>
  </si>
  <si>
    <t>Decision Support Systems; Data-Driven Optimization; Portfolio Management; Multi-Attribute Decision-Making; Motion Pictures Industry</t>
  </si>
  <si>
    <t>CLASSIFICATION; REGRESSION; PREDICTION; DESIGN; FOREST; TREES; ERROR</t>
  </si>
  <si>
    <t>Portfolio management is one of the unresponded problems of the Motion Pictures Industry (MPI). To design an optimal portfolio for an MPI distributor, it is essential to predict the box office of each project. Moreover, for an accurate box office prediction, it is critical to consider the effect of the celebrities involved in each MPI project, which was impossible with any precedent expert-based method. Additionally, the asymmetric characteristic of MPI data decreases the performance of any predictive algorithm. In this paper, firstly, the fame score of the celebrities is determined using a large language model. Then, to tackle the asymmetric character of MPI's data, projects are classified. Furthermore, the box office prediction takes place for each class of projects. Finally, using a hybrid multi-attribute decision-making technique, the preferability of each project for the distributor is calculated, and benefiting from a bi-objective optimization model, the optimal portfolio is designed. To validate our approach, we conducted experiments using a dataset of movies released in the United States from 1980 to 2020 and employed the proposed approach to predict box office performance. Our results demonstrate that the proposed methodology significantly improves prediction accuracy and provides a robust framework for effective portfolio management.</t>
  </si>
  <si>
    <t>10.1016/j.cie.2024.110574</t>
  </si>
  <si>
    <t>WOS:001321082300001</t>
  </si>
  <si>
    <t>Kitadai, A; Lugo, SDR; Tsurusaki, Y; Fukasawa, Y; Nishino, N</t>
  </si>
  <si>
    <t>Kitadai, Ayato; Rico Lugo, Sinndy Dayana; Tsurusaki, Yudai; Fukasawa, Yusuke; Nishino, Nariaki</t>
  </si>
  <si>
    <t>Can AI with High Reasoning Ability Replicate Human-like Decision Making in Economic Experiments?</t>
  </si>
  <si>
    <t>GROUP DECISION AND NEGOTIATION</t>
  </si>
  <si>
    <t>Large language models; Economic experiment; Multi agent simulation; Ultimatum game</t>
  </si>
  <si>
    <t>FAIRNESS</t>
  </si>
  <si>
    <t>Economic experiments offer a controlled setting for researchers to observe human decision-making and test diverse theories and hypotheses; however, substantial costs and efforts are incurred to gather many individuals as experimental participants. To address this issue, with the development of large language models (LLMs), researchers have recently attempted to develop simulated economic experiments using LLMs-driven agents, called generative agents. If generative agents can replicate human-like decision making in economic experiments, the cost problem of economic experiments can be alleviated. However, despite growing attention, a structured methodology for reliably simulating human behavior using generative agents has not yet emerged. Considering previous research and the current evolutionary stage of LLMs, this study focuses on the reasoning ability of generative agents as a key factor in establishing a framework for this new methodology. A multi-agent simulation, designed to improve the reasoning ability of generative agents through prompting methods, was developed to reproduce the result of an actual economic experiment on the ultimatum game. The results demonstrated that the higher the reasoning ability of the agents, the closer the results were to the theoretical solution, rather than to the real experimental result. The results also suggest that setting the personas of the generative agents may be important for reproducing the results of real economic experiments. These findings provide a foundation for further studies aiming to develop scalable, interpretable, and context-aware LLM-based simulations for experimental economics.</t>
  </si>
  <si>
    <t>0926-2644</t>
  </si>
  <si>
    <t>1572-9907</t>
  </si>
  <si>
    <t>10.1007/s10726-025-09946-9</t>
  </si>
  <si>
    <t>Business &amp; Economics; Social Sciences - Other Topics</t>
  </si>
  <si>
    <t>WOS:001573781000001</t>
  </si>
  <si>
    <t>Faria-e-Castro, M; Leibovici, F</t>
  </si>
  <si>
    <t>Faria-e-Castro, Miguel; Leibovici, Fernando</t>
  </si>
  <si>
    <t>Artificial Intelligence and Inflation Forecasts</t>
  </si>
  <si>
    <t>FEDERAL RESERVE BANK OF ST LOUIS REVIEW</t>
  </si>
  <si>
    <t>We explore the ability of large language models (LLMs) to produce in-sample conditional inflation forecasts during the 2019-23 period. We use a leading LLM (Google AI's PaLM) to produce distributions of conditional forecasts at different horizons and compare these forecasts to those of a leading source, the Survey of Professional Forecasters (SPF). We find that LLM forecasts generate lower mean-squared errors overall in most years and at almost all horizons. LLM forecasts exhibit slower reversion to the 2 percent inflation anchor.</t>
  </si>
  <si>
    <t>0014-9187</t>
  </si>
  <si>
    <t>2163-4505</t>
  </si>
  <si>
    <t>10.20955/r.2024.12</t>
  </si>
  <si>
    <t>WOS:001399870600001</t>
  </si>
  <si>
    <t>Leiva-Araos, A; Kalasapudi, VS; Jiang, AY; Kaushal, H</t>
  </si>
  <si>
    <t>Leiva-Araos, Andres; Kalasapudi, Vamsi Sai; Jiang, Aiyin; Kaushal, Hemani</t>
  </si>
  <si>
    <t>Evaluating Smart Building Features for Fire, Electrical, and Life Safety: A Rapid Human-LLM Framework for Literature Review and Research Mapping</t>
  </si>
  <si>
    <t>Sensors; Intelligent sensors; Safety; Smart buildings; Systematic literature review; Computer security; Sensor systems; Sensor phenomena and characterization; Internet of Things; Fire safety; fire safety; disaster response systems; knowledge map; large language models (LLM); research gap analysis; AI-assisted literature review</t>
  </si>
  <si>
    <t>SYSTEM; EVACUATION</t>
  </si>
  <si>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</si>
  <si>
    <t>10.1109/ACCESS.2025.3613246</t>
  </si>
  <si>
    <t>WOS:001591699200047</t>
  </si>
  <si>
    <t>Wen, JB; Li, Z; Xi, M; He, JY</t>
  </si>
  <si>
    <t>Wen, Jiabao; Li, Zhen; Xi, Meng; He, Jingyi</t>
  </si>
  <si>
    <t>An LLM-Assisted AUV 3-D Path Planning Scheme Under Ocean Current Interference via Reinforcement Learning</t>
  </si>
  <si>
    <t>Oceans; Heuristic algorithms; Decision making; Vehicle dynamics; Training; Reinforcement learning; Planning; Vectors; Robustness; Trajectory; Current interference; federated learning; Industrial Internet of Things (IIoT); large language models; path planning; reinforcement learning (RL)</t>
  </si>
  <si>
    <t>With the rapid development of Industrial Internet of Things (IIoT), the emergence of credible federated learning provides a more effective solution for it. In this article, we use the credible collaboration between large language models (LLMs) and reinforcement learning (RL) model to improve the autonomous decision-making efficiency of autonomous underwater vehicle (AUV), reduce resource and power consumption, and solve robust decision-making problem in open environments. First, considering the complex terrain and hydrodynamic environment in the ocean, we construct a 3-D ocean simulation environment with high accuracy and high reliability to simulate the behavioral constraints of AUV in the real ocean. Second, we integrate LLaMA model into the decision-making process of AUV, utilizing its powerful information processing capability for environmental analysis and action selection, so as to improve the decision-making generalization ability of AUV in dynamic ocean environments. Finally, we propose proximal policy advantage estimation (PPAE) method and achieve safe and efficient path planning for AUV based on LLMs decision output and dynamic field environment information. The experimental results show that our method achieves a good effect in improving the decision accuracy and robustness of the AUV, which proves the effectiveness of the LLMs in the application of underwater intelligent agent control decision.</t>
  </si>
  <si>
    <t>10.1109/JIOT.2025.3540820</t>
  </si>
  <si>
    <t>WOS:001579048500011</t>
  </si>
  <si>
    <t>Mahmood, MAI; Ashab, F; Sohan, MS; Chy, MHI; Kader, MF</t>
  </si>
  <si>
    <t>Mahmood, Mohammed Arif Iftakher; Ashab, Fahim; Sohan, Md Saifuzzaman; Chy, Md Hedayetul Islam; Kader, Md Fazlul</t>
  </si>
  <si>
    <t>LLM-Enhanced Security Framework for IoT Network: Anomaly Detection and Malicious Devices Identification</t>
  </si>
  <si>
    <t>Internet of Things; Anomaly detection; Security; Object recognition; Telecommunication traffic; Monitoring; Semantics; Intrusion detection; Decision making; Training; intrusion detection system; large language model; malicious device identification; machine learning</t>
  </si>
  <si>
    <t>INTRUSION-DETECTION; INTERNET; THINGS</t>
  </si>
  <si>
    <t>Due to resource constraints, Internet of Things (IoT) devices often lack built-in security systems, making them vulnerable to zero-day attacks. Consequently, there is a growing need for anomaly-based intrusion detection systems for IoT networks. However, traditional anomaly systems suffer from a high number of false positives, which wastes analysts' time. Besides this, there is a semantic gap between the system outputs and the network operators. In this paper, we propose a machine learning-based framework with large language model (LLM) integration to address those challenges we face in traditional systems. The model not only detects potential threats but also bridges the semantic gap. The framework employs isolation forest for anomaly detection and random forest for device integrity assessment. To enhance anomaly evaluation and improve interpretability, the system's insights are further processed by GPT-4o mini, an LLM. The LLM elucidates statistical summaries of IoT traffic, assigns risk scores, and provides human-readable explanations and thereby enhancing decision-making. This approach reduces the reliance on expert network operators. As a result, non-technical users can understand and act upon the system's outputs.</t>
  </si>
  <si>
    <t>10.1109/ACCESS.2025.3613588</t>
  </si>
  <si>
    <t>WOS:001586193100047</t>
  </si>
  <si>
    <t>Chang, JR; Nordling, TEM</t>
  </si>
  <si>
    <t>Chang, Jose R.; Nordling, Torbjoern E. M.</t>
  </si>
  <si>
    <t>ChatGPT struggles to recognize reproducible science</t>
  </si>
  <si>
    <t>Reproducibility; ChatGPT; Machine learning; Large language model</t>
  </si>
  <si>
    <t>REPLICABILITY; FORMULA</t>
  </si>
  <si>
    <t>The quality of answers provided by ChatGPT matters with over 100 million users and approximately 1 billion monthly website visits. Large language models have the potential to drive scientific breakthroughs by processing vast amounts of information in seconds and learning from data at a scale and speed unattainable by humans, but recognizing reproducibility, a core aspect of high-quality science, remains a challenge. Our study investigates the effectiveness of ChatGPT (GPT-\documentclass[12pt]{minimal} \usepackage{amsmath} \usepackage{wasysym} \usepackage{amsfonts} \usepackage{amssymb} \usepackage{amsbsy} \usepackage{mathrsfs} \usepackage{upgreek} \setlength{\oddsidemargin}{-69pt} \begin{document}$$-$$\end{document}3.5) in evaluating scientific reproducibility, a critical and underexplored topic, by analyzing the methods sections of 158 research articles. In our methodology, we asked ChatGPT, through a structured prompt, to predict the reproducibility of a scientific article based on the extracted text from its methods section. The findings of our study reveal significant limitations: Out of the assessed articles, only 18 (11.4%) were accurately classified, while 29 (18.4%) were misclassified, and 111 (70.3%) faced challenges in interpreting key methodological details that influence reproducibility. Future advancements should ensure consistent answers for similar or same prompts, improve reasoning for analyzing technical, jargon-heavy text, and enhance transparency in decision-making. Additionally, we suggest the development of a dedicated benchmark to systematically evaluate how well AI models can assess the reproducibility of scientific articles. This study highlights the continued need for human expertise and the risks of uncritical reliance on AI.</t>
  </si>
  <si>
    <t>10.1007/s10115-025-02428-z</t>
  </si>
  <si>
    <t>WOS:001478385500001</t>
  </si>
  <si>
    <t>Yang, Y; Wang, DL; Chiclana, F; Chen, ZS</t>
  </si>
  <si>
    <t>Yang, Yi; Wang, Dong-Lin; Chiclana, Francisco; Chen, Zhen-Song</t>
  </si>
  <si>
    <t>A multi-agent LLM framework for severity classification of complaint events: Probabilistic reasoning with scene uncertainty</t>
  </si>
  <si>
    <t>Complaint text; Large language models; Fuzzy scene; Chain of Thought; Multi-objective optimization; Severity level classification</t>
  </si>
  <si>
    <t>In response to the growing demand for intelligent severity classification of automotive complaint events, this study proposes a large language models-based multi-agent (LLM-MA) system. First, using recalled text data structured in defect description &amp; iacute;Cpossible consequence pairs, a network community detection algorithm is applied to construct a Chain-of-Thought (CoT) set that comprehensively captures typical automotive components and contextual scenarios. Second, a collaborative multi-agent architecture is designed, consisting of: a Driving Scenario Ambiguity Analysis Agent, which extracts scene-level uncertain features through semantic enhancement; Severity Classification Agents, which employ a dynamic temperature parameter strategy combined with generalized Beta distribution fitting to quantitatively model classification uncertainty; and an Aggregation Agent, which constructs a multi-objective optimization model incorporating three critical dimensions-CoT consistency, group consensus, and confidence level-to intelligently integrate classification results. The resulting three-tier discrimination framework encompasses scene perception, probabilistic reasoning, and dynamic aggregation, offering interpretable and robust decision support for the management and early warning of automotive safety complaints. Experimental results show that the proposed LLM-MA achieves a severity classification accuracy exceeding 0.93. This system helps establish a collaborative mechanism that supports consumer protection, corporate quality improvement, and evidence-based regulatory decision-making.</t>
  </si>
  <si>
    <t>10.1016/j.aei.2025.104135</t>
  </si>
  <si>
    <t>WOS:001630534500001</t>
  </si>
  <si>
    <t>Ahmadpanah, SH; Sobhanloo, S; Afsharfarnia, P</t>
  </si>
  <si>
    <t>Ahmadpanah, Seyed Hossein; Sobhanloo, Sanaz; Afsharfarnia, Pania</t>
  </si>
  <si>
    <t>Dynamic token pruning for LLMs: leveraging task-specific attention and adaptive thresholds</t>
  </si>
  <si>
    <t>Large language model; Dynamic token pruning; Task-specific optimization; Natural language processing; Model efficiency</t>
  </si>
  <si>
    <t>Large language models (LLMs) have achieved state-of-the-art performance across a wide range of natural language processing (NLP) tasks. With their high inference computational costs, deployment is extremely challenging, especially to resource-constrained environments. Dynamic pruning methods, because they are efficient, are likely to assign uniform policies to all tasks and even forget task-specific knowledge and make optimal behavior complicated. To counter this limitation, we propose task-specific dynamic token pruning (TS-DTP), a novel optimization framework that reaches maximum efficiency for LLMs at inference without compromising task-specific performance and, in certain cases, improving upon it. TS-DTP utilizes task-specific knowledge to regulate the token selection process by applying task-specific attention weights and adaptive threshold learning. This approach enables better token importance decision-making through the dynamically adjustable pruning policy according to the downstream task need. It enables very high-grained control, keeping the meaningful contextual information, therefore promoting better performance compared to regular pruning methods. Experimental findings on a variety of NLP tasks (question answering, machine translation, sentiment analysis) validate that TS-DTP achieves extremely large reductions in computational expense and memory demands and similar or marginal gains in accuracy. Our findings are at the forefront of efficient and deployable LLM development and highlight the importance of task adaptation for optimal performance in low-resource settings.</t>
  </si>
  <si>
    <t>10.1007/s10115-025-02450-1</t>
  </si>
  <si>
    <t>WOS:001494219600001</t>
  </si>
  <si>
    <t>Ibrahim, MS; Aljaaf, AJ; Al-khafajiy, M; Nafea, AA; Sani, NS</t>
  </si>
  <si>
    <t>Ibrahim, Mohammed S.; Aljaaf, Ahmed J.; Al-khafajiy, Mohammed; Nafea, Ahmed Adil; Sani, Nor Samsiah</t>
  </si>
  <si>
    <t>Systematic evaluation of ChatGPT performance in providing renewable energy information</t>
  </si>
  <si>
    <t>Large language models (LLMs); Systematic LLMs evaluation; ChatGPT; Natural language processing; Renewable energy</t>
  </si>
  <si>
    <t>With the advent of attention mechanisms and the development of transformer-based architectures, a new era of large language models (LLMs) has emerged. These models have given rise to a wide range of fine-tuned applications capable of providing high-quality and informative responses. ChatGPT, a chatbot developed by OpenAI using a popular LLM called GPT 3.5, has demonstrated its capability to provide valuable information in a range of fields. The renewable energy field is a prominent field, which aims to explore alternative sources of energy that are more affordable and effective. In this study, we examine how accurate ChatGPT is when it comes to providing general, non-technical information on renewable energy compared to human experts in this field. A set of prompts was presented to ChatGPT as well as to a human expert. Responses have been collected and evaluated using a set of similarity measures. Further to this, a pre-trained Google vector has been applied to emphasize semantic similarity, and then a more sophisticated LLM competitor evaluation, Gemini, has been employed to evaluate the degree of similarity between ChatGPT responses and those of human experts. It surprisingly comes to a point where ChatGPT responses were more accurate and relevant than those of human experts' responses on renewable energy prompts. This study concludes that ChatGPT is a promising and supportive resource for renewable-energy information, offering responses remarkably close to those of a human expert.</t>
  </si>
  <si>
    <t>DEC 8</t>
  </si>
  <si>
    <t>e3295</t>
  </si>
  <si>
    <t>10.7717/peerj-cs.3295</t>
  </si>
  <si>
    <t>WOS:001639376100001</t>
  </si>
  <si>
    <t>Tankovic, N; Sajina, R; Lorencin, I</t>
  </si>
  <si>
    <t>Tankovic, Nikola; Sajina, Robert; Lorencin, Ivan</t>
  </si>
  <si>
    <t>Transforming Medical Data Access: The Role and Challenges of Recent Language Models in SQL Query Automation</t>
  </si>
  <si>
    <t>healthcare; large language model; natural language query; SQL</t>
  </si>
  <si>
    <t>Generating accurate SQL queries from natural language is critical for enabling non-experts to interact with complex databases, particularly in high-stakes domains like healthcare. This paper presents an extensive evaluation of state-of-the-art large language models (LLM), including LLaMA 3.3, Mixtral, Gemini, Claude 3.5, GPT-4o, and Qwen for transforming medical questions into executable SQL queries using the MIMIC-3 and TREQS datasets. Our approach employs LLMs with various prompts across 1000 natural language questions. The experiments are repeated multiple times to assess performance consistency, token efficiency, and cost-effectiveness. We explore the impact of prompt design on model accuracy through an ablation study, focusing on the role of table data samples and one-shot learning examples. The results highlight substantial trade-offs between accuracy, consistency, and computational cost between the models. This study also underscores the limitations of current models in handling medical terminology and provides insights to improve SQL query generation in the healthcare domain. Future directions include implementing RAG pipelines based on embeddings and reranking models, integrating ICD taxonomies, and refining evaluation metrics for medical query performance. By bridging these gaps, language models can become reliable tools for medical database interaction, enhancing accessibility and decision-making in clinical settings.</t>
  </si>
  <si>
    <t>FEB 21</t>
  </si>
  <si>
    <t>10.3390/a18030124</t>
  </si>
  <si>
    <t>WOS:001453482800001</t>
  </si>
  <si>
    <t>Xu, JW; Zhang, H; Zhou, X; Yang, YJ; Mao, RF; Li, XK; Yang, LX; Shen, HF</t>
  </si>
  <si>
    <t>Xu, Jinwei; Zhang, He; Zhou, Xin; Yang, Yanjing; Mao, Runfeng; Li, Xiaokang; Yang, Lanxin; Shen, Haifeng</t>
  </si>
  <si>
    <t>Automated detection of affected libraries from vulnerability reports</t>
  </si>
  <si>
    <t>AUTOMATED SOFTWARE ENGINEERING</t>
  </si>
  <si>
    <t>Affected library detection; Large language model; Vulnerability report; Software supply chain</t>
  </si>
  <si>
    <t>The growing reuse of third-party libraries in software supply chains increases the risk of being affected by the involved vulnerabilities. To strengthen software security, security vendors such as Snyk manage up-to-date vulnerability databases by associating reported vulnerabilities with their affected libraries, and contemporary digital organizations such as banking and software enterprises detect the third-party libraries they use if affected by these reported vulnerabilities. Existing studies focus on automating the detection process but make few efforts on detecting newly affected libraries, although new libraries (previously healthy) are constantly disclosed to be affected by new vulnerabilities. Moreover, existing studies do not seriously consider digital organizations' concerns only about the libraries they use. In this paper, we propose an approach LibAlarm to address these challenges. We implement LibAlarm as a large language model-powered approach and compare it with the baseline approaches from multiple perspectives. Our experimental evaluation using 16,238 NVD reports indicates that LibAlarm improves the F1 by over 14% compared with baselines and detects over 40% newly affected libraries. For contemporary digital organizations, LibAlarm performs better than the baseline approaches with the F1 above 70% and the reduced false alarm ratio to 20%. Our case analysis using 540 NVD reports and 20 projects from Microsoft and Google demonstrates the effectiveness of LibAlarm. These results indicate that LibAlarm can help security vendors and digital organizations detect affected libraries from vulnerability reports.</t>
  </si>
  <si>
    <t>0928-8910</t>
  </si>
  <si>
    <t>1573-7535</t>
  </si>
  <si>
    <t>10.1007/s10515-025-00540-6</t>
  </si>
  <si>
    <t>WOS:001546992700001</t>
  </si>
  <si>
    <t>Steyvers, M; Tejeda, H; Kumar, A; Belem, C; Karny, S; Hu, XY; Mayer, LW; Smyth, P</t>
  </si>
  <si>
    <t>Steyvers, Mark; Tejeda, Heliodoro; Kumar, Aakriti; Belem, Catarina; Karny, Sheer; Hu, Xinyue; Mayer, Lukas W.; Smyth, Padhraic</t>
  </si>
  <si>
    <t>What large language models know and what people think they know</t>
  </si>
  <si>
    <t>WORDS</t>
  </si>
  <si>
    <t>As artificial intelligence systems, particularly large language models (LLMs), become increasingly integrated into decision-making processes, the ability to trust their outputs is crucial. To earn human trust, LLMs must be well calibrated such that they can accurately assess and communicate the likelihood of their predictions being correct. Whereas recent work has focused on LLMs' internal confidence, less is understood about how effectively they convey uncertainty to users. Here we explore the calibration gap, which refers to the difference between human confidence in LLM-generated answers and the models' actual confidence, and the discrimination gap, which reflects how well humans and models can distinguish between correct and incorrect answers. Our experiments with multiple-choice and short-answer questions reveal that users tend to overestimate the accuracy of LLM responses when provided with default explanations. Moreover, longer explanations increased user confidence, even when the extra length did not improve answer accuracy. By adjusting LLM explanations to better reflect the models' internal confidence, both the calibration gap and the discrimination gap narrowed, significantly improving user perception of LLM accuracy. These findings underscore the importance of accurate uncertainty communication and highlight the effect of explanation length in influencing user trust in artificial-intelligence-assisted decision-making environments.</t>
  </si>
  <si>
    <t>10.1038/s42256-024-00976-7</t>
  </si>
  <si>
    <t>WOS:001401162500001</t>
  </si>
  <si>
    <t>Junior, GN; Marcon, C</t>
  </si>
  <si>
    <t>Junior, Gilberto N.; Marcon, Cesar</t>
  </si>
  <si>
    <t>OPTIC-OPtimized Translation and Interaction for Cloud-Costs: Use of FOCUS Standardization and LLM Integration for Cloud Billing Analysis</t>
  </si>
  <si>
    <t>Costs; Structured Query Language; Cloud computing; Translation; Standards organizations; Standardization; Organizations; Optical sensors; Loading; Integrated optics; cost analysis; data integration; decision making; financial management; large language models (LLM); multicloud computing; natural language processing (NLP); SQL; standardization; data visualization; natural language processing; web interfaces</t>
  </si>
  <si>
    <t>Managing billing data across multicloud environments remains a significant challenge due to heterogeneous data formats, fragmented cost metrics, and the technical complexity of cost analysis. This paper introduces the OPtimized Translation &amp; Interaction for Cloud-costs (OPTIC) framework, a novel approach that combines the FinOps Open Cost and Usage Specification (FOCUS) with Large Language Models (LLMs) to enable natural language interaction with standardized billing data. OPTIC automates the Extraction, Transformation, and Loading (ETL) of cost and usage data from major cloud providers, consolidates them into a unified SQL database, and translates natural user questions into SQL queries using LLM-based text-to-SQL techniques. A web-based interface supports both predefined dashboards and a chatbot for dynamic queries. Experimental results using benchmark datasets demonstrate an accuracy of up to 82.5% in SQL generation, showcasing the framework's effectiveness in Financial Operations (FinOps) contexts. By simplifying multicloud cost analysis, OPTIC aims to democratize access to financial insights and support data-driven decision-making in both technical and non-technical teams.</t>
  </si>
  <si>
    <t>10.1109/ACCESS.2025.3643821</t>
  </si>
  <si>
    <t>WOS:001643431900015</t>
  </si>
  <si>
    <t>Ni, BY; Cai, XL; Shen, ZJ; Meng, ZJ; Zhao, JH; Cheng, YH; Gui, XN</t>
  </si>
  <si>
    <t>Ni, Binye; Cai, Xinlei; Shen, Zhijun; Meng, Zijie; Zhao, Junhua; Cheng, Yuheng; Gui, Xuanang</t>
  </si>
  <si>
    <t>Intelli-Dispatch-SQL: An LLM-based agent for reliable Text-to-SQL in power dispatching</t>
  </si>
  <si>
    <t>Power system; Artificial intelligence; Text-to-SQL; Natural language processing; Large Language Models</t>
  </si>
  <si>
    <t>CHALLENGES; MANAGEMENT; SYSTEMS</t>
  </si>
  <si>
    <t>The increasing complexity of modern power systems, driven by factors such as the large-scale integration of renewable energy and the proliferation of distributed generation, has placed unprecedented demands on power dispatching operations. Ensuring grid stability and safety in this new environment requires real-time monitoring and swift, data-driven decision-making. Consequently, efficient and accurate data querying capabilities have become paramount. This study introduces Intelli-Dispatch-SQL, a novel agent-based Text-to-SQL framework that leverages the Large Language Model (LLM) to enhance the accuracy and reliability of generated SQL queries in the context of power dispatching. By integrating intent recognition and SQL validation modules, Intelli-Dispatch-SQL ensures that generated queries are not only syntactically correct but also semantically aligned with user intent and executable within the operational context. Through comprehensive experiments, including ablation studies and cross-model evaluations, we demonstrate that Intelli-Dispatch-SQL significantly outperforms existing Text-to-SQL models, achieving substantial improvements in both Exact Match (EM) and Execution Accuracy (EX). Notably, the incorporation of intent recognition and SQL validation modules is shown to be critical for performance enhancement. The framework's effectiveness was further validated across various LLMs, confirming its robustness and applicability across diverse scenarios. Intelli-Dispatch-SQL offers a high-performance and generalizable solution for Text-to-SQL in power dispatching, paving the way for more efficient and intelligent power system management.</t>
  </si>
  <si>
    <t>10.1016/j.egyai.2025.100591</t>
  </si>
  <si>
    <t>WOS:001562480500001</t>
  </si>
  <si>
    <t>Jeong, W; Kim, YJ; Koo, HY; Seo, J; Choi, J; Oh, B</t>
  </si>
  <si>
    <t>Jeong, Wooseok; Kim, Young-Jin; Koo, Hae-Yoon; Seo, Jimyeung; Choi, Jinho; Oh, Byungkook</t>
  </si>
  <si>
    <t>Interaction-Grounded Semantic Graph Refinement for LLM-Based Recommendation</t>
  </si>
  <si>
    <t>Semantics; Distortion; Collaboration; Cognition; Reviews; Knowledge graphs; Vectors; Large language models; History; Faces; recommendation systems; graph refinement; graph neural networks</t>
  </si>
  <si>
    <t>Large language models (LLMs) have recently demonstrated remarkable potential for recommendation by reframing it as a text-generation task. Recent LLM-based approaches apply GNNs to capture higher-order collaborative patterns from interaction graphs but handle textual data separately, failing to extract higher-order semantic patterns from text. One potential solution is to construct semantic graphs to better capture such semantic relationships. However, naively selecting top-k connections by profile similarity introduces significant challenges: 1) preference gap between textual similarity and actual user behavior, and 2) semantic distortion where identical attributes carry different meanings for users versus items. To overcome these issues, we propose an Interaction-Grounded Semantic Recommender (IGSRec), which constructs an interaction-grounded semantic graph by aligning profile-based connections with observed interactions. IGSRec employs an LLM-based profile generator, constructs a top-k semantic graph, then refines it using a learnable scoring function that identifies relevant semantic neighborhoods conditioned on user-item interactions. Through dual-graph propagation over both the refined semantic and interaction graphs, IGSRec captures higher-order semantic and collaborative patterns. Experiments on Amazon Review benchmarks demonstrate state-of-the-art performance in both direct and sequential recommendation tasks. Our code and data are publicly available at https://github.com/oseoko/IGSRec/</t>
  </si>
  <si>
    <t>10.1109/ACCESS.2025.3631801</t>
  </si>
  <si>
    <t>WOS:001619064400031</t>
  </si>
  <si>
    <t>Li, PC; Wang, YW; Xiao, JW</t>
  </si>
  <si>
    <t>Li, Peng-Cheng; Wang, Yan-Wu; Xiao, Jiang-Wen</t>
  </si>
  <si>
    <t>Accurate forecasting on few-shot learning with a novel inference foundation model</t>
  </si>
  <si>
    <t>Gene selection forecasting; Few-shot time series forecasting; Multistep ahead forecasting; Forecasting tree</t>
  </si>
  <si>
    <t>Accurate forecasting with limited data remains a significant challenge, especially for deep learning models that require large-scale training data to map historical data to future data. While Meta-learning (MeL) and Transfer Learning (TL) are useful, they have limitations: MeL assumes shared task structures, which may not apply to unique tasks, and TL requires domain similarity, often failing when distributions differ. Importantly, this paper reveals that future trend changes are often embedded in historical data, regardless of dataset size. However, deep learning models struggle to learn these trends from small training datasets due to their reliance on extensive historical information for mapping past to future. To address this gap, a novel inference foundation model is designed to uncover intrinsic change patterns within the data rather than relying on extensive historical information. Inspired by gene evolution, our approach decomposes historical data into subsequences (genes), selects optimal genes, and combines them into evolutionary chains based on temporal relationships. Each chain represents potential future trends. Through five generations of selection and recombination, the best gene sequence is identified for forecasting. The proposed model outperforms all state-of-the-art models across three experiments involving eight datasets. Specifically, it achieves a 27% improvement over the best-performing MeL-based and TL-based models. Furthermore, it shows an average improvement of 38% over other leading models, including Transformer-based, Multiscale-based, Linear-based, MLP-based, and Convolution-based models.</t>
  </si>
  <si>
    <t>10.1016/j.inffus.2025.103370</t>
  </si>
  <si>
    <t>WOS:001521603300003</t>
  </si>
  <si>
    <t>Pilán, I; Manzanares-Salor, B; Sánchez, D; Lison, P</t>
  </si>
  <si>
    <t>Pilan, Ildiko; Manzanares-Salor, Benet; Sanchez, David; Lison, Pierre</t>
  </si>
  <si>
    <t>Truthful text sanitization guided by inference attacks</t>
  </si>
  <si>
    <t>Data privacy; Text sanitization; Data utility; Truth-preserving replacements; Large language models</t>
  </si>
  <si>
    <t>SEMANTIC SIMILARITY; INFORMATION-CONTENT; AGREEMENT; REDACTION</t>
  </si>
  <si>
    <t>Text sanitization aims to rewrite parts of a document to prevent disclosure of personal information. The central challenge of text sanitization is to strike a balance between privacy protection (avoiding the leakage of personal information) and utility preservation (retaining as much as possible of the document's original content). To this end, we introduce a novel text sanitization method based on generalizations, that is, broader but still informative terms that subsume the semantic content of the original text spans. The approach relies on the use of instruction-tuned large language models (LLMs) and is divided into two stages. Given a document including text spans expressing personally identifiable information (PII), the LLM is first applied to obtain truth-preserving replacement candidates for each text span and rank them according to their abstraction level. Those candidates are then evaluated for their ability to protect privacy by conducting inference attacks with the LLM. Finally, the system selects the most informative replacement candidate shown to be resistant to those attacks. This two-stage process produces replacements that effectively balance privacy and utility. We also present novel metrics to evaluate these two aspects without needing to manually annotate documents. Results on the Text Anonymization Benchmark show that the proposed approach, implemented with Mistral 7B Instruct, leads to enhanced utility, with only a marginal ( &lt; 1 p.p.) increase in re-identification risk compared to fully suppressing the original spans. Furthermore, our approach is shown to be more truth-preserving than existing methods such as Microsoft Presidio's synthetic replacements.</t>
  </si>
  <si>
    <t>10.1016/j.asoc.2025.114013</t>
  </si>
  <si>
    <t>WOS:001598149800005</t>
  </si>
  <si>
    <t>Ohri, A; Schmah, T</t>
  </si>
  <si>
    <t>Ohri, Aditya; Schmah, Tanya</t>
  </si>
  <si>
    <t>Machine Translation of Mathematical Text</t>
  </si>
  <si>
    <t>Machine translation; Internet; Encyclopedias; Electronic publishing; Vocabulary; Terminology; Training; Machine translation; natural language processing; multi-layer neural network; LaTeX</t>
  </si>
  <si>
    <t>We have implemented a machine translation system, the PolyMath Translator, for LaTeX documents containing mathematical text. The current implementation translates English LaTeX to French LaTeX, attaining a BLEU score of 53.6 on a held-out test corpus of mathematical sentences. It produces LaTeX documents that can be compiled to PDF without further editing. The system first converts the body of an input LaTeX document into English sentences containing math tokens, using the pandoc universal document converter to parse LaTeX input. We have trained a Transformer-based translator model, using OpenNMT, on a combined corpus containing a small proportion of domain-specific sentences. Our full system uses this Transformer model and also Google Translate with a custom glossary, the latter being used as a backup to better handle linguistic features that do not appear in our training dataset. Google Translate is used when the Transformer model does not have confidence in its translation, as determined by a high perplexity score. Ablation testing demonstrates that the tokenization of symbolic expressions is essential to the high quality of translations produced by our system. We have published our test corpus of mathematical text. The PolyMath Translator is available as a web service at http://www.polymathtrans.ai.</t>
  </si>
  <si>
    <t>10.1109/ACCESS.2021.3063715</t>
  </si>
  <si>
    <t>WOS:000628905000001</t>
  </si>
  <si>
    <t>Lim, JY; Lim, KM; Lee, CP; Tan, YX</t>
  </si>
  <si>
    <t>Lim, Jit Yan; Lim, Kian Ming; Lee, Chin Poo; Tan, Yong Xuan</t>
  </si>
  <si>
    <t>A review of few-shot image classification: Approaches, datasets and research trends</t>
  </si>
  <si>
    <t>Few-shot image classification; Few-shot learning; Meta-learning; Transfer learning; Computer vision; Survey</t>
  </si>
  <si>
    <t>NETWORK; RECOGNITION; ALIGNMENT</t>
  </si>
  <si>
    <t>Over the past decade, deep learning has made significant advancements in image classification. However, these models struggle with data scarcity and distribution shifts, commonly referred to as the few-shot image classification (FSIC) problem. FSIC aims to recognize novel classes using only a limited number of labeled samples, posing challenges for conventional deep learning models that rely on large datasets for optimal performance. This paper provides a comprehensive review of FSIC methodologies, categorizing them into five main approaches: meta-learning, transfer learning, data augmentation, attribute-related, and vision-language foundation model adaptation. Meta-learning approaches are further classified into metric-based, model-based, and optimization-based methods, while transfer learning approaches are divided into hybrid and non-hybrid methods. Vision-language foundation model adaptation approaches are grouped into few-shot parameter tuning, dynamic or unsupervised tuning, and training-free adaptation methods. Beyond general FSIC, this paper also explores specialized FSIC methods in fine-grained classification, cross-domain classification, and class-incremental learning. Additionally, it reviews commonly used few-shot image datasets and compares the performance of representative methods through experimental results. Practical applications of FSIC across various domains are also discussed, highlighting its potential to address real-world challenges. Finally, the research trends of FSIC are identified, offering insights into the state-of-the-art FSIC methods and guiding future advancements in this field.</t>
  </si>
  <si>
    <t>OCT 7</t>
  </si>
  <si>
    <t>10.1016/j.neucom.2025.130774</t>
  </si>
  <si>
    <t>WOS:001526780300001</t>
  </si>
  <si>
    <t>Xu, QN; Wen, GR; Lei, ZH; Gu, SL; Su, Y; Zhang, ZF; Chen, XF</t>
  </si>
  <si>
    <t>Xu, Quanning; Wen, Guangrui; Lei, Zihao; Gu, Shulong; Su, Yu; Zhang, Zhifen; Chen, Xuefeng</t>
  </si>
  <si>
    <t>Deep digital twin-powered large vision-language model for multi-scenario industrial fault diagnosis</t>
  </si>
  <si>
    <t>Large language model; Large vision-language model; Fault diagnosis; Multimodal large language model; Digital twin</t>
  </si>
  <si>
    <t>Data-driven deep learning techniques have been widely adopted in industrial health monitoring and maintenance. Nevertheless, conventional diagnostic approaches often suffer from scenario-specific limitations and inadequate intelligent capabilities. Recently developed large-scale vision-language models (LVLMs) provide an advanced human-machine interaction paradigm for intelligent fault diagnosis. This study extends the application of LVLMs to industrial fault diagnosis by proposing the fault diagnosis general language model (FDGLM) framework, which enables intelligent diagnostics across multiple operating conditions and datasets. First, leveraging advanced digital twin technology, high-quality vibration samples are generated to support model training. These samples are processed using the short-time fourier transform (STFT) to generate enhanced time-frequency spectrograms, which address the large-scale data demands of FDGLM training. Subsequently, the pre-trained visual model is fine-tuned using the low-rank adaptation strategy, incorporating both cross-entropy loss and circle loss to jointly improve discriminative capability and robustness in recognizing time-frequency characteristics of industrial faults. Next, the language model is fine-tuned using domain-specific textual instructions to achieve deep alignment between visual and textual modalities, enabling causal fault analysis and maintenance decision-making. Finally, cross-condition and cross-dataset experiments are conducted on four distinct datasets. The results show diagnostic accuracies of 0.995 under identical conditions, 0.890 across varying conditions, and 0.947 in cross-dataset scenarios, while also demonstrating professional-level conversational diagnostic capabilities. The experimental results confirm that FDGLM delivers reliable diagnostics suitable for industrial applications, with minimal fine-tuning overhead and superior performance compared to existing frameworks. The proposed framework represents a next-generation solution for industrial equipment health management.</t>
  </si>
  <si>
    <t>10.1016/j.aei.2025.103997</t>
  </si>
  <si>
    <t>WOS:001606036000001</t>
  </si>
  <si>
    <t>Rostam, ZRK; Kertesz, G</t>
  </si>
  <si>
    <t>Rostam, Zhyar Rzgar K.; Kertesz, Gabor</t>
  </si>
  <si>
    <t>Advances in Pre-trained Language Models for Domain-Specific Text Classification: A Systematic Review</t>
  </si>
  <si>
    <t>Large language model (LLM); pre-trained language model (PLM); prompt-based learning; scientific text; text classification; Transformer</t>
  </si>
  <si>
    <t>The exponential increase in scientific literature and online information necessitates efficient methods for extracting knowledge from textual data. Natural language processing (NLP) plays a crucial role in addressing this challenge, particularly in text classification tasks. While large language models (LLMs) have achieved remarkable success in NLP, their accuracy can suffer in domain-specific contexts due to specialized vocabulary, unique grammatical structures, and imbalanced data distributions. In this systematic literature review (SLR), we investigate the utilization of pre-trained language models (PLMs) for domain-specific text classification. We systematically review 41 articles published between 2018 and January 2024, adhering to the PRISMA statement (preferred reporting items for systematic reviews and meta-analyses). This review methodology involved rigorous inclusion criteria and a multi-step selection process employing AI-powered tools. We delve into the evolution of text classification techniques and differentiate between traditional and modern approaches. We emphasize transformer-based models and explore the challenges and considerations associated with using LLMs for domain-specific text classification. Furthermore, we categorize existing research based on various PLMs and propose a taxonomy of techniques used in the field. To validate our findings, we conducted a comparative experiment involving BERT, SciBERT, and BioBERT in biomedical sentence classification. Finally, we present a comparative study on the performance of LLMs in text classification tasks across different domains. In addition, we examine recent advancements in PLMs for domain-specific text classification and offer insights into future directions and limitations in this rapidly evolving domain.</t>
  </si>
  <si>
    <t>10.1145/3763002</t>
  </si>
  <si>
    <t>WOS:001639644400002</t>
  </si>
  <si>
    <t>Balas, M; Wadden, JJ; Hébert, PC; Mathison, E; Warren, MD; Seavilleklein, V; Wyzynski, D; Callahan, A; Crawford, SA; Arjmand, P; Ing, EB</t>
  </si>
  <si>
    <t>Balas, Michael; Wadden, Jordan Joseph; Hebert, Philip C.; Mathison, Eric; Warren, Marika D.; Seavilleklein, Victoria; Wyzynski, Daniel; Callahan, Alison; Crawford, Sean A.; Arjmand, Parnian; Ing, Edsel B.</t>
  </si>
  <si>
    <t>Exploring the potential utility of AI large language models for medical ethics: an expert panel evaluation of GPT-4</t>
  </si>
  <si>
    <t>Decision-making; Ethics- Medical; Information Technology</t>
  </si>
  <si>
    <t>Integrating large language models (LLMs) like GPT-4 into medical ethics is a novel concept, and understanding the effectiveness of these models in aiding ethicists with decision-making can have significant implications for the healthcare sector. Thus, the objective of this study was to evaluate the performance of GPT-4 in responding to complex medical ethical vignettes and to gauge its utility and limitations for aiding medical ethicists. Using a mixed-methods, cross-sectional survey approach, a panel of six ethicists assessed LLM-generated responses to eight ethical vignettes.The main outcomes measured were relevance, reasoning, depth, technical and non-technical clarity, as well as acceptability of GPT-4's responses. The readability of the responses was also assessed. Of the six metrics evaluating the effectiveness of GPT-4's responses, the overall mean score was 4.1/5. GPT-4 was rated highest in providing technical (4.7/5) and non-technical clarity (4.4/5), whereas the lowest rated metrics were depth (3.8/5) and acceptability (3.8/5). There was poor-to-moderate inter-rater reliability characterised by an intraclass coefficient of 0.54 (95% CI: 0.30 to 0.71). Based on panellist feedback, GPT-4 was able to identify and articulate key ethical issues but struggled to appreciate the nuanced aspects of ethical dilemmas and misapplied certain moral principles.This study reveals limitations in the ability of GPT-4 to appreciate the depth and nuanced acceptability of real-world ethical dilemmas, particularly those that require a thorough understanding of relational complexities and context-specific values. Ongoing evaluation of LLM capabilities within medical ethics remains paramount, and further refinement is needed before it can be used effectively in clinical settings.</t>
  </si>
  <si>
    <t>10.1136/jme-2023-109549</t>
  </si>
  <si>
    <t>WOS:001103639900001</t>
  </si>
  <si>
    <t>Ögdü, ÇU; Arslanoglu, K; Karaköse, M</t>
  </si>
  <si>
    <t>Ogdu, Cagatay Umut; Arslanoglu, Kubra; Karakose, Mehmet</t>
  </si>
  <si>
    <t>An Adaptive Multi-Agent LLM-Based Clinical Decision Support System Integrating Biomedical RAG and Web Intelligence</t>
  </si>
  <si>
    <t>Accuracy; Reliability; Real-time systems; Medical diagnostic imaging; Large language models; Data integration; Protocols; Heuristic algorithms; Decision support systems; Databases; Clinical decision support system; large language models; multi-agent system</t>
  </si>
  <si>
    <t>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</si>
  <si>
    <t>10.1109/ACCESS.2025.3613340</t>
  </si>
  <si>
    <t>WOS:001586205100009</t>
  </si>
  <si>
    <t>Zhao, C; Su, X; He, M; Zhao, HK; Fan, JP; Li, XM</t>
  </si>
  <si>
    <t>Zhao, Chuang; Su, Xing; He, Ming; Zhao, Hongke; Fan, Jianping; Li, Xiaomeng</t>
  </si>
  <si>
    <t>Collaborative Knowledge Fusion: A Novel Method for Multi-Task Recommender Systems via LLMs</t>
  </si>
  <si>
    <t>Collaboration; Recommender systems; Semantics; Multitasking; Biological system modeling; Training; Tuning; Noise; Large language models; Data models; LLMs; multi-task recommendation; collaborative knowledge</t>
  </si>
  <si>
    <t>Owing to the impressive general intelligence of large language models (LLMs), there has been a growing trend to integrate them into recommender systems to gain a more profound insight into human interests and intentions. Existing LLMs-based recommender systems primarily leverage item attributes and user interaction histories in textual format, improving the single task like rating prediction or explainable recommendation. Nevertheless, these approaches underestimate the crucial contribution of traditional collaborative signals in discerning users' profound intentions and disregard the interrelatedness among tasks. To address these limitations, we introduce a novel framework known as CKF, specifically developed to boost multi-task recommendations via personalized collaborative knowledge fusion into LLMs. Specifically, to enhance collaborative signal integration, we develop a meta-network that creates personalized mapping bridges for each user. This enables the seamless incorporation of trained collaborative filtering embeddings into structured prompt templates, significantly boosting the LLM's understanding of user interests. To investigate the intrinsic relationship among diverse recommendation tasks, we develop Multi-LoRA, a new parameter-efficient approach for multi-task optimization, adept at distinctly segregating task-shared and task-specific knowledge. This semantic approach forges a connection between LLMs and recommendation scenarios, while simultaneously enriching the supervisory signal through mutual knowledge transfer among various tasks. Extensive experiments and in-depth robustness analyses across four common recommendation tasks on four large public data sets substantiate our effectiveness.</t>
  </si>
  <si>
    <t>10.1109/TKDE.2025.3581706</t>
  </si>
  <si>
    <t>WOS:001547502000014</t>
  </si>
  <si>
    <t>He, CN; Liu, M; He, WL; Wang, ZJ; Hsiang, S</t>
  </si>
  <si>
    <t>He, Chuanni; Liu, Min; He, Weilin; Wang, Zijian; Hsiang, Simon</t>
  </si>
  <si>
    <t>Addressing the information silo of construction planning constraints - a graph retrieval augmented generation approach</t>
  </si>
  <si>
    <t>ENGINEERING CONSTRUCTION AND ARCHITECTURAL MANAGEMENT</t>
  </si>
  <si>
    <t>Construction planning; Constraint; Knowledge graph; Large language model (LLM); Retrieval-augmented generation (RAG)</t>
  </si>
  <si>
    <t>KNOWLEDGE MANAGEMENT; PROJECT MANAGERS; DESIGN; TASKS; READY</t>
  </si>
  <si>
    <t>PurposeRemoving planning constraints is crucial for ensuring a reliable construction plan and workflow. However, essential information related to these constraints is often scattered and fragmented, leading to the creation of information silos that hinder efficient decision-making. This research aims to develop a framework that integrates disjointed planning constraint attributes, thereby facilitating accurate and reliable access to constraint-related information.Design/methodology/approachThis study develops a constraint knowledge graph to organize and integrate constraint attributes with building information modeling (BIM) objects. A knowledge graph-enhanced retrieval-augmented generation (graph RAG) framework was developed to enrich large language models' (LLMs) knowledge in responding to project constraint-related queries. The framework's effectiveness was validated using a real-world building project with 1,122 BIM objects and 37 planning constraints.FindingsEvaluation results demonstrate that the constraint knowledge graph effectively organizes and represents planning constraints information. The Graph RAG framework correctly answered all 16 testing queries, significantly outperforming traditional RAG in delivering accurate and reliable responses. A 40.6% improvement in correctness score and a 28.3% improvement in ROUGE score compared with baseline RAG were found during end-to-end performance evaluation.Originality/valueThis study is the first to apply a knowledge graph for organizing construction planning constraint attributes alongside BIM objects. It innovatively utilizes a knowledge graph to enhance LLMs performance in answering constraint domain-specific queries. This research offers a practical tool for improving construction managers' awareness of planning constraints through a conversational interface. The developed framework is generalizable, allowing for expansion and representing extensive construction knowledge that facilitates knowledge-informed decision-making.</t>
  </si>
  <si>
    <t>0969-9988</t>
  </si>
  <si>
    <t>1365-232X</t>
  </si>
  <si>
    <t>2025 MAY 9</t>
  </si>
  <si>
    <t>10.1108/ECAM-08-2024-1066</t>
  </si>
  <si>
    <t>Engineering; Business &amp; Economics</t>
  </si>
  <si>
    <t>WOS:001483501000001</t>
  </si>
  <si>
    <t>Zhang, ZH; Nezhad, MJM; Gupta, P; Zolnour, A; Azadmaleki, H; Topaz, M; Zolnoori, M</t>
  </si>
  <si>
    <t>Zhang, Zhihong; Nezhad, Mohamad Javad Momeni; Gupta, Pallavi; Zolnour, Ali; Azadmaleki, Hossein; Topaz, Maxim; Zolnoori, Maryam</t>
  </si>
  <si>
    <t>Enhancing AI for citation screening in literature reviews: Improving accuracy with ensemble models</t>
  </si>
  <si>
    <t>Large language model; Majority voting; Ensemble learning</t>
  </si>
  <si>
    <t>STEPS</t>
  </si>
  <si>
    <t>Background: Healthcare literature reviews underpin evidence-based practice and clinical guideline development, with citation screening as a critical yet time-consuming step. This study evaluates the effectiveness of individual large language models (LLMs) versus ensemble approaches in automating citation screening to improve the efficiency and scalability of evidence synthesis in healthcare research. Methods: Performance was assessed across three healthcare-focused reviews: LLM-Healthcare (865 citations, broad scope, 49.8 % inclusion rate), MCI-Speech (959 citations, narrow scope, 6.5 % inclusion rate), and Multimodal-LLM (73 citations, moderate scope, 68.5 % inclusion rate). Six LLMs (GPT-4o Mini, GPT-4o, Gemini Flash, Llama 3.1 8B Instruct, Llama 3.1 70B Instruct, Llama 3.1 405B Instruct) were evaluated using zero- and few-shot learning strategies with PubMedBERT for demonstration selection. We compared individual model performance with ensemble methods, including majority voting and random forest (RF), based on sensitivity and specificity. Results: No individual LLM consistently outperformed others across all tasks. Review with narrow inclusion criteria and low inclusion rates exhibited high specificity but lower sensitivity. Ensemble methods consistently surpassed individual LLMs: the RF ensemble with GPT-4o performed best in LLM-Healthcare (sensitivity: 0.96, specificity: 0.89); the majority voting with 1-shot LLMs (sensitivity: 0.75, specificity: 0.86) and RF ensemble with 4-shot LLMs (sensitivity: 0.62, specificity: 0.97) excelled in MCI-Speech; and four RF ensembles achieved perfect classification (sensitivity: 1.0, specificity: 1.0) in Multimodal-LLM. Conclusion: Ensemble approaches improve individual LLMs' performances in citation screening across diverse healthcare review tasks, highlighting their potential to enhance evidence synthesis workflows that support clinical decision-making. However, broader validation is needed before real-world implementation.</t>
  </si>
  <si>
    <t>10.1016/j.ijmedinf.2025.106035</t>
  </si>
  <si>
    <t>WOS:001526922100002</t>
  </si>
  <si>
    <t>Chen, J; He, JY; Chen, FF; Lv, Z; Tang, JH; Jia, YJ</t>
  </si>
  <si>
    <t>Chen, Jiao; He, Jiayi; Chen, Fangfang; Lv, Zuohong; Tang, Jianhua; Jia, Yunjian</t>
  </si>
  <si>
    <t>Empowering IoT-Based Autonomous Driving via Federated Instruction Tuning With Feature Diversity</t>
  </si>
  <si>
    <t>Data models; Internet of Things; Training; Autonomous vehicles; Tuning; Decision making; Adaptation models; Visualization; Sensors; Data privacy; Autonomous driving (AD); federated learning (FL); instruction tuning; Internet of Things (IoT); large language models (LLMs)</t>
  </si>
  <si>
    <t>Integrating large language models (LLMs) with the Internet of Things (IoT) offer great potential for enhancing vehicle personalization and adaptability in autonomous driving (AD), particularly in open-world scenarios. However, the increasing scarcity of high-quality public data poses a challenge, which could hinder the progress of LLMs in AD. To address this, we propose a novel approach, federated instruction tuning (FIT), that leverages federated learning (FL) to enable collaborative training of a shared model across multiple data owners without sharing raw data, thereby preserving privacy and mitigating data scarcity. Complementing FIT, we introduce a feature diversity (FD) strategy that enriches visual and textual diversity and significantly expands AD data by generating new instruction-following data across key dimensions, such as time, weather, and occlusion. Extensive experiments using LLaMA-Adapter as the base model and four FL methods validate the effectiveness of the FIT framework and the FD strategy. Our analysis also compares LLMs ranging from 1.1 to 7B parameters, with results evaluated using GPT score, demonstrating the potential of FIT in AD. Our findings suggest that FIT and FD can support intelligent network operation and optimization in IoT, benefiting both the AD and artificial intelligence (AI) industries.</t>
  </si>
  <si>
    <t>10.1109/JIOT.2024.3518615</t>
  </si>
  <si>
    <t>WOS:001441748300030</t>
  </si>
  <si>
    <t>Yoo, K; Ahn, S</t>
  </si>
  <si>
    <t>Yoo, Kyungsun; Ahn, Seongjin</t>
  </si>
  <si>
    <t>Improving ethical sensitivity for ethical decision-making in conversational artificial intelligence</t>
  </si>
  <si>
    <t>Ethics of artificial intelligence; Conversational artificial intelligence; Large language model; Ethical judgment; Ethical sensitivity</t>
  </si>
  <si>
    <t>The development of large language models has significantly advanced the reasoning capabilities of artificial intelligence (AI), often surpassing human-level performance. As AI's cognitive abilities rapidly progress, ethical concerns surrounding its applications have also increased. This indicates a heightened risk of bias, as AI models scale up and train on vast amounts of general data that inherently include social conventions related to gender, race, politics, and religion. This study proposes methods for enhancing ethical sensitivity to social bias. To achieve this, we defined 20 categories of social bias and developed a model that predicts the ethical sensitivity of sentences by leveraging the influence scores of words within these categories. The ethical sensitivity prediction model was validated using a paired-sample t-test to compare the ethical sensitivity evaluations of 25 AI-generated responses assessed by both AI and human evaluators. The test revealed no significant differences between the two groups, thus confirming the validity of the model. The findings of this study suggest that recognizing and predicting the ethical sensitivity of utterances concerning social biases can enhance ethical sensitivity, mitigate the risk of bias, and contribute to more ethical decision-making in AI interactions.</t>
  </si>
  <si>
    <t>10.1007/s10791-025-09520-6</t>
  </si>
  <si>
    <t>WOS:001451745700001</t>
  </si>
  <si>
    <t>Feng, XN; Han, XH; Chen, SM; Yang, W</t>
  </si>
  <si>
    <t>Feng, Xiaoning; Han, Xiaohong; Chen, Simin; Yang, Wei</t>
  </si>
  <si>
    <t>LLMEffiChecker: : Understanding and Testing Efficiency Degradation of Large Language Models</t>
  </si>
  <si>
    <t>ACM TRANSACTIONS ON SOFTWARE ENGINEERING AND METHODOLOGY</t>
  </si>
  <si>
    <t>Machine learning; software testing; large language model</t>
  </si>
  <si>
    <t>Large Language Models (LLMs) have received much recent attention due to their human-level accuracy. While existing works mostly focus on either improving accuracy or testing accuracy robustness, the computation efficiency of LLMs, which is of paramount importance due to often vast generation demands and real-time requirements, has surprisingly received little attention. In this article, we make the first attempt to understand and test potential computation efficiency robustness in state-of-the-art LLMs. By analyzing the working mechanism and implementation of 20,543 public-accessible LLMs, we observe a fundamental property in LLMs that could be manipulated in an adversarial manner to reduce computation efficiency significantly. Our interesting observation is that the output length determines the computation efficiency of LLMs instead of the input, where the output length depends on two factors: an often sufficiently large yet pessimistic pre-configured threshold controlling the max number of iterations and a runtime-generated end of sentence (EOS) token. Our key motivation is to generate test inputs that could sufficiently delay the generation of EOS such that LLMs would have to go through enough iterations to satisfy the pre-configured threshold. We present LLMEffiChecker, which can work under both white-box setting and black-box setting. In the white-box scenario, LLMEffiChecker develops a gradient-guided technique that searches for a minimal and unnoticeable perturbation at character-level, token-level, and structure-level. In the black-box scenario, LLMEffiChecker employs a causal inference-based approach to find critical tokens and similarly applies three levels of imperceptible perturbation to them. Both the white-box and black-box settings effectively delay the appearance of EOS, compelling these inputs to reach the naturally unreachable threshold. To demonstrate the effectiveness of LLMEffiChecker, we conduct a systematic evaluation on nine publicly available LLMs: Google T5, AllenAI WMT14, Helsinki-NLP translator, Facebook FairSeq, UNICAMP-DL translator, MarianMT, Google FLAN-T5, MBZUAI LaMini-GPT, and Salesforce CodeGen. Experimental results show that LLMEffiChecker can increase on average LLMs' response latency and energy consumption by 325% to 3,244% and 344% to 3,616%, respectively, by perturbing just one character or token in the input sentence. Our case study shows that inputs generated by LLMEffiChecker significantly affect the battery power in real-world mobile devices (i.e., drain more than 30 times battery power than normal inputs).</t>
  </si>
  <si>
    <t>1049-331X</t>
  </si>
  <si>
    <t>1557-7392</t>
  </si>
  <si>
    <t>10.1145/3664812</t>
  </si>
  <si>
    <t>WOS:001342182300003</t>
  </si>
  <si>
    <t>Pardeshi, S; Giri, V; Gawade, S</t>
  </si>
  <si>
    <t>Pardeshi, Sujata; Giri, Virat; Gawade, Sushopti</t>
  </si>
  <si>
    <t>OI-LLM: A Scalable Framework to Integrate Large Scale Ontologies Using Large Language Model</t>
  </si>
  <si>
    <t>ontology integration; ontology matching; ontology (meta) matching; ontology merge; large language model</t>
  </si>
  <si>
    <t>Ontology integration plays a vital role in forming a unified knowledge base through existing knowledge. The integration process is triggered through ontology matching and ontology merging processes. The scale of ontologies dominates the ontology matching process. Earlier researchers have used the Ontology (Meta) Matching (OMM) technique to generate an efficient set of ontology alignments. The set of ontology alignments is used to match two ontologies. This process involves limitations such as the help of domain experts in choosing applicable similarity measures, opting for appropriate and applicable resources (such as WordNet, UMLS, etc.) to generate efficient semantic similarity, and requiring more computations to generate alignments. This raises the issue of increased computational complexity. To resolve this problem, researchers have employed a divide-and-conquer algorithmic strategy for executing multiple matching tasks concurrently with parallel processing. There is still a need to improve computational complexity while handling the integration of large-scale ontologies. With such needs, this article proposes a general and scalable framework to integrate large-scale ontologies. The proposed algorithm uses nature-inspired computing algorithms to apply the natural behavior of the ant-colony optimization algorithm to balance and optimize the working behavior of the machines during parallel processing. The LLM is used to generate highly efficient similarity results during the matching process, which results in a cohesive integrated ontology. The OAEI Anatomy track is used to test the performance of the framework to assess the computational time. The experimental results show that there is an improvement in computational time. It is possible to achieve the principles of ontology coherence and entity coverage.</t>
  </si>
  <si>
    <t>10.1177/15705838251329266</t>
  </si>
  <si>
    <t>WOS:001480202500001</t>
  </si>
  <si>
    <t>Wang, Z; Zhou, X; Yang, YT; Ma, B; Wang, L; Dong, R</t>
  </si>
  <si>
    <t>Wang, Zhen; Zhou, Xi; Yang, Yating; Ma, Bo; Wang, Lei; Dong, Rui</t>
  </si>
  <si>
    <t>SGEU: enhancing LLM reasoning via backward exemplar generation and verification</t>
  </si>
  <si>
    <t>Self-enhancement; Backward reasoning; Complex reasoning; Historical data learning; Large language model</t>
  </si>
  <si>
    <t>In-context learning has emerged as an effective method to enhance the reasoning capabilities of Large Language Models (LLMs) across diverse applications, eliciting chain-of-thought abilities through reasoning exemplars with rationales. Nevertheless, methods relying on limited, expert-annotated exemplars hinder the continual adaptation of LLMs to emerging challenges. Automatic exemplar construction methods based on forward reasoning may yield flawed rationales, particularly for tasks in which LLMs underperform. Additionally, few-shot CoT exhibit sensitivity to the exemplar selection, especially for the flawed exemplars. To automatically generate high-quality rationale exemplars for reasoning enhancement, we propose a self-enhancement framework, including the Self-Generation, Evaluation, and Utilization (SGEU) of exemplars from historical data, facilitating LLMs in acquiring high-quality rationales for the self-enhancement. Specifically, in the exemplar collection stage, given historical data, LLMs first perform backward reasoning, rather than forward reasoning, to avoid the answer reasoning and generate more accurate rationales, resulting in an initial sample-rationale dataset. Subsequently, we propose a self-verification module and a mutual verification module to filter high-quality exemplars for the final sample-rationale collection. In the testing stage, SGEU employs a text embedding model to retrieve similar reasoning exemplars for in-context learning, enabling precise reasoning. Experiments across four complex tasks demonstrate the superior performance of SGEU, outperforming competitive methods of 4.8, 6.9, 2.1, and 0.7 on legal judgment prediction, social bias prediction, arithmetic reasoning, and commonsense reasoning, respectively. Furthermore, we demonstrate that backward reasoning outperforms the forward reasoning in rationale generation through human evaluation and verification methods effectively filter high-quality exemplars. The code will be made publicly available (https://drive.google.com/file/d/1GcFINcMLpuj-3RxzGst4dFmxX5XCPyrF/view?usp=sharing).</t>
  </si>
  <si>
    <t>10.1007/s10489-025-06529-8</t>
  </si>
  <si>
    <t>WOS:001512196000019</t>
  </si>
  <si>
    <t>Li, ZW; Wu, Q</t>
  </si>
  <si>
    <t>Li, Zewei; Wu, Qi</t>
  </si>
  <si>
    <t>Let It Go or Control It All? The Dilemma of Prompt Engineering in Generative Agent-Based Models</t>
  </si>
  <si>
    <t>emergent behavior; generative agent-based model (GABM); large language models (LLMs); over-control; prompt engineering; social simulation</t>
  </si>
  <si>
    <t>The integration of large language models into agent-based models has created generative agent-based models, offering powerful new approaches for simulating complex social dynamics. However, their implementation faces a critical prompt engineering dilemma concerning the balance between simulation control and behavioral authenticity. This paper examines generative agent-based models as prompt-driven information conduction networks across four components: profile, memory, planning, and action. Through systematic analysis of 22 recent studies, we identify patterns of potential over-control where prompt-based design choices can inadvertently predetermine simulation outcomes rather than allow genuine emergent social dynamics. Our analysis reveals component-specific manipulation techniques across agent identity construction, memory architecture, decision-making frameworks, and behavioral constraints, as well as collaborative control systems that apply prompt manipulation across multiple components simultaneously. These findings underscore a fundamental epistemological dilemma: distinguishing between authentic emergent phenomena arising from agent interactions and methodological artifacts produced by prompt engineering decisions. This dilemma may stem from an inherent tension where descriptive prompts, while aiming to foster agent autonomy through abstract concept activation, suffer from low internal validity and behavioral inconsistency that necessitate introducing explicit constraints and guidance, yet such instructional interventions may lead to over-control problems, creating a methodological paradox for researchers.</t>
  </si>
  <si>
    <t>e70008</t>
  </si>
  <si>
    <t>10.1002/sdr.70008</t>
  </si>
  <si>
    <t>WOS:001560845100002</t>
  </si>
  <si>
    <t>DeepFinLLM 2.0: an optimized and scalable multilingual financial advisor unleashing strategic insights through multi-API orchestration and large language models</t>
  </si>
  <si>
    <t>Large language models (LLMs); Multilingual; Financial QA; Real-time multiple data integration; Semantic query parsing</t>
  </si>
  <si>
    <t>The need for advanced financial advisory systems has grown as global markets demand precise, real-time insights. Traditional models often face limitations in adaptability, language diversity, and data reliability. This paper presents DeepFinLLM 2.0, a unified pipeline that orchestrates multilingual Natural Language Processing (NLP), DeepSeek R1-0528 retrieval, cross-validated multi-API data fusion, and Beetle Antenna Search (BAS) driven optimization into a real-time financial advisory system. DeepFinLLM 2.0 Utilizes an advanced multilingual pipeline catering to queries in over 100 languages while delivering proven robust performance in 12 key languages, making it versatile yet reliable for global financial advisory applications. The integration of DeepSeek R1-0528 improves retrieval efficiency, enhancing accuracy and reducing misinformation. Additionally, BAS dynamically optimizes system parameters and query processing, ensuring low latency even when handling multiple concurrent API calls across diverse languages. Moreover, the system Employs multiple financial data sources, reducing dependence on a single API and strengthening data integrity through cross-validation. These enhancements significantly improve performance, achieving 96.2% accuracy, an F1 score of 0.94, and an Exact Match rate of 92%. With an optimized 0.75-second response time, DeepFinLLM 2.0 provides timely financial insights, including risk assessments and portfolio recommendations. DeepFinLLM 2.0 demonstrates that integrating multilingual NLP, enhanced retrieval, multi-API orchestration, and dynamic BAS tuning within a single architecture can achieve state-of-the-art performance for real-time financial decision-making, offering a scalable solution for institutional and retail investors in dynamic markets.</t>
  </si>
  <si>
    <t>10.1007/s10844-025-00988-8</t>
  </si>
  <si>
    <t>WOS:001583066800001</t>
  </si>
  <si>
    <t>Peng, Q; Cai, Y; Liu, JK; Zou, Q; Chen, X; Zhong, Z; Wang, ZF; Xie, JY; Li, Q</t>
  </si>
  <si>
    <t>Peng, Qi; Cai, Yi; Liu, Jiankun; Zou, Quan; Chen, Xing; Zhong, Zheng; Wang, Zefeng; Xie, Jiayuan; Li, Qing</t>
  </si>
  <si>
    <t>Integration of Multi-Source Medical Data for Medical Diagnosis Question Answering</t>
  </si>
  <si>
    <t>Pathology; Hospitals; Soft sensors; Large language models; Decision making; Education; Radiology; Question answering (information retrieval); Medical diagnosis; Medical diagnostic imaging; Medical question answering; medical diagnosis; large-scale pre-trained models</t>
  </si>
  <si>
    <t>Medical question answering aims to enhance diagnostic support, improve patient education, and assist in clinical decision-making by automatically answering medical-related queries, which is an important foundation for realizing intelligent healthcare. Existing methods predominantly focus on extracting key information from a single data source, e.g., CT image, for answering. However, these methods are not enough to promote the development of intelligent healthcare, because they lack comprehensive medical diagnosis capabilities, which usually require the integration of multi-source data (e.g., laboratory tests, radiology images, pathology images, etc.) for processing. To address these limitations, our paper introduces the extended task of medical question answering, named medical diagnosis question answering MedDQA. MedDQA task aims to answer questions related to medical diagnosis based on multi-source data. Specifically, we introduce a corresponding dataset that incorporates multi-source diagnostic information from 250,917 patients in clinical data from hospital records, and utilize a large-scale model for constructing Q&amp;A pairs. We propose a novel system based on large language models, named medical multi-agent (MMA) system, which includes a mechanism of multiple agents to handle different medical tasks. Each agent is specifically tailored to process various modalities of data and provide outputs in a uniform textual modality. Experimental results demonstrate that the MMA system's architecture significantly enhances the handling of multi-source data, thereby improving medical diagnosis, establishing a robust baseline for future research.</t>
  </si>
  <si>
    <t>10.1109/TMI.2024.3496862</t>
  </si>
  <si>
    <t>WOS:001447560800038</t>
  </si>
  <si>
    <t>Nie, YB; Cui, QS; Li, WY; Lü, Y; Yu, WH</t>
  </si>
  <si>
    <t>Nie, Yuanbi; Cui, Qiushi; Li, Wenyuan; Lu, Yang; Yu, Weihua</t>
  </si>
  <si>
    <t>A vision-language model for enhanced MCI identification in Alzheimer's disease through neuropsychological and neuroimaging data integration</t>
  </si>
  <si>
    <t>Alzheimer's disease; Mild cognitive impairment; Multi-modal; Vision-language model; Large-language model</t>
  </si>
  <si>
    <t>Alzheimer's Disease (AD) is a prevalent neurodegenerative disorder with the progression typically spanning from mild cognitive impairment (MCI) to severe dementia. However, in clinical practice, diagnosing MCI is challenging due to conflicts between neuroimaging findings and clinical neuropsychological assessments. Structural and metabolic changes in imaging may not immediately correlate with cognitive symptoms, making early MCI detection difficult. This diagnostic complexity requires considerable clinical expertise and can lead to delays in detection. Moreover, multi-modal fusion using computer-based techniques faces challenges due to the inherent heterogeneity across different data modalities. In this study, a Vision-Language Model (VLM)-based approach is proposed to enhance the identification of Alzheimer's Disease, with a particular focus on the early detection of MCI. Our contribution is a synergistic architecture that includes domain-specific learnable abnormality tokens that function as adaptive probes for clinical pathologies, and a unique Unified Multi-Modal Attention module designed to explicitly harmonize conflicting signals between neuroimaging and clinical data. Finally, a Large Language Model synthesizes all information to generate the final diagnostic output. Evaluated on three publicly available datasets across four identification tasks, the proposed method performs robustly, outperforms state-of-the-art approaches, especially in the challenging MCI identification task, and significantly reduces diagnostic errors when dealing with conflicting data. The results underscore the practical significance of integrating multi-modal data within a VLM framework, which not only enhances diagnostic accuracy but also reduces diagnostic errors and delays in early-stage MCI identification, thereby supporting more timely and effective clinical decision-making.</t>
  </si>
  <si>
    <t>10.1016/j.neunet.2025.108415</t>
  </si>
  <si>
    <t>WOS:001649241000001</t>
  </si>
  <si>
    <t>Qiao, X; Wang, J; Zhang, MM; Lin, F; Ye, PJ; Ni, QH; Wang, FY</t>
  </si>
  <si>
    <t>Qiao, Xue; Wang, Jing; Zhang, Mengmeng; Lin, Fei; Ye, Peijun; Ni, Qinghua; Wang, Fei-Yue</t>
  </si>
  <si>
    <t>Parallel Nursing: Enhancing Postoperative Nursing With LLM Agent Systems</t>
  </si>
  <si>
    <t>Medical services; Real-time systems; Surgery; Artificial intelligence; Resource management; Medical diagnostic imaging; Predictive models; Optimization; Decision making; Automation; Large language model (LLM); parallel systems; postoperative nursing; risk assessment</t>
  </si>
  <si>
    <t>Postoperative nursing plays a crucial role in healthcare by preventing complications such as infections and thrombosis through timely risk assessment and intervention. However, current nursing tools lack dynamic and personalized predictive capabilities, limiting their effectiveness. This article proposes the parallel nursing framework, which integrates large language models (LLMs) with the virtual-real synergy of parallel systems, leveraging the artificial systems, computational experiments, and parallel execution (ACP) approach. The framework utilizes LLM agents to enable proactive, precise, and personalized risk management within a closed-loop system. Building on this framework, we developed NursingGPT, a multiagent system with monitoring, prediction, simulation, decision, and communication agents that analyze patient data and predict risks. It provides real-time, tailored nursing interventions to address diverse needs. Its applications in infection risk management, complication prevention, personalized care, and cross-institutional knowledge sharing highlight its potential to enhance patient recovery, improve nursing quality, and reduce complications, offering a scalable, intelligent solution for postoperative nursing.</t>
  </si>
  <si>
    <t>2025 OCT 16</t>
  </si>
  <si>
    <t>10.1109/TCSS.2025.3605582</t>
  </si>
  <si>
    <t>WOS:001596954900001</t>
  </si>
  <si>
    <t>Teichert, T; Shah, AM</t>
  </si>
  <si>
    <t>Teichert, Thorsten; Shah, Adnan Muhammad</t>
  </si>
  <si>
    <t>From reviews to constructs: Using LLMs to model customer satisfaction in platform-based services</t>
  </si>
  <si>
    <t>Platform economy; Large language models; Customer reviews; Synthetic data; SEM</t>
  </si>
  <si>
    <t>FOOD DELIVERY APPS; EMPIRICAL-EVIDENCE; SINGLE-ITEM; MULTIITEM; FAILURE; LOYALTY</t>
  </si>
  <si>
    <t>This study investigates the business model of food delivery services (FDS) within the platform economy, characterized by the distributed nature of value creation and service delivery among partner restaurants, freelance couriers, and platform providers. To understand how customers perceive these interdependent service components, we apply Large Language Models (LLMs) to analyze unstructured customer reviews by generating synthetic data. Specifically, we leverage LLaMA with Chain-of-Thought (CoT) prompting to uncover latent constructs aligned with the American Customer Satisfaction Index (ACSI) framework-namely customer expectations, perceived quality, perceived value, customer satisfaction, customer complaints, and customer loyalty. Results reveal that perceived quality is the dominant driver of customer satisfaction, while perceived value plays a secondary role linked to platform-managed efficiencies. Unlike overall satisfaction, fulfillment of expectations is more narrowly focused on the cost-related aspects of the service evaluation. Customers evaluate quality holistically, integrating all service components, but attribute overall responsibility to the platform rather than to individual actors. Furthermore, satisfaction more strongly predicts complaint behavior than long-term loyalty, highlighting the transactional character of FDS platforms in low-switching-cost environments. Methodologically, the study introduces a novel AI-driven approach that transforms natural language content into structured input for Structural Equation Modeling (SEM), enabling both measuring latent constructs as well as deriving quantitative causal analysis based on customer-authored feedback. This scalable, theory-driven method for analyzing customer responses extends the applicability of consumer behavior models and offers actionable insights for marketing researchers and managers alike.</t>
  </si>
  <si>
    <t>10.1016/j.jretconser.2025.104539</t>
  </si>
  <si>
    <t>WOS:001577735200001</t>
  </si>
  <si>
    <t>Waga, A; Benhlima, S; Bekri, A; Saber, FZ; Abdouni, J; Mzili, T; Regragui, A</t>
  </si>
  <si>
    <t>Waga, Abderrahim; Benhlima, Said; Bekri, Ali; Saber, Fatima Zahrae; Abdouni, Jawad; Mzili, Toufik; Regragui, Ahmed</t>
  </si>
  <si>
    <t>Waypoint-guided trajectory planning for mobile robots using GPT-4.1 mini and ensemble learning-based action prediction</t>
  </si>
  <si>
    <t>Path planning; Large language model; Intelligent transportation; Ensemble learning; Artificial intelligence; Hybrid method</t>
  </si>
  <si>
    <t>Trajectory planning is critical to autonomous navigation systems, working in conjunction with perception, localization, and obstacle avoidance. Traditional path planning algorithms often struggle in large or complex environments due to extensive memory usage and long computation times. In this paper, we propose a hierarchical planning, a multi-level approach where a high-level planner sets general goals for a low-level planner to execute, framework that combines the reasoning capabilities of a large language model (LLM) with the efficiency of a machine learning-based local planner. The LLM acts as a high-level planner by suggesting intermediate waypoints that guide the robot toward its goal. A machine learning-based trajectory planner then uses these waypoints to compute feasible and efficient paths at the local level. This approach significantly reduces the number of states explored during planning and accelerates decision-making. To validate our method, we tested it in 100 simulated environments of varying difficulty levels (easy and hard). The results show that our approach reduces the explored space by 73.2%, 96.9%, 91.6%, and 77.4%, and the length of trajectory required to reach the goal by 5.9%, 5.7%, 2.69%, and 21.1%, respectively, when compared to methods such as A*, Dijkstra, as well as other advanced methods such as an LLM-assisted A* and an improved A* algorithm.</t>
  </si>
  <si>
    <t>10.1016/j.array.2025.100636</t>
  </si>
  <si>
    <t>WOS:001638710600001</t>
  </si>
  <si>
    <t>Setiyawan, A; He, YS; Sastri, R</t>
  </si>
  <si>
    <t>Setiyawan, Arbi; He, Youshi; Sastri, Ray</t>
  </si>
  <si>
    <t>Investigating the Role of Logistics Delivery Services in Shaping Customer Satisfaction: LLM-Aspect-Based Sentiment Analysis of Perceived Quality in Indonesian E-Commerce</t>
  </si>
  <si>
    <t>perceived quality; logistics delivery service; customer satisfaction; online review; e-commerce; large language model; aspect-based sentiment analysis</t>
  </si>
  <si>
    <t>ONLINE CONSUMER REVIEWS; EMPIRICAL-EVIDENCE; BRAND PERSONALITY; PRODUCT QUALITY; ANTECEDENTS; COMPETITION; INTENTION</t>
  </si>
  <si>
    <t>A significant challenge in e-commerce is the inability of consumers to physically inspect products, forcing them to rely on perceived quality derived from other consumers' experiences. However, gaps remain in understanding which dimensions of perceived quality are most frequently mentioned and influential for customer satisfaction, particularly in emerging markets like Indonesia. This study investigates these gaps by identifying key perceived quality aspects and examining their impact on satisfaction, with a specific focus on the moderating role of logistics delivery services. Using a large language model (LLM), specifically Google's Gemma 2, we performed aspect-based sentiment analysis on 5000 smartphone reviews from Indonesian e-commerce. Logistic regression models incorporating interaction variables were employed to evaluate the relationships. The results identify the most frequently mentioned aspects of perceived quality: Logistics delivery services, Functionality, Originality, Responsiveness, and Packaging. While Logistics delivery services was the most mentioned aspect, Packaging had the most significant direct influence on satisfaction. Notably, Logistics delivery services also play a significant moderating role, enhancing the positive effect of other perceived quality aspects on satisfaction. These findings suggest that Logistics delivery services contribute directly to satisfaction and amplify other aspects, resulting in greater customer satisfaction. The study contributes to the literature by demonstrating LLM-driven aspect-based sentiment analysis methods and expanding the concept of perceived quality to include service aspects, thus promoting a more complete consideration of perceived quality in e-commerce.</t>
  </si>
  <si>
    <t>DEC 3</t>
  </si>
  <si>
    <t>10.3390/jtaer20040345</t>
  </si>
  <si>
    <t>WOS:001646791400001</t>
  </si>
  <si>
    <t>Awais, M; Nawab, RMA</t>
  </si>
  <si>
    <t>Awais, Muhammad; Muhammad Adeel Nawab, Rao</t>
  </si>
  <si>
    <t>Abstractive Text Summarization for the Urdu Language: Data and Methods</t>
  </si>
  <si>
    <t>Task analysis; Long short term memory; Deep learning; Benchmark testing; Social networking (online); Convolutional neural networks; Natural language processing; Abstracts; Text detection; Artificial intelligence; Publishing; Unsupervised learning; Machine learning; Text analysis; Text summarization; Abstractive text summarization; BART; corpus; deep learning models; GPT-3.5; large language models; Urdu</t>
  </si>
  <si>
    <t>The task of abstractive text summarization aims to automatically generate a short and concise summary of a given source article. In recent years, automatic abstractive text summarization has attracted the attention of researchers because large volumes of digital text are readily available in multiple languages on a wide range of topics. Automatically generating precise summaries from large text has potential application in the generation of news headlines, a summary of research articles, the moral of the stories, media marketing, search engine optimization, financial research, social media marketing, question-answering systems, and chatbots. In literature, the problem of abstractive text summarization has been mainly investigated for English and some other languages. However, it has not been thoroughly explored for the Urdu language despite having a huge amount of data available in digital format. To fulfill this gap, this paper presents a large benchmark corpus of 2,067,784 Urdu news articles for the Urdu abstractive text summarization task. As a secondary contribution, we applied a range of deep learning (LSTM, Bi-LSTM, LSTM with attention, GRU, Bi-GRU, and GRU with attention), and large language models (BART and GPT-3.5) on our proposed corpus. Our extensive evaluation on 20,000 test instances showed that GRU with attention model outperforms the other models with ROUGE- 1 = 46.7 , ROUGE- 2 = 24.1 , and ROUGE-L = 48.7. To foster research in Urdu, our proposed corpus is publically and freely available for research purposes under the Creative Common Licence.</t>
  </si>
  <si>
    <t>10.1109/ACCESS.2024.3378300</t>
  </si>
  <si>
    <t>WOS:001214282400001</t>
  </si>
  <si>
    <t>Abdel-Rahman, MJ; Alslman, Y; Refai, D; Saleh, A; Loha, MAA; Hamed, MY</t>
  </si>
  <si>
    <t>Abdel-Rahman, Mohammad J.; Alslman, Yasmeen; Refai, Dania; Saleh, Amro; Loha, Malik A. Abu; Hamed, Mohammad Yahya</t>
  </si>
  <si>
    <t>Mathematical Programming Through the Lens of LLMs: Systematic Evidence and Empirical Gaps</t>
  </si>
  <si>
    <t>Reviews; Mathematical models; Optimization; Mathematical programming; Natural language processing; Operations research; Linear programming; Protocols; Lenses; Generative Pre-trained transformer; combinatorial optimization; large language models; fine-tuning; in-context learning; retrieval-augmented generation</t>
  </si>
  <si>
    <t>MODELS</t>
  </si>
  <si>
    <t>This paper investigates the capabilities of large language models (LLMs) in formulating and solving decision-making problems using mathematical programming. We first conduct a systematic review and meta-analysis of recent literature to assess how well LLMs understand, structure, and solve optimization problems across domains. The analysis is guided by critical review questions focusing on learning approaches, dataset designs, evaluation metrics, and prompting strategies. Our systematic evidence is complemented by targeted experiments designed to evaluate the performance of state-of-the-art LLMs in automatically generating optimization models for problems in computer networks. Using a newly constructed dataset, we apply three prompting strategies: Act-as-expert, chain-of-thought, and self-consistency, and evaluate the obtained outputs based on optimality gap, token-level F1 score, and compilation accuracy. Results show promising progress in LLMs' ability to parse natural language and represent symbolic formulations, but also reveal key limitations in accuracy, scalability, and interpretability. These empirical gaps motivate several future research directions, including structured datasets, domain-specific fine-tuning, hybrid neuro-symbolic approaches, modular multi-agent architectures, and dynamic retrieval via chain-of-RAGs. This paper contributes a structured roadmap for advancing LLM capabilities in mathematical programming.</t>
  </si>
  <si>
    <t>10.1109/ACCESS.2025.3618987</t>
  </si>
  <si>
    <t>WOS:001605379400002</t>
  </si>
  <si>
    <t>Zhai, GN; Bar, M; Cowan, AJ; Rubinstein, S; Shi, Q; Zhang, NJ; Xie, E; Ma, WL</t>
  </si>
  <si>
    <t>Zhai, Guannan; Bar, Merav; Cowan, Andrew J.; Rubinstein, Samuel; Shi, Qian; Zhang, Ningjie; Xie, En; Ma, Will</t>
  </si>
  <si>
    <t>AI for evidence-based treatment recommendation in oncology: a blinded evaluation of large language models and agentic workflows</t>
  </si>
  <si>
    <t>agentic workflows; artificial intelligence in medicine; clinical evaluation; evidence-based medicine; large language models; multiple myeloma; oncology decision support; retrieval-augmented generation</t>
  </si>
  <si>
    <t>MULTIPLE-MYELOMA; DIAGNOSIS; KAPPA</t>
  </si>
  <si>
    <t>Background Evidence-based medicine is crucial for clinical decision-making, yet studies suggest that a significant proportion of treatment decisions do not fully incorporate the latest evidence. Large Language Models (LLMs) show promise in bridging this gap, but their reliability for medical recommendations remains uncertain.Methods We conducted an evaluation study comparing five LLMs' recommendations across 50 clinical scenarios related to multiple myeloma diagnosis, staging, treatment, and management, using a unified evidence cutoff of June 2024. The evaluation included three general-purpose LLMs (OpenAI o1-preview, Claude 3.5 Sonnet, Gemini 1.5 Pro), one retrieval-augmented generation (RAG) system (Myelo), and one agentic workflow-based system (HopeAI). General-purpose LLMs generated responses based solely on their internal knowledge, while the RAG system enhanced these capabilities by incorporating external knowledge retrieval. The agentic workflow system extended the RAG approach by implementing multi-step reasoning and coordinating with multiple tools and external systems for complex task execution. Three independent hematologist-oncologists evaluated the LLM-generated responses using standardized scoring criteria developed specifically for this study. Performance assessment encompassed five dimensions: accuracy, relevance, comprehensiveness, hallucination rate, and clinical use readiness.Results HopeAI demonstrated superior performance across accuracy (82.0%), relevance (85.3%), and comprehensiveness (74.0%), compared to OpenAI o1-preview (64.7, 57.3, 36.0%), Claude 3.5 Sonnet (50.0, 51.3, 29.3%), Gemini 1.5 Pro (48.0, 46.0, 30.0%), and Myelo (58.7, 56, 32.7%). Hallucination rates were consistently low across all systems: HopeAI (5.3%), OpenAI o1-preview (3.3%), Claude 3.5 Sonnet (10.0%), Gemini 1.5 Pro (8.0%), and Myelo (5.3%). Clinical use readiness scores were relatively low for all systems: HopeAI (25.3%), OpenAI o1-preview (6.0%), Claude 3.5 Sonnet (2.7%), Gemini 1.5 Pro (4.0%), and Myelo (4.0%).Conclusion This study demonstrates that while current LLMs show promise in medical decision support, their recommendations require careful clinical supervision to ensure patient safety and optimal care. Further research is needed to improve their clinical use readiness before integration into oncology workflows. These findings provide valuable insights into the capabilities and limitations of LLMs in oncology, guiding future research and development efforts toward integrating AI into clinical workflows.</t>
  </si>
  <si>
    <t>DEC 9</t>
  </si>
  <si>
    <t>10.3389/frai.2025.1683322</t>
  </si>
  <si>
    <t>WOS:001644718100001</t>
  </si>
  <si>
    <t>Li, ZT; Guo, WB; Gao, YB; Yang, D; Kang, L</t>
  </si>
  <si>
    <t>Li, Zhangti; Guo, Wenbin; Gao, Yabing; Yang, Di; Kang, Lin</t>
  </si>
  <si>
    <t>A Large Language Model-Based Approach for Data Lineage Parsing</t>
  </si>
  <si>
    <t>data lineage; LLM; lineage parsing; prompt engineering; few-shot learning; chain of thought; multi-expert collaboration</t>
  </si>
  <si>
    <t>The core driver of enterprise operations is data, making data lineage crucial for data management. It not only tracks data flow but also links data sources, workflows, applications, and decision-making, improving efficiency and governance. However, current data lineage parsing methods face challenges like high costs, long development cycles, and poor generalization, especially for non-SQL scripts. In this paper, we introduce an innovative approach leveraging pre-trained large language models (LLMs) to overcome these bottlenecks in data lineage parsing. LLMs are employed across the entire parsing pipeline, encompassing prompt construction, lineage extraction, and result standardization. Specifically, this study developed a few-shot prompting method incorporating error cases to optimize parsing performance across various types of scripts. Additionally, a collaborative Chain of Thought (CoT) and multi-expert prompting framework was designed to further enhance parsing accuracy at the operator level. The proposed approach was empirically validated using LLMs of different parameter scales on datasets comprising multiple script types (SQL, Python, Shell, Flume, etc.). The experimental results show that LLMs with 10 billion and 100 billion parameters achieved over 95% accuracy in table-level lineage parsing when utilizing the newly designed prompts. Furthermore, 100-billion-parameter LLMs exhibited substantial accuracy improvements at the operator level. Our method reinforces the feasibility and practicality in advancing data lineage parsing methodologies.</t>
  </si>
  <si>
    <t>APR 25</t>
  </si>
  <si>
    <t>10.3390/electronics14091762</t>
  </si>
  <si>
    <t>WOS:001486222300001</t>
  </si>
  <si>
    <t>Javaid, S; Khan, N; Alwarafy, A; Saeed, N</t>
  </si>
  <si>
    <t>Javaid, Shumaila; Khan, Naveed; Alwarafy, Abdulmalik; Saeed, Nasir</t>
  </si>
  <si>
    <t>AGI and LLM-Driven Spectrum Intelligence in Future Wireless Networks</t>
  </si>
  <si>
    <t>IEEE WIRELESS COMMUNICATIONS</t>
  </si>
  <si>
    <t>Cognition; Artificial intelligence; Artificial general intelligence; Real-time systems; Reliability; Decision making; Adaptation models; Interference; Ethics; Resource management; Large language models; artificial general intelligence; cognitive radios; spectrum sensing</t>
  </si>
  <si>
    <t>Artificial General Intelligence (AGI) and Large Language Models (LLMs) are gaining attention for their transformative potential across various fields. While LLMs have significantly advanced Natural Language Processing (NLP), they face challenges in reasoning, adaptability, and bias. AGI, with its human-like cognitive functions, offers a promising solution by enhancing the flexibility and context-awareness of LLMs. This paper explores the integration of AGI with LLMs to address complex, dynamic problems, focusing on advancements in Cognitive Radio (CR) and Spectrum Intelligence (SI) technologies. Spectrum sensing, a cornerstone of CR and SI, is critical for identifying underutilized frequency bands and mitigating interference. Traditional methods often struggle in dynamic environments due to their reliance on static models. By combining AGI's adaptive decision-making with LLMs' context-aware understanding, the integrated system can enhance the accuracy and efficiency of spectrum sensing. This integration enables better processing of diverse data, prediction of spectrum usage, and dynamic adaptation to changing conditions, paving the way for intelligent spectrum management. As the demand for efficient communication grows with the proliferation of connected devices, AGI-augmented LLMs offer scalable, context-aware solutions to modern communication challenges. AGI with LLMs has the potential to transform spectrum sensing and management into a more adaptive, efficient paradigm, ensuring the performance of next-generation wireless networks.</t>
  </si>
  <si>
    <t>1536-1284</t>
  </si>
  <si>
    <t>1558-0687</t>
  </si>
  <si>
    <t>2025 OCT 14</t>
  </si>
  <si>
    <t>10.1109/MWC.2025.3600789</t>
  </si>
  <si>
    <t>WOS:001596957000001</t>
  </si>
  <si>
    <t>Damo, G; Ocampo, NB; Cabrio, E; Villata, S</t>
  </si>
  <si>
    <t>Damo, Greta; Ocampo, Nicolas Benjamin; Cabrio, Elena; Villata, Serena</t>
  </si>
  <si>
    <t>Detectors Lead, LLMs Follow: Integrating LLMs and traditional models on implicit hate speech detection to generate faithful and plausible explanations</t>
  </si>
  <si>
    <t>Hate speech detection; Generating explanations; Implicit hate speech; Subtle hate speech</t>
  </si>
  <si>
    <t>MICROAGGRESSIONS</t>
  </si>
  <si>
    <t>Social media platforms face a growing challenge in addressing abusive content and hate speech, particularly as traditional natural language processing methods often struggle with detecting nuanced and implicit instances. To tackle this issue, our study enhances Large Language Models (LLMs) in the detection and explanation of implicit hate speech, outperforming classical approaches. We focus on two key objectives: (1) determining whether jointly predicting and generating explanations for why a message is hateful improves LLMs' accuracy, especially for implicit cases, and (2) evaluating whether incorporating information from BERT-based models can further boost detection and explanation performance. Our method evaluates and enhances LLMs' ability to detect hate speech and explain their predictions. By combining binary classification (Hate Speech vs. Non-Hate Speech) with natural language explanations, our approach provides clearer insights into why a message is considered hateful, advancing the accuracy and interpretability of hate speech detection.</t>
  </si>
  <si>
    <t>10.1016/j.datak.2025.102535</t>
  </si>
  <si>
    <t>WOS:001631168900001</t>
  </si>
  <si>
    <t>Haque, MA; Siddique, HR</t>
  </si>
  <si>
    <t>Haque, Md. Asraful; Siddique, Hifzur R.</t>
  </si>
  <si>
    <t>Generative artificial intelligence and large language models in smart healthcare applications: Current status and future perspectives</t>
  </si>
  <si>
    <t>COMPUTATIONAL BIOLOGY AND CHEMISTRY</t>
  </si>
  <si>
    <t>Generative AI; LLM; Healthcare applications; Ethical concern; Bias in AI models</t>
  </si>
  <si>
    <t>With climate change, habitat destruction, and increased population ages, the incidence of both communicable and non-communicable diseases is rising, and managing these has become a growing concern. In recent years, generative artificial intelligence (AI) and large language models (LLMs) have ushered in a transformative era for smart healthcare applications. These models, built on advanced ML architectures like Generative Pre-trained Transformers (GPT) and Bidirectional Encoder Representations from Transformers (BERT), have demonstrated significant capabilities in various medical tasks. This review aims to provide an overview of the potential benefits of generative AI and LLMs in smart healthcare applications, as well as challenges and ethical considerations. A systematic literature review was conducted to identify relevant research papers published in peer-reviewed journals. Databases such as PubMed, PMC, Cochrane Library, Google Scholar, and Web of Science were searched using keywords related to generative AI, LLMs, and healthcare applications. The relevant papers were analyzed to extract key findings and contributions. Generative AI and LLMs are powerful tools that can process and analyze massive amounts of data. Researchers are actively exploring their potential to transform healthcarepowering intelligent virtual health assistants, crafting personalized patient care plans, and facilitating early detection and intervention for medical conditions. With ongoing research and development, the future of generative AI and LLMs in healthcare is promising; however, issues such as bias in AI models, lack of explainability, ethical concerns, and integration difficulties must be addressed.</t>
  </si>
  <si>
    <t>1476-9271</t>
  </si>
  <si>
    <t>1476-928X</t>
  </si>
  <si>
    <t>10.1016/j.compbiolchem.2025.108611</t>
  </si>
  <si>
    <t>Life Sciences &amp; Biomedicine - Other Topics; Computer Science</t>
  </si>
  <si>
    <t>WOS:001579196000002</t>
  </si>
  <si>
    <t>Li, L; Tan, RJ; Fang, JW; Xue, JR; Lv, C</t>
  </si>
  <si>
    <t>Li, Lin; Tan, Runjia; Fang, Jianwu; Xue, Jianru; Lv, Chen</t>
  </si>
  <si>
    <t>LLM-augmented hierarchical reinforcement learning for human-like decision-making of autonomous driving</t>
  </si>
  <si>
    <t>Autonomous driving; Decision making; Large language model; Hierarchical reinforcement learning; CARLA</t>
  </si>
  <si>
    <t>Reinforcement Learning (RL) has shown great promise for autonomous driving decision-making. However, such data-driven methods inherently struggle to be deployed in real-world due to their limited generalization to rare but safety-critical scenarios and low sample efficiency, resulting in high computational costs. To address these challenges, we propose a hierarchical RL framework augmented with a large language model (LLM), to enhance decision-making in complex driving environments through semantic understanding and commonsense knowledge. Inspired by human drivers, the LLM serves as an expert high-level planner that interprets textual descriptions of driving scenarios to generate a long-term goal point, a recommended meta-action, and a corresponding explanation, thereby navigating complex environments effectively. To meet real-time requirements, the high-level LLM module operates at a reduced frequency, balancing reasoning capability and inference latency. At the low level, however, it remains challenging for the RL agent to learn a sequence of continuous short-term actions, acceleration and steering, that can achieve the high-level goal while ensuring safety and efficiency. To bridge this gap, we introduce a Goal Gradient-based Transfer (GGT) mechanism that embeds an explicit gradient toward the LLM-generated goal, facilitating efficient policy learning. Additionally, to align the learned behaviors with human intents, we incorporate a human-in-the-loop reward design process.Specifically, the LLM contributes to reward design by generating structurally diverse functions, which are iteratively optimized using expert preferences over RL-generated trajectory pairs to ensure alignment with human values and safety. Overall, experimental comparisons in the CARLA simulator demonstrate that the proposed framework significantly improves generalization, interpretability, and human alignment in diverse and unseen driving scenarios.</t>
  </si>
  <si>
    <t>10.1016/j.eswa.2025.128736</t>
  </si>
  <si>
    <t>WOS:001530664200001</t>
  </si>
  <si>
    <t>Guo, CX; Tian, ZL; Tang, JT; Li, SS; Wang, T</t>
  </si>
  <si>
    <t>Guo, Chunxi; Tian, Zhiliang; Tang, Jintao; Li, Shasha; Wang, Ting</t>
  </si>
  <si>
    <t>Multi-pattern retrieval-augmented framework for Text-to-SQL with Poincaré-Skeleton retrieval and meta-instruction reasoning</t>
  </si>
  <si>
    <t>Large language model; Text-to-SQL; Prompt learning; Retrieval augmented</t>
  </si>
  <si>
    <t>Text-to-SQL transforms natural language text into SQL queries, a task complicated by SQL's complex syntax and the need for specialized knowledge. Retrieval from the SQL-generated case repository assists large language models (LLMs) by providing relevant examples. However, complex queries often involve complicated SQL syntax, which can confuse LLMs because they are designed for natural language rather than SQL. In this paper, we propose a multi- pattern retrieval-augmented framework for SQL generation, which dynamically selects relevant examples based on the query and reasoning patterns. To retrieve similar query patterns, we construct question skeletons in the Poincar &amp; eacute; model, which better distinguishes entities aligned with a question's needs. To provide tailored examples of reasoning patterns for each logical step, especially for complex problems, we design meta-instruction-based retrieval repositories for multi-category chain-of-thought fragments. To mitigate biases from initial retrievals, we implement a revision strategy that leverages LLMs to interact with databases, enabling LLMs to self-correct errors during SQL generation. Experiments on four benchmarks show that our method outperforms strong baseline models, which increases execution accuracy by 13% to 23.1% with the same LLM. Ablation studies provide insights into the framework's performance sensitivity to different components and strategies. Further analysis reveals a correlation between the framework's effectiveness and LLMs' quality and stability, and substantial performance gains from initial iteration modifications are the most significant.</t>
  </si>
  <si>
    <t>10.1016/j.ipm.2024.103978</t>
  </si>
  <si>
    <t>WOS:001391959300001</t>
  </si>
  <si>
    <t>Ögul, IU; Soygazi, F; Bostanoglu, BE</t>
  </si>
  <si>
    <t>Ogul, Iskender Ulgen; Soygazi, Fatih; Bostanoglu, Belgin Ergenc</t>
  </si>
  <si>
    <t>TurkMedNLI: a Turkish medical natural language inference dataset through large language model based translation</t>
  </si>
  <si>
    <t>MedNLI; NLLB; BERT; Natural language inference; Natural language processing; Language translation; LLM; Llama</t>
  </si>
  <si>
    <t>Natural language inference (NLI) is a subfield of natural language processing (NLP) that aims to identify the contextual relationship between premise and hypothesis sentences. While high-resource languages like English benefit from robust and rich NLI datasets, creating similar datasets for low-resource languages is challenging due to the cost and complexity of manual annotation. Although translation of existing datasets offers a practical solution, direct translation of domain-specific datasets presents unique challenges, particularly in handling abbreviations, metric conversions, and cultural alignment. This study introduces a pipeline for translating a medical NLI dataset into Turkish, which is a low-resource language. Our approach employs fine-tuning the Llama-3.1 model with selected samples from the Medical Abbreviation dataset (MeDAL) to extract and resolve medical abbreviations. Consequently, NLI pairs are refined with extracted abbreviations and subjected to metric correction. Later, the processed sentences are then translated using Facebook's No Language Left Behind (NLLB) translation model. To ensure quality, we conducted comprehensive evaluations using both machine learning models and medical expert review. Our results show that BERTurk achieved 75.17% accuracy on TurkMedNLI test data and 76.30% on the normalized test set, while BioBERTurk demonstrated comparable performance with 75.59% accuracy on test data and 72.29% on the normalized dataset. Medical experts further validated the translations through manual assessment of sampled sentences. This work demonstrates the effectiveness of large language models in adapting domain-specific datasets for low-resource languages, establishing a foundation for future research in multilingual biomedical NLP.</t>
  </si>
  <si>
    <t>JAN 30</t>
  </si>
  <si>
    <t>e2662</t>
  </si>
  <si>
    <t>10.7717/peerj-cs.2662</t>
  </si>
  <si>
    <t>WOS:001480000500001</t>
  </si>
  <si>
    <t>Rony, MA; Islam, MS; Sultan, T; Alshathri, S; El-Shafai, W</t>
  </si>
  <si>
    <t>Rony, Mohammad Abu Tareq; Islam, Mohammad Shariful; Sultan, Tipu; Alshathri, Samah; El-Shafai, Walid</t>
  </si>
  <si>
    <t>MediGPT: Exploring Potentials of Conventional and Large Language Models on Medical Data</t>
  </si>
  <si>
    <t>Protocols; Text categorization; Training data; Clinical trials; Chatbots; Transformers; Data models; Medical text; natural language processing; ChatGPT; classification; large language model</t>
  </si>
  <si>
    <t>Medical text classification organizes medical documents into categories to streamline information retrieval and support clinical decision-making. Traditional machine learning techniques, including pre-trained language models, are effective but require extensive domain-specific training data, often underperform across languages, and are costly and complex to deploy on a large scale. In this study, we employed four datasets: Clinical trials on cancer, encompassing 6 million statements from interventional cancer clinical trial protocols; the Illness-dataset, consisting of 22,660 categorized tweets from 2018 and 2019; the Multi-View active learning for short medical text classification in user-generated data, an extended version of the Illness-dataset including 22,660 documents from the same period; and the Symptom2Disease dataset, containing 1,200 data points used to predict diseases based on symptom descriptions. This study uses ChatGPT, particularly its ChatGPT-3.5 and ChatGPT-4 versions, as a viable alternative for classifying medical texts. We investigate essential aspects, including the construction of prompts, the parsing of responses, and the various strategic use of GPT models to optimize outcomes. Through comparative analysis with established methods like pre-trained language model fine-tuning and prompt-tuning, our findings indicate that ChatGPT addresses these challenges efficiently and matches the performance of traditional methods. Furthermore, the enhanced capabilities of the proposed MediGPT (Medical Generative Pre-Trained Transformers) have led to performance improvements of 14.3%, 22.3%, 13.6%, and 13.7% across the datasets, highlighting its adaptability and robustness in diverse medical text scenarios without the need for specialized domain adjustments. This research underscores the capability of ChatGPT to facilitate a versatile AI framework in medical text processing, which could revolutionize medical informatics practices.</t>
  </si>
  <si>
    <t>10.1109/ACCESS.2024.3428918</t>
  </si>
  <si>
    <t>WOS:001286673400001</t>
  </si>
  <si>
    <t>Bariah, L; Mongaillard, T; Lasaulce, S; Hamidouche, W; Zou, H; Debbah, M</t>
  </si>
  <si>
    <t>Bariah, Lina; Mongaillard, Thomas; Lasaulce, Samson; Hamidouche, Wassim; Zou, Hang; Debbah, Merouane</t>
  </si>
  <si>
    <t>From Waves to Words: Large Perceptive Models as the Future of IoT and RF Intelligence</t>
  </si>
  <si>
    <t>Internet of Things; Optimization; Radio frequency; RF signals; Translation; Resource management; Decision making; Wireless communication; Real-time systems; Interference</t>
  </si>
  <si>
    <t>As the physical and digital worlds are converging with the rapid evolution of advanced technologies, the Internet-of-Things (IoT) is transitioning from a network of passive, rule-based nodes into an intelligent, adaptive system, that understands, reasons, and responds to human intent. The future of IoT is foreseen to be systems that not only listens but also understands, where human demands are seamlessly translated into machine actions, and sensor data are transformed into meaningful insights. At the core of this vision is the significant advancements of Large Language Models, which offer a bridge between human language and machine language, and support the fusion of multimodal data streams. In this article, we put a forward looking vision of how large language models (LLMs) will be embedded into the fabric of IoT systems, represented by the Large Perceptive Models (LPMs) concept, for which users will no longer configure devices manually but simply express their needs in their natural language, leaving the role of translation and orchestration to the LLMs, to optimize in real-time, enabling use-cases from network resource allocation and environment mapping, into energy optimization. Furthermore, we explore how LPMs can understand the non-trivial language of IoT signals, transforming radio-frequency (RF) data, environmental metrics, and sensor outputs into meaningful, proactive insights, that can be comprehended by the users. To realize this vision, we introduce an agentic LLM-IoT architecture, where specialized estimation, modeling, and solving agents collaborate to automate decision-making, optimize performance, and enhance system intelligence.</t>
  </si>
  <si>
    <t>2025 NOV 28</t>
  </si>
  <si>
    <t>10.1109/MWC.2025.3613680</t>
  </si>
  <si>
    <t>WOS:001627916200001</t>
  </si>
  <si>
    <t>Mohawesh, R; Alqarni, AA; Alkhushayni, SM; Daradkeh, T; Salameh, HB</t>
  </si>
  <si>
    <t>Mohawesh, Rami; Alqarni, Ahmed Abdallah; Alkhushayni, Suboh M.; Daradkeh, Tariq; Salameh, Haythem Bany</t>
  </si>
  <si>
    <t>A new multilingual framework for fake reviews detection based on a large language model</t>
  </si>
  <si>
    <t>Fake review; Multilingual; Multimodel; Transfomer</t>
  </si>
  <si>
    <t>Before making a purchase, consumers often look for reviews of the product or service online. These reviews also help businesses since they provide valuable insight into how customers perceive their goods and services. Having trustworthy information was especially important during the COVID-19 pandemic, when people were cooped up at home and had to rely on internet reviews to pass the time. Not only did the quantity of reviews increase during the pandemic, but so did the context and preferences. Reviewers of spam take note of these shifts and work to refine their deceitful methods. For financial gain or competitive advantage, spam reviews often include false, deceptive, or fraudulent statements meant to mislead consumers. Further, dealing with different languages makes fake review identification more complex, especially in the absence of labeled data for model training. Therefore, our study suggests a transformer ensemble model that uses a large language model (LLM) to translate foreign languages into English. We turned to two neural machine translation models-Google Translate and LibreTranslate-to translate two languages: Arabic, Spanish. Next, a set of pre-trained models was used to examine the tone of the reviews. These models included GPT-3, an LLM from OpenAI, bert-base-multilingual-uncased, and Twitter-Roberta-Base. Based on our experimental results, it is evident that a foreign language fake review is achievable through English translation. The suggested ensemble model outperforms both the independent pre-trained models and LLM, and the accuracy and f1-score of fake review detection on translated reviews are 90% and 87.6%, respectively, on the Arabic language. To the best of our knowledge, our proposed framework is the first that use an LLM model for Arabic and Spanish languages.</t>
  </si>
  <si>
    <t>JUL 10</t>
  </si>
  <si>
    <t>10.1007/s11227-025-07636-6</t>
  </si>
  <si>
    <t>WOS:001526977800003</t>
  </si>
  <si>
    <t>Tan, AHT; Leo, KC</t>
  </si>
  <si>
    <t>Tan, Adrian Heng Tsai; Leo, Kee Chye</t>
  </si>
  <si>
    <t>Safety of LLM-based AI chatbots for young consumers in purchase decisions</t>
  </si>
  <si>
    <t>YOUNG CONSUMERS</t>
  </si>
  <si>
    <t>Young consumers; Generation Z; Large language models; Generative artificial intelligence; Artificial intelligence chatbot; Safety</t>
  </si>
  <si>
    <t>PurposeThis study aims to investigate how safe large language model (LLM)-based artificial intelligence (AI) Chatbots are for young consumers of Generation Z for use in their purchase decisions. The research findings intend to inform potential security issues with LLM-based AI chatbots putting at risk the well-being of such consumers.Design/methodology/approachThe study adopted the JAILBREAKHUB framework to evaluate the effectiveness of LLM guardrails against negative prompts for purchase-related decisions. The guardrails of LLM-based AI chatbots such as OpenAI's ChatGPT, Google's Gemini, Anthropic's Claude, X's Grok, Meta' Llama and Mistral were evaluated.FindingsThere are variations in the effectiveness of LLM guardrails against negative purchase-related prompts. While there is general effectiveness of existing guardrails for some LLM-based AI chatbots, they are not impervious to manipulation by users.Research limitations/implicationsThe study involved a limited set of LLM-based AI chatbots and on existing guardrails.Practical implicationsThe landscape of prompt engineering techniques to bypass LLM guardrails is in a constant state of evolution. Developers of LLMs need to ensure more robust and adaptive safety protocols to ensure responsible purchase decisions among Generation Z consumers. Weaknesses in age verification mechanisms are also highlighted.Social implicationsThe findings highlight safety concerns with the use of LLM-based chatbots by Generation Z consumers for their purchase decisions. While the use of prompt manipulation techniques on LLMs may be uncommon among these young consumers, such acts are implicative of the young consumer having already developed a precarious attitude or opinion toward a purchase decision leading to the use of LLMs to guide such decisions. There are factors of social concern that could instigate the precarious use of LLMs.Originality/valueThe current study is among the first to evaluate the use of LLM-based AI chatbots by young consumers of Generation Z for their purchase decisions.</t>
  </si>
  <si>
    <t>1758-7212</t>
  </si>
  <si>
    <t>1747-3616</t>
  </si>
  <si>
    <t>DEC 10</t>
  </si>
  <si>
    <t>10.1108/YC-10-2024-2277</t>
  </si>
  <si>
    <t>WOS:001495086300001</t>
  </si>
  <si>
    <t>Jiang, DW; Shen, ZS; Zheng, QS; Zhang, TH; Xiang, W; Jin, J</t>
  </si>
  <si>
    <t>Jiang, Dawen; Shen, Zhishu; Zheng, Qiushi; Zhang, Tiehua; Xiang, Wei; Jin, Jiong</t>
  </si>
  <si>
    <t>Farm-LightSeek: An Edge-Centric Multimodal Agricultural IoT Data Analytics Framework With Lightweight LLMs</t>
  </si>
  <si>
    <t>Image edge detection; Sensors; Internet of Things; Data analysis; Real-time systems; Artificial intelligence; Image sensors; Computational modeling; Irrigation; Edge computing; Climate change; Agriculture Internet of Things; Smart agriculture; large language model; edge computing; multimodal data analytics; knowledge distillation</t>
  </si>
  <si>
    <t>Amid the challenges posed by global population growth and climate change, traditional agricultural Internet of Things (IoT) systems is currently undergoing a significant digital transformation to facilitate efficient big data processing. While smart agriculture utilizes artificial intelligence (AI) technologies to enable precise control, it still encounters significant challenges, including excessive reliance on agricultural expert knowledge, difficulties in fusing multimodal data, poor adaptability to dynamic environments, and bottlenecks in real-time decision-making at the edge. Large language models (LLMs), with their exceptional capabilities in knowledge acquisition and semantic understanding, provide a promising solution to address these challenges. To this end, we propose Farm-LightSeek, an edge-centric multimodal agricultural IoT data analytics framework that integrates LLMs with edge computing. This framework collects real-time farmland multi-source data (images, weather, geographic information) via sensors, performs cross-modal reasoning and disease detection at edge nodes, conducts low-latency management decisions, and enables cloud collaboration for model updates. The main innovations of Farm-LightSeek include: (1) an agricultural perception-decision-action closed-loop architecture; (2) cross-modal adaptive monitoring; and (3) a lightweight LLM deployment strategy balancing performance and efficiency. Experiments conducted on two real-world datasets demonstrate that Farm-LightSeek consistently achieves reliable performance in mission-critical tasks, even under the limitations of edge computing resources. This work advances intelligent real-time agricultural solutions and highlights the potential for deeper integration of agricultural IoT with LLMs.</t>
  </si>
  <si>
    <t>10.1109/MIOT.2025.3575887</t>
  </si>
  <si>
    <t>WOS:001635054300008</t>
  </si>
  <si>
    <t>Gu, X; Chen, XL; Lu, P; Li, ZG; Du, YJ; Li, XY</t>
  </si>
  <si>
    <t>Gu, Xu; Chen, Xiaoliang; Lu, Peng; Li, Zonggen; Du, Yajun; Li, Xianyong</t>
  </si>
  <si>
    <t>AGCVT-prompt for sentiment classification: Automatically generating chain of thought and verbalizer in prompt learning</t>
  </si>
  <si>
    <t>Large language models; Prompt learning; Sentiment classification; Chain of thought</t>
  </si>
  <si>
    <t>Large language models (LLMs) have revolutionized natural language processing, but they require significant data and hardware resources. Prompt learning offers a solution by enabling a single model for multiple downstream tasks. However, current prompt learning methods rely on costly prompt templates for training. This is a challenge for tasks like sentiment classification, where high-quality templates are hard to create and pseudo-token composed templates can be expensive to train. Recent studies on the chain of thought (COT) have shown that enhancing the presentation of certain aspects of the reasoning process can improve the performance of LLMs. With this in mind, this research introduces the auto-generated COT and verbalizer templates (AGCVT-Prompt) technique, which clusters unlabeled texts according to their identified topic and sentiment. Subsequently, it generates dual verbalizers and formulates both topic and sentiment prompt templates, utilizing the categories discerned within the text and verbalizers. This method significantly improves the transparency and interpretability of the model's decision-making processes. The AGCVT-Prompt technique was evaluated against conventional prompt learning and advanced sentiment classification methods, using state-of-the-art LLMs on both Chinese and English datasets. The results showed superior performance in all evaluations. Specifically, the AGCVT-Prompt method outperformed previous prompt learning techniques in few-shot learning scenarios, providing higher zero-shot and few-shot learning capabilities. Additionally, AGCVT-Prompt was utilized to analyze network comments about Corona Virus Disease 2019, providing valuable insights. These findings indicate that AGCVT-Prompt is a promising alternative for sentiment classification tasks, particularly in situations where labeled data is scarce.</t>
  </si>
  <si>
    <t>10.1016/j.engappai.2024.107907</t>
  </si>
  <si>
    <t>WOS:001164920100001</t>
  </si>
  <si>
    <t>Sblendorio, E; Dentamaro, V; Lo Cascio, A; Germini, F; Piredda, M; Cicolini, G</t>
  </si>
  <si>
    <t>Sblendorio, Elena; Dentamaro, Vincenzo; Lo Cascio, Alessio; Germini, Francesco; Piredda, Michela; Cicolini, Giancarlo</t>
  </si>
  <si>
    <t>Integrating human expertise &amp; automated methods for a dynamic and multi-parametric evaluation of large language models ' feasibility in clinical decision-making</t>
  </si>
  <si>
    <t>LLM's feasibility; AI routine integration; Methodology; Clinical decision making; Healthcare innovation; Nursing informatics; Safety; Multidisciplinary approach; Multi-parametric analysis</t>
  </si>
  <si>
    <t>ANTHRACYCLINE EXTRAVASATION; DEXRAZOXANE; MANAGEMENT</t>
  </si>
  <si>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 -making.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 adherence to scientific advancements, this approach prioritizes safety and care personalization, according to the Organization for Economic Co-operation and Development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t>
  </si>
  <si>
    <t>10.1016/j.ijmedinf.2024.105501</t>
  </si>
  <si>
    <t>WOS:001247894300001</t>
  </si>
  <si>
    <t>Zhang, Y; Aman, J</t>
  </si>
  <si>
    <t>Zhang, Yi; Aman, Jantan</t>
  </si>
  <si>
    <t>Targeted injection attack toward the semantic layer of large language models</t>
  </si>
  <si>
    <t>adversarial examples; contamination oscillations; malicious training; NLP; semantic layer; targeted injection attack</t>
  </si>
  <si>
    <t>In the AI era, high-value targeted injection attacks and defences based on the semantic layer of Large Language Models will become the main battlefield for security confrontations. Ultimately, any form of artificial information warfare boils down to a battle at the semantic level. This involves using information technology to attack the semantic layer and, consequently, the human brain. Specifically, the goal is to launch targeted attacks on the brains of specific decision-making groups within society, thereby undermining human social decision-making mechanisms. The ultimate goal is to maximize value output in the fields of political economy, religion, and ideology, including wealth and power, with minimal investment in information technology. This paper uses the pyramid model perspective to unify the information security confrontation protocol stack, including biological intelligence, human intelligence, and artificial intelligence. It begins by analysing the characteristics and explainable of AI models, and feasible means of their multi-dimensions offensive and defensive mechanisms, proposing an open engineering practice strategy that leverages semantic layer gaming between LLMs. This strategy involves targeted training set contamination at the semantic layer and penetration induction through social networks. At the end of this article, expands the contamination of training set data sources to the swarm oscillating environment in human-machine sociology and ethical confrontation, then discusses attacks targeting the information cocoon of individuals or communities and extends the interaction mechanism between humans and LLMs and GPTs above the semantic layer to the evolution dynamics of a Fractal Pyramid Model.</t>
  </si>
  <si>
    <t>NOV 11</t>
  </si>
  <si>
    <t>10.3389/fcomp.2025.1683495</t>
  </si>
  <si>
    <t>WOS:001621863300001</t>
  </si>
  <si>
    <t>Desai, R; Shah, A; Kothari, S; Surve, A; Shekokar, N</t>
  </si>
  <si>
    <t>Desai, Rushil; Shah, Aditya; Kothari, Shourya; Surve, Aishwarya; Shekokar, Narendra</t>
  </si>
  <si>
    <t>TextBrew: Automated Model Selection and Hyperparameter Optimization for Text Classification</t>
  </si>
  <si>
    <t>Automated machine learning; AutoML; NLP; trans-former models; hyperparameter optimization; CopulaGAN; gener-ative model; meta-learning</t>
  </si>
  <si>
    <t>In building a machine learning solution, algorithm selection and hyperparameter tuning is the most time-consuming task. Automated Machine Learning is a solution to fully automate the process of finding the best model for a given task without actually having to try various models. This paper introduces a new AutoML system, TextBrew, explicitly built for the NLP task of text classification. Our system provides an automated method for selecting transformer models, tuning hyperparameters, and combining the best models into one by ensembling. Keeping in mind that new state-of-the-art models are being constantly introduced, TextBrew has been designed to be highly flexible and thus can support additional models easily. In our work, we experiment with multiple transformer models, each with numerous different hyperparameter settings, and select the most robust models. These models are then trained on multiple datasets to obtain accuracy scores, which are then used to build the meta-dataset to train the meta-model. Since text classification datasets are not as abundant, our system generates synthetic data to augment the meta-dataset using CopulaGAN, a deep generative model. The meta-model is an ensemble of five models, which predicts the best candidate model with an accuracy of 78.75%. The final model returned to the user is an ensemble of all the best models that can be trained under the given time constraint. Experiments on various datasets and comparisons with existing systems demonstrate the effectiveness of our system.</t>
  </si>
  <si>
    <t>WOS:000869118800001</t>
  </si>
  <si>
    <t>Cao, X; Li, HF; Xu, QY; Zhu, RQ</t>
  </si>
  <si>
    <t>Cao, Xian; Li, Hongfei; Xu, Qingyu; Zhu, Ruoqing</t>
  </si>
  <si>
    <t>Detecting Gender Stereotype Biases Against Women Entrepreneurs in Large Language Models</t>
  </si>
  <si>
    <t>JOURNAL OF BUSINESS ETHICS</t>
  </si>
  <si>
    <t>Gender stereotype biases; Entrepreneurship; Language learning models (LLMs)</t>
  </si>
  <si>
    <t>ARTIFICIAL-INTELLIGENCE; ORGANIZATIONS</t>
  </si>
  <si>
    <t>We investigate the capability of Artificial Intelligence (AI), specifically Large Language Models (LLMs) like ChatGPT, to exhibit gender stereotype biases against women entrepreneurs-a critical issue as AI becomes more prevalent in entrepreneurial decision-making. Despite optimism about AI's utility, the risk of reinforcing existing gender stereotype biases poses significant ethical challenges. Our explorative research, which builds on prior studies and utilizes a regression-based method demonstrated by OpenAI, analyzes LLM responses to various scenarios. Our findings show that LLMs did not ascribe strong masculine traits to successful entrepreneurs, although some nuances still remained. Furthermore, LLMs did not rate femininity lower in general business evaluations, and explicitly identifying the entrepreneur's sex did not alter these results. These findings seemingly suggest that AI's perspective deviated from the traditional view that entrepreneurship is predominantly a masculine occupation. However, in investment-specific scenarios, LLMs exhibited a notable bias toward masculine traits over feminine traits, aligning with traditional stereotypical views of entrepreneurship. This variability in responses not only deepens our understanding of gender stereotype biases in AI but also underscores the complexity of addressing these biases, thereby contributing to discussions about AI's potential to offer less biased evaluations than human judgments and paving the way for fairer AI-driven business practices. Additionally, these findings highlight the necessity for careful integration of AI-generated data into theoretical development, considering AI's unique information processing capabilities, and the employment of suitable analytical tools to more effectively detect subtle patterns and nuances in AI-generated data.</t>
  </si>
  <si>
    <t>0167-4544</t>
  </si>
  <si>
    <t>1573-0697</t>
  </si>
  <si>
    <t>2025 NOV 26</t>
  </si>
  <si>
    <t>10.1007/s10551-025-06216-1</t>
  </si>
  <si>
    <t>WOS:001624726800001</t>
  </si>
  <si>
    <t>Jung, HS; Lee, H</t>
  </si>
  <si>
    <t>Jung, Hae Sun; Lee, Haein</t>
  </si>
  <si>
    <t>Explainable zero-shot trading using multi-agent LLM architecture: A backtested approach for Bitcoin price</t>
  </si>
  <si>
    <t>Large language models; Multi-agent systems; Zero-shot prompting; Cryptocurrency trading; Natural language reasoning</t>
  </si>
  <si>
    <t>CRYPTOCURRENCY; PREDICTION</t>
  </si>
  <si>
    <t>This study introduces a zero-shot, reasoning-based multi-agent trading framework utilizing large language models (LLMs) to integrate heterogeneous signals for Bitcoin trading over a 1400-day period. The framework combines specialized agents, each dedicated to a modality such as technical indicators, on-chain metrics, macroeconomic signals, and textual sentiment, with a metaagent that synthesizes their rationales into coherent trading decisions without task-specific fine-tuning. Empirical evaluations using Bitcoin market data reveal that the proposed framework outperforms conventional time-series models over a short-horizon (three-day) period, achieving a 21.75 % total return (29.30 % annualized) and a Sharpe ratio of 1.08, surpassing the Long Short-Term Memory (LSTM) baseline by 1.70 percentage points in total return and 0.003 in Sharpe ratio. Ablation results reveal that Reddit-based sentiment enhances profitability (23.30 % total return), while news-based sentiment introduces semantic noise that degrades performance. All strategies are rigorously evaluated under realistic backtesting conditions, explicitly considering slippage and transaction costs to ensure reproducibility and fair comparisons. Beyond raw returns, systematic evaluation through an LLM-based evaluation protocol (G-EVAL) validates the consistency and interpretability of agent rationales, reinforcing model transparency. The proposed framework's modularity, interpretability, and robust empirical performance highlight its potential as an interpretable, scalable, and transparent approach to financial decision-making, aligning with the broader goals of explainable artificial intelligence in risk-sensitive financial systems.</t>
  </si>
  <si>
    <t>10.1016/j.ipm.2025.104466</t>
  </si>
  <si>
    <t>WOS:001613649700002</t>
  </si>
  <si>
    <t>Upadhyaya, A; Nejdl, W; Fisichella, M</t>
  </si>
  <si>
    <t>Upadhyaya, Apoorva; Nejdl, Wolfgang; Fisichella, Marco</t>
  </si>
  <si>
    <t>Interpretable zero-shot stance detection with proactive content intervention</t>
  </si>
  <si>
    <t>Zero-shot stance detection; Intervention; Interpretability; Rationale decoding; Large language models</t>
  </si>
  <si>
    <t>SOCIAL MEDIA</t>
  </si>
  <si>
    <t>Zero-Shot Stance Detection (ZSSD) identifies an author's stance towards unseen targets. Existing works have mainly focused on contrastive, meta, adversarial learning, or data augmentation but face issues like data scarcity, generalizability, and lack of coherence between text and targets. Moreover, stance detection must be interpretable to ensure transparency. Recent works with large language models (LLMs) aim to enhance unseen target knowledge or generate explanations but often rely excessively on explicit reasoning or provide coarse explanations, overlooking implicit cues and complicating interpretation. To address these challenges, we propose a novel interpretable multi-stage ZSSD framework. Stage 1 decodes explanations (rationales) justifying the stance while Stage 2 provides the final stance label, thus providing inherent interpretability in predicting stances. Extensive experiments prove that our approach outperforms other baselines with an average improvement in F1 scores of 27.99% with LLMs and 23.60% without LLMs for SemEval and 14.62% with LLMs and 25.24% without LLMs for VAST datasets for the ZSSD task, benefiting from the proposed pipeline architecture and interpretable design. Furthermore, to mitigate the harmful effects of offensive content and promote a more respectful online environment, we integrate an intervention module that leverages the contextual insights derived from our ZSSD framework with the ethics-based text generation power of LLMs to develop interventions. Automatic and human evaluation of LLMgenerated interventions based on various proposed criteria provide insights into how LLMs perceive similar information from different perspectives, which can help foster morally sound and respectful online discourse.</t>
  </si>
  <si>
    <t>10.1016/j.ipm.2025.104223</t>
  </si>
  <si>
    <t>WOS:001513349000002</t>
  </si>
  <si>
    <t>Li, WH; Manickam, S; Chong, YW</t>
  </si>
  <si>
    <t>Li, Wenhao; Manickam, Selvakumar; Chong, Yung-Wey</t>
  </si>
  <si>
    <t>FedPhishLLM: A privacy-preserving and explainable phishing detection mechanism using federated learning and LLMs</t>
  </si>
  <si>
    <t>Phishing Attack; Phishing Detection; Federated Learning; Large Language Models; Social Engineering</t>
  </si>
  <si>
    <t>CODES</t>
  </si>
  <si>
    <t>Phishing attacks remain a significant cybersecurity threat, exploiting social engineering techniques to deceive users and steal sensitive information. Traditional phishing detection mechanisms based on machine learning and deep learning often rely on centralized data collection, raising privacy concerns and limiting adaptability to diverse user environments. Recent advancements in large language models (LLMs) have introduced new opportunities for phishing detection by leveraging multimodal data, yet existing approaches primarily depend on commercial LLMs, which increase operational costs and potentially compromise user privacy. To address these challenges, we propose FedPhishLLM, a privacy-preserving and explainable phishing detection framework that integrates federated learning (FL) with fine-tuned multimodal LLMs. Our approach enables decentralized model training, allowing users to collaboratively improve phishing detection without sharing raw data, thereby preserving privacy while maintaining high detection accuracy. FedPhishLLM enhances explainability by providing phishing explanations, including brand identification and intent recognition, fostering user trust and informed decision-making. Experimental results confirm that our framework outperforms all baseline models, achieving up to 95% accuracy, precision, and F1-score with 96% recall. Further analyses validate the rationality of chosen training parameters and prompting strategies, demonstrate the complementary value of multimodal phishing indicators, and highlight the framework's adaptability to linguistic heterogeneity as well as resilience against adversarial and evasive attacks. To the best of our knowledge, FedPhishLLM is one of the first FL-based multimodal LLM approaches for phishing detection, offering a scalable, privacy-conscious, and explainable security solution practical for real-world deployments.</t>
  </si>
  <si>
    <t>10.1007/s44443-025-00267-0</t>
  </si>
  <si>
    <t>WOS:001593172200002</t>
  </si>
  <si>
    <t>Kovac, G; Portelas, R; Dominey, PF; Oudeyer, PY</t>
  </si>
  <si>
    <t>Kovac, Grgur; Portelas, Remy; Dominey, Peter Ford; Oudeyer, Pierre-Yves</t>
  </si>
  <si>
    <t>The SocialAI school: a framework leveraging developmental psychology toward artificial socio-cultural agents</t>
  </si>
  <si>
    <t>FRONTIERS IN NEUROROBOTICS</t>
  </si>
  <si>
    <t>social cognition; developmental psychology; reinforcement learning; large language models; Michael Tomasello</t>
  </si>
  <si>
    <t>INTENTIONS; COGNITION; LANGUAGE; CHILDREN</t>
  </si>
  <si>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t>
  </si>
  <si>
    <t>1662-5218</t>
  </si>
  <si>
    <t>OCT 9</t>
  </si>
  <si>
    <t>10.3389/fnbot.2024.1396359</t>
  </si>
  <si>
    <t>WOS:001338395800001</t>
  </si>
  <si>
    <t>Chandra, R; Zhu, BC; Fang, QY; Shinjikashvili, E</t>
  </si>
  <si>
    <t>Chandra, Rohitash; Zhu, Baicheng; Fang, Qingying; Shinjikashvili, Eka</t>
  </si>
  <si>
    <t>Large language models for newspaper sentiment analysis during COVID-19: The Guardian</t>
  </si>
  <si>
    <t>COVID-19; Sentiment analysis; BERT; RoBERTa; Social media; The Guardian</t>
  </si>
  <si>
    <t>RECURRENT NEURAL-NETWORKS; CLASSIFICATION; MEDIA; LSTM; BIAS</t>
  </si>
  <si>
    <t>During the COVID-19 pandemic, news media coverage encompassed topics such as viral transmission, allocation of medical resources, and government response measures. Studies have analysed sentiment on social media platforms during COVID-19 to understand the public's response to the rising cases and the government strategies implemented to control the spread of the virus. Sentiment analysis can enable an understanding of the dynamics in the social and psychological well-being of a group during the pandemic. Apart from social media, newspapers have played a vital role in disseminating information, including information from the government, experts, and the public about various topics. A study of sentiment analysis of newspaper sources during COVID-19 for selected countries can give an overview of how the media covered the pandemic. In this study, we selected The Guardian newspaper and conducted a sentiment analysis during various stages of COVID-19 including initial transmission, lockdowns and vaccination. We employed novel large language models (LLMs) and refined them with expert-labelled sentiment analysis data. We also provide an analysis of sentiments experienced pre-pandemic for comparison. The results indicate that during the early pandemic stages, public sentiment prioritised urgent crisis response, later shifting focus to addressing the impact on health and the economy. In comparison with related studies about social media sentiment analyses, we found a discrepancy between The Guardian, with a dominance of negative sentiments (sad, annoyed, anxious and denial), suggesting that social media offered amore diverse emotional expression during the pandemic. We found a grim narrative in The Guardian with overall dominance of negative sentiments, pre- and during COVID-19 across news sections including Australia, UK, World News, and Opinion.</t>
  </si>
  <si>
    <t>10.1016/j.asoc.2025.112743</t>
  </si>
  <si>
    <t>WOS:001408112500001</t>
  </si>
  <si>
    <t>Abyaneh, MJ; Jang, J</t>
  </si>
  <si>
    <t>Abyaneh, Mojtaba Jafarian; Jang, Jinwoo</t>
  </si>
  <si>
    <t>Transformer-Based Trajectory Prediction Using LiDAR Data for Situational Awareness in Complex Urban Environments</t>
  </si>
  <si>
    <t>Trajectory; Pedestrians; Long short term memory; Transformers; Laser radar; Recurrent neural networks; Predictive models; Deep learning; Accuracy; Convolutional neural networks; Intelligent transportation systems; trajectory prediction; LiDAR; transformer; spatial-temporal modeling</t>
  </si>
  <si>
    <t>With the rise of intelligent systems in urban transportation, the ability to predict agent behavior in real time has gained increasing research attention. Accurate trajectory prediction plays an important role in improving safety and decision-making in self-driving vehicles and smart city infrastructure. This study focuses on LiDAR-sensor-based trajectory prediction of agents at a hyperlocal level using a Transformer architecture. A large-scale dataset was collected using an Ouster OS1 LiDAR sensor at a busy urban intersection in West Palm Beach, Florida. This experiment captured more than 12,390 real-world trajectories which include vehicles, pedestrians, and bicycles. After obtaining experimental results from the sensor, the proposed framework first performs object detection to extract agent trajectories from LiDAR point-cloud data. Afterwards, data curation was performed to filter out the reflections of pedestrians and vehicles on the glass storefronts, or they were almost stationary. In the next stage, a Transformer model is developed to learn and predict spatial-temporal patterns of agent trajectories. By performing a hyperparameter tuning, the Transformer model was able to achieve a 15.24% improvement in the average displacement error in comparison with the traditional LSTM method. Results are visualized to display predicted and ground-truth paths on a geo-referenced map. With a higher convergence rate compared to the LSTM approach, the proposed results showed the effectiveness of attention-based models in complex multi-agent urban environments.</t>
  </si>
  <si>
    <t>10.1109/OJITS.2025.3640002</t>
  </si>
  <si>
    <t>WOS:001641458900001</t>
  </si>
  <si>
    <t>Nelson, J; Pavlidis, M; Fish, A; Polatidis, N; Manolopoulos, Y</t>
  </si>
  <si>
    <t>Nelson, Jordan; Pavlidis, Michalis; Fish, Andrew; Polatidis, Nikolaos; Manolopoulos, Yannis</t>
  </si>
  <si>
    <t>Leveraging Ethical Narratives to Enhance LLM-AutoML Generated Machine Learning Models</t>
  </si>
  <si>
    <t>artificial intelligence; AutoML; ethical AI; Google's Gemini; large language models; machine learning; natural language processing; OpenAI's ChatGPT</t>
  </si>
  <si>
    <t>The growing popularity of generative AI and large language models (LLMs) has sparked innovation alongside debate, particularly around issues of plagiarism and intellectual property law. However, a less-discussed concern is the quality of code generated by these models, which often contains errors and encourages poor programming practices. This paper proposes a novel solution by integrating LLMs with automated machine learning (AutoML). By leveraging AutoML's strengths in hyperparameter tuning and model selection, we present a framework for generating robust and reliable machine learning (ML) algorithms. Our approach incorporates natural language processing (NLP) and natural language understanding (NLU) techniques to interpret chatbot prompts, enabling more accurate and customisable ML model generation through AutoML. To ensure ethical AI practices, we have also introduced a filtering mechanism to address potential biases and enhance accountability. The proposed methodology not only demonstrates practical implementation but also achieves high predictive accuracy, offering a viable solution to current challenges in LLM-based code generation. In summary, this paper introduces a new application of NLP and NLU to extract features from chatbot prompts, feeding them into an AutoML system to generate ML algorithms. This approach is framed within a rigorous ethical framework, addressing concerns of bias and accountability while enhancing the reliability of code generation.</t>
  </si>
  <si>
    <t>e70072</t>
  </si>
  <si>
    <t>10.1111/exsy.70072</t>
  </si>
  <si>
    <t>WOS:001509983800002</t>
  </si>
  <si>
    <t>Enam, MDA; Murmu, C; Dixon, E</t>
  </si>
  <si>
    <t>Enam, M. D. Atik; Murmu, Chandni; Dixon, Emma</t>
  </si>
  <si>
    <t>Artificial Intelligence - Carrying us into the Future: A Study of Older Adults' Perceptions of LLM-Based Chatbots</t>
  </si>
  <si>
    <t>LONELINESS; FRAUD</t>
  </si>
  <si>
    <t>With the integration of generative Artificial Intelligence (AI) tools in our society, and past research demonstrating ageism embedded in existing AI tools, there is a pressing need to understand the perceptions and adoption factors of older adults towards generative AI tools to inform future research and development of age inclusive AI tools. Through 20 contextual interviews with older adults, we investigated participants' perceptions towards OpenAI's ChatGPT, a Large Language Model (LLM)-based chatbot. Findings from this study uncover participants' folk theories, their comparison of LLM-based chatbots to search engines, their perspectives on common applications of chatbots for older adults, and the factors that influence their adoption of LLM-based chatbots. Taken together, this work lays the groundwork for future research and development of LLM-based chatbots that consider age inclusivity, taking a step towards addressing AI ageism.</t>
  </si>
  <si>
    <t>10.1080/10447318.2025.2476710</t>
  </si>
  <si>
    <t>WOS:001451044000001</t>
  </si>
  <si>
    <t>Kozhirbayev, Z</t>
  </si>
  <si>
    <t>Kozhirbayev, Zhanibek</t>
  </si>
  <si>
    <t>Kazakh Speech Recognition: Wav2vec2.0 vs. Whisper</t>
  </si>
  <si>
    <t>automatic speech recognition; Wav2Vec 2.0; Wav2Vec2-XLS-R; whisper; pretrained transformer models; speech representation models</t>
  </si>
  <si>
    <t>In recent years, the progress made in neural models trained on extensive multilingual text or speech data has shown great potential for improving the status of underresourced languages. This paper focuses on experimenting with three state-of-the-art speech recognition models, namely Facebook's Wav2Vec2.0 and Wav2Vec2-LS-R, OpenAI's Whisper, on the Kazakh language. The objective of this research is to investigate the effectiveness of these models in transcribing Kazakh speech and to compare their performance with existing supervised Automatic Speech Recognition (ASR) systems. The study also aims to explore the possibility of using data from other languages for pre-training and to test whether fine-tuning the target language data can improve model performance. Thus, this work can provide insights into the effectiveness of using pretrained multilingual models in underresourced language settings. The wav2vec2.0 model achieved a Character Error Rate (CER) of 2.8 and a Word Error Rate (WER) of 8.7 on the test set, which closely matches the best result achieved by the end-to-end Transformer model. The large whisper model achieves a CER of approximately 4 on the test set. The results of this study can contribute to the development of robust and efficient ASR systems for the Kazakh language, benefiting various applications, including speech-to-text translation, voice assistants, and speech-based communication tools.</t>
  </si>
  <si>
    <t>10.12720/jait.14.6.1382-1389</t>
  </si>
  <si>
    <t>WOS:001167619100017</t>
  </si>
  <si>
    <t>Yang, DK; Wei, JJ; Li, MC; Liu, JY; Liu, LH; Hu, M; He, JJ; Ju, YK; Zhou, W; Liu, Y; Zhang, LH</t>
  </si>
  <si>
    <t>Yang, Dingkang; Wei, Jinjie; Li, Mingcheng; Liu, Jiyao; Liu, Lihao; Hu, Ming; He, Junjun; Ju, Yakun; Zhou, Wei; Liu, Yang; Zhang, Lihua</t>
  </si>
  <si>
    <t>MEDAIDE: Information fusion and anatomy of medical intents via LLM-based agent collaboration</t>
  </si>
  <si>
    <t>Healthcare information fusion; Generative models; Multi-agent collaboration; Large language models</t>
  </si>
  <si>
    <t>In healthcare intelligence, the ability to fuse heterogeneous, multi-intent information from diverse clinical sources is fundamental to building reliable decision-making systems. Large Language Model (LLM)-driven information interaction systems currently showing potential promise in the healthcare domain. Nevertheless, they often suffer from information redundancy and coupling when dealing with complex medical intents, leading to severe hallucinations and performance bottlenecks. To this end, we propose MEDAIDE, an LLM-based medical multi-agent collaboration framework designed to enable intent-aware information fusion and coordinated reasoning across specialized healthcare domains. Specifically, we introduce a regularization-guided module that combines syntactic constraints with retrieval-augmented generation to decompose complex queries into structured representations, facilitating fine-grained clinical information fusion and intent resolution. Additionally, a dynamic intent prototype matching module is proposed to utilize dynamic prototype representation with a semantic similarity matching mechanism to achieve adaptive recognition and updating of the agent's intent in multi-round healthcare dialogues. Ultimately, we design a rotation agent collaboration mechanism that introduces dynamic role rotation and decision-level information fusion across specialized medical agents. Extensive experiments are conducted on four medical benchmarks with composite intents. Experimental results from automated metrics and expert doctor evaluations show that MEDAIDE outperforms current LLMs and improves their medical proficiency and strategic reasoning.</t>
  </si>
  <si>
    <t>10.1016/j.inffus.2025.103743</t>
  </si>
  <si>
    <t>WOS:001582066300001</t>
  </si>
  <si>
    <t>Sun, S; Zhong, ZJ; Yu, NL; Gong, XR; Yang, KX</t>
  </si>
  <si>
    <t>Sun, Song; Zhong, Zhijie; Yu, Nanlan; Gong, Xinrong; Yang, Kaixiang</t>
  </si>
  <si>
    <t>HumanMoD: A multi-RAG collaborative LLM for inclusive urban public healthcare services</t>
  </si>
  <si>
    <t>Large language models (LLMs); Multi-RAG collaboration; Inclusive healthcare; Public health programs; Knowledge-driven models</t>
  </si>
  <si>
    <t>EMOTION RECOGNITION; CONSUMER-HEALTH; EEG</t>
  </si>
  <si>
    <t>The integration of Large Language Models (LLMs) with healthcare systems offers transformative solutions for sustainable public health programs, especially in underserved urban and rural communities where access to professional medical expertise is limited. This paper introduces HumanMoD, a novel LLM framework designed to emulate collaborative clinical workflows of multi-expert medical doctors. Specifically, the proposed Mixture of Doctors module enables parallel diagnostic streams from diverse medical specialties, mimicking the collaborative decision-making of human doctors to ensure comprehensive assessments in resource-constrained environments. The Knowledge-driven Medical Assistant leverages domain-specific knowledge bases to mitigate LLM hallucinations, ensuring that recommendations are rooted in credible medical knowledge. Exquisitely, the Humanoid Health Conductor and LLM-powered Corrector further refine outputs to minimize diagnostic discrepancies, enhancing the reliability of responses for large-scale public health applications such as community health kiosks and mobile health apps serving remote or low-income areas. Unlike fine-tuned models, HumanMoD operates without parameter adjustment, enabling cost-effective deployment in regions with scarce computational resources, thus bridging the healthcare gap for socially vulnerable groups. Experimental results on MedQA and PubMedQA demonstrate that HumanMoD outperforms state-of-the-art models, highlighting its potential to drive equitable healthcare access and support data-driven public health policies in diverse urban and rural settings.</t>
  </si>
  <si>
    <t>10.1016/j.asoc.2025.113684</t>
  </si>
  <si>
    <t>WOS:001549714700003</t>
  </si>
  <si>
    <t>Peng, W; Meng, JB; Tang, L; Zou, WX; Issaka, B</t>
  </si>
  <si>
    <t>Peng, Wei; Meng, Jingbo; Tang, Lu; Zou, Wenxue; Issaka, Barikisu</t>
  </si>
  <si>
    <t>How Do Lay Users Seek Information with ChatGPT: An In-Situ Interview Study</t>
  </si>
  <si>
    <t>Information seeking; ChatGPT; prompt; lay user; interview</t>
  </si>
  <si>
    <t>SEARCH; LIFE; BEHAVIOR; WEB</t>
  </si>
  <si>
    <t>Large language model tools such as ChatGPT are increasingly used for information seeking in place of traditional search engines. However, limited research is available regarding how lay users search for and evaluate information using ChatGPT. By using scenario-based interviews, this study explores how lay users employ ChatGPT for information seeking in-situ, addressing a significant research gap. Sixteen participants completed a set of search tasks and reflected how they sought and evaluated information. The findings demonstrate that although the information seeking process and techniques resembled those commonly used in other information seeking systems, many techniques were missing. While ChatGPT's responses may reduce cognitive barriers in the information seeking process, lay users face challenges in effectively framing prompts and have concerns over transparency of information source and information quality.</t>
  </si>
  <si>
    <t>2025 NOV 17</t>
  </si>
  <si>
    <t>10.1080/10447318.2025.2586086</t>
  </si>
  <si>
    <t>WOS:001618740100001</t>
  </si>
  <si>
    <t>Aldahoul, N; Tan, MJ; Kasireddy, HR; Zaki, Y</t>
  </si>
  <si>
    <t>Aldahoul, Nouar; Tan, Myles Joshua; Kasireddy, Harishwar Reddy; Zaki, Yasir</t>
  </si>
  <si>
    <t>Guardians of digital safety: benchmarking large language models in the fight against online toxicity</t>
  </si>
  <si>
    <t>HATE; VIOLENCE</t>
  </si>
  <si>
    <t>The extensive spread of harmful content, including hate speech, harassment, violent and adult material across online platforms and media channels poses significant challenges and has raised considerable concern within various societal groups. Government bodies, educators, and parents frequently find themselves in disagreement with media providers over the best methods to regulate and restrict such content. Automated content moderation technologies have become critical tools in addressing these challenges, particularly through natural language processing (NLP) techniques that can automatically detect and filter sensitive textual content, such as offensive language, violence, and adult materials, enabling platforms to enforce moderation policies on a large scale. Despite their widespread use, current moderation technologies face challenges related to detection accuracy, often resulting in substantial false positives and false negatives. To enhance content moderation systems, more advanced algorithms capable of accurately interpreting textual context are necessary. In this study, we assess current large language model (LLM)-based moderation solutions, specifically OpenAI moderation model and Llama-Guard-3, examining their effectiveness in detecting sensitive content. Additionally, we investigate the capabilities of contemporary LLMs, including OpenAI generative pre-trained transformer (GPT), Google Gemini, Meta Llama, Anthropic Claude, and small language models (SLMs) such as Google Gemma, in recognizing inappropriate content from diverse media sources. We also studied the performance of these models under adversarial attacks such as input perturbation and prompt injection. Our evaluation and comparative analysis utilize various textual datasets, such as X (Twitter) posts, Amazon product reviews, and news articles. The findings indicate that LLM-based approaches significantly demonstrate high accuracy and low rates of false positives and negatives. They also indicate the robustness of the models under various adversarial attacks. These results underscore the considerable potential for integrating advanced LLMs into websites and social media platforms, thereby enhancing content regulation and moderation effectiveness.</t>
  </si>
  <si>
    <t>DEC 13</t>
  </si>
  <si>
    <t>10.1186/s40537-025-01336-x</t>
  </si>
  <si>
    <t>WOS:001665966200001</t>
  </si>
  <si>
    <t>Chaffard, O; Mollá, P; Cavazza, M; Prendinger, H</t>
  </si>
  <si>
    <t>Chaffard, Owen; Molla, Pablo; Cavazza, Marc; Prendinger, Helmut</t>
  </si>
  <si>
    <t>Enhancing large language models for bitcoin time series forecasting</t>
  </si>
  <si>
    <t>Time series forecasting; Language models; Financial time series</t>
  </si>
  <si>
    <t>In the recent advancements in application of deep learning to time series forecasting, focus has shifted from training transformers end-to-end to efficiently leveraging the predictive capabilities of Large Language Models (LLMs). Models that encode the time series data to interact with a frozen LLM backbone have been shown to outperform transformers on all benchmark datasets. However, their efficiency on complex datasets, which do not show clear seasonality or trend, remains an open question. In this work, we seek to evaluate the performance of reprogrammed LLMs on the Bitcoin price chart, a financial time series known for its complexity and high volatility. We propose effective methods to improve the performance of Time-LLM, a State-of-the-art (SOTA) method, on such a time series. First, we propose structural improvements to Time-LLM. Second, we suggest an efficient way to handle the non-stationarity of the dataset. Finally, we propose an efficient method for passing additional financial information to the LLM. Our results demonstrate a 50% improvement on the average percentage loss and a 5 % increase on accuracy of our adapted Time-LLM architecture on Bitcoin data when compared to SOTA models, including the original Time-LLM model. This highlights the impact on forecast accuracy of domain-specific decision making in data processing and feature selection.</t>
  </si>
  <si>
    <t>10.1016/j.knosys.2025.114449</t>
  </si>
  <si>
    <t>WOS:001582925800001</t>
  </si>
  <si>
    <t>Wang, WS; Zhou, P</t>
  </si>
  <si>
    <t>Wang, Weishuo; Zhou, Peng</t>
  </si>
  <si>
    <t>LLM-Guided risk-sensitive reinforcement learning for smart factories in the scenario of human-robot symbiosis</t>
  </si>
  <si>
    <t>Smart factory; LLM Agent; Robot agent; Risk-sensitive reinforcement learning; Bayesian neural networks</t>
  </si>
  <si>
    <t>CONSTRUCTION</t>
  </si>
  <si>
    <t>This paper proposes a comprehensive framework for risk-averse human-robot interaction intelligent Agents in the context of Industry 5.0 smart factory construction, consisting of two main components: an LLM Agent and a Robot Agent. We have designed a novel Large Language Model Agent capable of leveraging knowledge from sources such as factory technical manuals to guide lightweight (7-8B) Large Language Models, thereby enabling the precise generation of task decision-making instructions. Experimental results validate the high efficiency and practicality of the LLaMa model within this Agent, demonstrating performance comparable to that of professional engineers and affirming the effectiveness of lightweight models when embedded with domain-specific knowledge. Furthermore, we have developed a risk-sensitive deep reinforcement learning algorithm, PP-BBN&amp;RRL, which accurately quantifies both static and dynamic risks using Bayesian probabilities. This algorithm excels in safety quantification when encountering static and dynamic obstacles and has achieved optimal performance in path planning within complex real-world factory environments. Collectively, this dual-Agent framework, based on LLM-guided risk-sensitive reinforcement learning, provides significant guidance for the future development of smart factories, particularly confirming the substantial potential of LLMs in industrial applications once they achieve a level of trustworthiness comparable to that of junior engineers.</t>
  </si>
  <si>
    <t>10.1016/j.eswa.2025.130093</t>
  </si>
  <si>
    <t>WOS:001617982400011</t>
  </si>
  <si>
    <t>Weinert, DA; Rauschecker, AM</t>
  </si>
  <si>
    <t>Weinert, Dane A.; Rauschecker, Andreas M.</t>
  </si>
  <si>
    <t>Enhancing Large Language Models with Retrieval-Augmented Generation: A Radiology-Specific Approach</t>
  </si>
  <si>
    <t>RADIOLOGY-ARTIFICIAL INTELLIGENCE</t>
  </si>
  <si>
    <t>Retrieval-augmented generation (RAG) is a strategy to improve the performance of large language models (LLMs) by providing an LLM with an updated corpus of knowledge that can be used for answer generation in real time. RAG may improve LLM performance and clinical applicability in radiology by providing citable, up-to-date information without requiring model fine-tuning. In this retrospective study, a radiology-specific RAG system was developed using a vector database of 3689 RadioGraphics articles published from January 1999 to December 2023. Performance of five LLMs with (RAG-Systems) and without RAG on a 192-question radiology examination was compared. RAG significantly improved examination scores for GPT-4 (OpenAI; 81.2% vs 75.5%, P = .04) and Command R+ (Cohere; 70.3% vs 62.0%, P = .02), but not for Claude Opus (Anthropic), Mixtral (Mistral AI), or Gemini 1.5 Pro (Google DeepMind). RAG-Systems performed significantly better than pure LLMs on a 24-question subset directly sourced from RadioGraphics (85% vs 76%, P = .03). RAG-Systems retrieved 21 of 24 (87.5%, P &lt; .001) relevant RadioGraphics references cited in the examination's answer explanations and successfully cited them in 18 of 21 (85.7%, P &lt; .001) outputs. The results suggest that RAG is a promising approach to enhance LLM capabilities for radiology knowledge tasks, providing transparent, domain-specific information retrieval.</t>
  </si>
  <si>
    <t>2638-6100</t>
  </si>
  <si>
    <t>e240313</t>
  </si>
  <si>
    <t>10.1148/ryai.240313</t>
  </si>
  <si>
    <t>WOS:001528215900003</t>
  </si>
  <si>
    <t>Li, LY; Hu, SH; Dai, YP; Deng, M; Momeni, P; Laverghetta, G; Fan, LZ; Ma, ZH; Wang, X; Ma, SY; Ligatti, J; Hemphill, L</t>
  </si>
  <si>
    <t>Li, Lingyao; Hu, Songhua; Dai, Yinpei; Deng, Min; Momeni, Parisa; Laverghetta, Gabriel; Fan, Lizhou; Ma, Zihui; Wang, Xi; Ma, Siyuan; Ligatti, Jay; Hemphill, Libby</t>
  </si>
  <si>
    <t>Toward satisfactory public accessibility: A crowdsourcing approach through online reviews to inclusive urban design</t>
  </si>
  <si>
    <t>Accessibility; Crowdsourcing; Text mining; Inclusive urban design; Large language models</t>
  </si>
  <si>
    <t>SOCIAL-MEDIA; BUILT ENVIRONMENT; SERVICE QUALITY; DISABILITY; PEOPLE; HEALTH; TECHNOLOGIES; COMMUNITY; BARRIERS; ACCESS</t>
  </si>
  <si>
    <t>As urban populations grow, the need for accessible urban design has become urgent. Traditional methods for assessing public perceptions of accessibility, such as surveys and interviews, are often resource-intensive and geographically limited in scope. Crowdsourcing via online reviews offers a valuable alternative to understanding public perceptions, and advancements in large language models (LLMs) can facilitate their use. In this study, we examine over one million Google Maps reviews from points of interests (POIs) across the United States and fine-tune the Llama 3 model using the Low-Rank Adaptation (LoRA) technique to identify public sentiment toward accessibility. At the POI level, most categories-restaurants, retail, hotels, and healthcare-show negative sentiments, indicating persistent barriers across key sectors. Socio-spatial regression analysis reveals that more positive sentiment is associated with areas that have higher proportions of white residents and greater socioeconomic advantage. Conversely, more negative sentiment is expressed in areas with higher concentrations of elderly and highly-educated populations. Interestingly, no clear link is found between the presence of disabilities and public sentiments, but a significant positive relationship does exist between disability-friendly scores and public perception. Overall, our findings demonstrate the value of crowdsourcing with LLM-enhanced analysis in identifying accessibility challenges and informing inclusive urban design, offering actionable insights for planners, policymakers, and advocates striving toward more equitable cities.</t>
  </si>
  <si>
    <t>10.1016/j.compenvurbsys.2025.102329</t>
  </si>
  <si>
    <t>WOS:001561276000001</t>
  </si>
  <si>
    <t>Li, JZ; Shen, YQ; Zhou, W; Chen, H</t>
  </si>
  <si>
    <t>Li, Jinzheng; Shen, Yiqing; Zhou, Wei; Chen, Hui</t>
  </si>
  <si>
    <t>SearchExpert: A GenAI-driven framework for reasoning-intensive multimedia information fusion through fine-tuning and reinforcement learning</t>
  </si>
  <si>
    <t>Large language models; Complex reasoning; Multimodal search; Reinforcement learning; DAG planning; Vision-language models</t>
  </si>
  <si>
    <t>The rapid advancement of Generative Artificial Intelligence (GenAI) has opened new frontiers in multimodal information fusion, yet current large language model (LLM)-driven search agents remain limited in their ability to handle reasoning-intensive queries and integrate multimedia data effectively. In this paper, we propose SearchExpert, a GenAI-enhanced framework that augments LLMs with powerful multimedia search and reasoning capabilities via a novel two-stage training paradigm. First, we introduce an efficient natural language representation for directed acyclic graph (DAG)-based search plans to reduce token overhead and support structured reasoning. We then propose Supervised Fine-Tuning for Searching (SFTS), enabled by an automated data construction pipeline that adapts LLMs to generate token-efficient, structured search plans from complex queries. Second, to further enhance reasoning ability, we introduce Reinforcement Learning from Search Feedback (RLSF), which uses reward signals based on semantic alignment and intrinsic quality assessments of retrieved results to optimize LLM behavior. To address the limitations of unimodal input and output, we integrate a multimedia understanding and generation module based on vision-language models and image synthesis tools (e.g., BLIP-2, and DALLE-3), enabling the GenAI-based fusion of text and visual data. We also establish SearchExpertBench-25, a benchmark comprising 200 multimedia-rich, reasoning-intensive queries spanning financial and global news domains, accompanied by a rigorous human evaluation framework. Experimental results demonstrate that SearchExpert surpasses state-of-the-art baselines such as FinSearch and Perplexity Pro, achieving up to 71.5% accuracy on complex benchmark tasks while reducing token consumption by over 40%. Human evaluations further highlight improvements in completeness, analytical integrity, and multimodal fluency. This work presents a scalable and generalizable GenAI framework for information fusion, with implications for real-time decision-making in complex, multi-source environments. The code is available at https://anonymous.4open.science/r/SearchExpert-2343/.</t>
  </si>
  <si>
    <t>10.1016/j.inffus.2025.103665</t>
  </si>
  <si>
    <t>WOS:001566112100001</t>
  </si>
  <si>
    <t>Lu, Y; Xiong, ZB; Huang, HL; He, B; Kuang, JJ</t>
  </si>
  <si>
    <t>Lu, Yu; Xiong, Zhoubing; Huang, Helin; He, Bing; Kuang, Jinjun</t>
  </si>
  <si>
    <t>Harmonizing Parameterized Verification and Invariant Synthesis for Safety Envelopes in Black-Box Autonomy</t>
  </si>
  <si>
    <t>CONCURRENCY AND COMPUTATION-PRACTICE &amp; EXPERIENCE</t>
  </si>
  <si>
    <t>autonomous agents; black-box systems; envelope synthesis; formal methods; large language models; parameterized invariants; runtime monitoring; safety verification; safety-critical AI; trustworthy AI</t>
  </si>
  <si>
    <t>Assuring the safety of autonomous agents in critical applications presents a significant challenge, particularly when these agents use opaque black-box logic like Large Language Models (LLMs) and are deployed across a parameterized family of system configurations. Traditional formal methods are insufficient for this task, struggling with both the combinatorial complexity of parameters and the unobservable nature of the agent's decision-making core. This work circumvents the intractable task of direct internal analysis. Instead, we propose the synthesis and runtime enforcement of a computational safety envelope-a set of verifiable constraints derived from high-level specifications. The central challenge is to synthesize an envelope that is provably sound and universally valid across an entire family of systems. To achieve this, our framework harmonizes two theoretical cornerstones: Parameterized verification, which lifts the safety proof from numerous concrete instances to a single, symbolic proof using Parameterized Transition Systems (PTS), and invariant-driven synthesis, which translates abstract specifications into simple, monitorable state constraints. We establish the theoretical rigor of our approach with two key theorems: The Soundness of Parameterized Safety Verification, which guarantees that a single verification effort is sufficient for the entire system family, and the Runtime Safety Guarantee of the Safety Envelope, which formally proves that any action permitted by the envelope is inherently safe, regardless of the agent's internal computations. We validated this framework on a resource scheduling testbed, where an LLM agent's behavior was probed with deceptive trap tasks. Our synthesized envelope demonstrated statistically robust effectiveness, successfully preempting a significant majority of hazardous actions and confirming that system safety is a direct function of key operating parameters. In essence, this research advocates a paradigm shift from the intractable verification of an unknowable interior to the rigorous construction of a provably correct exterior.</t>
  </si>
  <si>
    <t>1532-0626</t>
  </si>
  <si>
    <t>1532-0634</t>
  </si>
  <si>
    <t>DEC 25</t>
  </si>
  <si>
    <t>27-28</t>
  </si>
  <si>
    <t>e70339</t>
  </si>
  <si>
    <t>10.1002/cpe.70339</t>
  </si>
  <si>
    <t>WOS:001624343100049</t>
  </si>
  <si>
    <t>Alami, A; Jensen, V; Ernst, N</t>
  </si>
  <si>
    <t>Alami, Adam; Jensen, Victor; Ernst, Neil</t>
  </si>
  <si>
    <t>Accountability in Code Review: The Role of Intrinsic Drivers and the Impact of LLMs</t>
  </si>
  <si>
    <t>Code quality; Accountability; Artificial Intelligence; Large Language Models; LLM; Code Review; Human and Social Aspects of Software Engineering</t>
  </si>
  <si>
    <t>INFORMAL ACCOUNTABILITY; SOCIAL DESIRABILITY; SECONDARY ANALYSIS; DATA SATURATION; PERFORMANCE; ORGANIZATIONS; SIMULATION; QUESTIONS; DILEMMAS; INSIGHTS</t>
  </si>
  <si>
    <t>Accountability is an innate part of social systems. It maintains stability and ensures positive pressure on individuals' decision-making. As actors in a social system, software developers are accountable to their team and organization for their decisions. However, the drivers of accountability and how it changes behavior in software development are less understood. In this study, we look at how the social aspects of code review affect software engineers' sense of accountability for code quality. Since Software Engineering (SE) is increasingly involving Large Language Models (LLM) assistance, we also evaluate the impact on accountability when introducing LLM-assisted code reviews. We carried out a two-phased sequential qualitative study (interviews ! focus groups). In Phase I (16 interviews), we sought to investigate the intrinsic drivers of software engineers influencing their sense of accountability for code quality, relying on self-reported claims. In Phase II, we tested these traits in a more natural setting by simulating traditional peer-led reviews with focus groups and then LLM-assisted review sessions. We found that there are four key intrinsic drivers of accountability for code quality: personal standards, professional integrity, pride in code quality, and maintaining one's reputation. In a traditional peer-led review, we observed a transition from individual to collective accountability when code reviews are initiated. We also found that the introduction of LLM-assisted reviews disrupts this accountability process, challenging the reciprocity of accountability taking place in peer-led evaluations, i.e., one cannot be accountable to an LLM. Our findings imply that the introduction of AI into SE must preserve social integrity and collective accountability mechanisms.</t>
  </si>
  <si>
    <t>10.1145/3721127</t>
  </si>
  <si>
    <t>Green Submitted, Green Published, Bronze</t>
  </si>
  <si>
    <t>WOS:001612246800018</t>
  </si>
  <si>
    <t>Zhang, JW; Han, DL; Han, S; Li, H; Lam, WK; Zhang, MY</t>
  </si>
  <si>
    <t>Zhang, Jiawen; Han, Dongliang; Han, Shuai; Li, Heng; Lam, Wing-Kai; Zhang, Mingyu</t>
  </si>
  <si>
    <t>ChatMatch: Exploring the potential of hybrid vision-language deep learning approach for the intelligent analysis and inference of racket sports</t>
  </si>
  <si>
    <t>COMPUTER SPEECH AND LANGUAGE</t>
  </si>
  <si>
    <t>Video understanding; Deep learning; Expert system; Large language model; Badminton</t>
  </si>
  <si>
    <t>Video understanding technology has become increasingly important in various disciplines, yet current approaches have primarily focused on lower comprehension level of video content, posing challenges for providing comprehensive and professional insights at a higher comprehension level. Video analysis plays a crucial role in athlete training and strategy development in racket sports. This study aims to demonstrate an innovative and higher-level video comprehension framework (ChatMatch), which integrates computer vision technologies with the cutting-edge large language models (LLM) to enable intelligent analysis and inference of racket sports videos. To examine the feasibility of this framework, we deployed a prototype of ChatMatch in the badminton in this study. A vision-based encoder was first proposed to extract the meta-features included the locations, actions, gestures, and action results of players in each frame of racket match videos, followed by a rule-based decoding method to transform the extracted information in both structured knowledge and unstructured knowledge. A set of LLM-based agents included namely task identifier, coach agent, statistician agent, and video manager, was developed through a prompt engineering and driven by an automated mechanism. The automatic collaborative interaction among the agents enabled the provision of a comprehensive response to professional inquiries from users. The validation findings showed that our vision models had excellent performances in meta-feature extraction, achieving a location identification accuracy of 0.991, an action recognition accuracy of 0.902, and a gesture recognition accuracy of 0.950. Additionally, a total of 100 questions were gathered from four proficient badminton players and one coach to evaluate the performance of the LLM-based agents, and the outcomes obtained from ChatMatch exhibited commendable results across general inquiries, statistical queries, and video retrieval tasks. These findings highlight the potential of using this approach that can offer valuable insights for athletes and coaches while significantly improve the efficiency of sports video analysis.</t>
  </si>
  <si>
    <t>0885-2308</t>
  </si>
  <si>
    <t>1095-8363</t>
  </si>
  <si>
    <t>10.1016/j.csl.2024.101694</t>
  </si>
  <si>
    <t>WOS:001283924000001</t>
  </si>
  <si>
    <t>Wu, JH; You, HX; Sun, BW; Du, J</t>
  </si>
  <si>
    <t>Wu, Jiahao; You, Hengxu; Sun, Bowen; Du, Jing</t>
  </si>
  <si>
    <t>LLM-Driven Pareto-Optimal Multi-Mode Reinforcement Learning for Adaptive UAV Navigation in Urban Wind Environments</t>
  </si>
  <si>
    <t>Autonomous aerial vehicles; Reinforcement learning; Navigation; Safety; Training; Aerodynamics; Drones; Decision making; Vehicle dynamics; Computational fluid dynamics; Autonomous drone; large language model; meta-decision making; pareto optimality; reinforcement learning; urban wind simulation</t>
  </si>
  <si>
    <t>Autonomous drones in complex urban wind environments must balance speed, safety, and energy efficiency under highly variable conditions. Traditional single-policy reinforcement learning controllers often perform poorly when exposed to scenarios beyond their training. We introduce a Pareto-optimal multi-mode framework that trains three specialized unmanned aerial vehicle (UAV) policies (aggressive, balanced, and cautious) via proximal policy optimization (PPO) with specific reward scalings, yielding controllers that collectively span the speed-safety-energy trade-off surface. To automate mode selection, we fine-tune a large language model (LLM) on 30,000 simulation-derived environment-performance tuples, allowing it to predict the optimal policy from building density, wind speed and orientation, battery state, and recent flight history. In a Unity-based Manhattan simulation with computational fluid dynamics (CFD) wind fields across four headings and 10 speed levels, the LLM-driven decision maker reduces average flight time by 16%, lowers the collision rate by 50%, and saves 18% energy compared to any single mode, while preserving nondominated trade-off performance. The decision maker also generalizes to unseen wind patterns and layouts without handcrafted heuristics, demonstrating the promise of combining Pareto-optimal reinforcement learning (RL) with LLM-based meta-decision making for UAV autonomy.</t>
  </si>
  <si>
    <t>10.1109/ACCESS.2025.3611336</t>
  </si>
  <si>
    <t>WOS:001579050200001</t>
  </si>
  <si>
    <t>Mo, FR; Mao, KL; Zhao, ZL; Qian, HJ; Chen, HA; Cheng, YR; Li, XX; Zhu, YT; Dou, ZC; Nie, JY</t>
  </si>
  <si>
    <t>Mo, Fengran; Mao, Kelong; Zhao, Ziliang; Qian, Hongjin; Chen, Haonan; Cheng, Yiruo; Li, Xiaoxi; Zhu, Yutao; Dou, Zhicheng; Nie, Jian-yun</t>
  </si>
  <si>
    <t>A Survey of Conversational Search</t>
  </si>
  <si>
    <t>Conversational Search; Query Reformulation; Search Clarification; Conver-sational Retrieval and Generation; Domain-specific and User-centric Application; Benchmark and Evaluation</t>
  </si>
  <si>
    <t>INFORMATION-RETRIEVAL; QUERY</t>
  </si>
  <si>
    <t>As a cornerstone of modern information access, search engines have become indispensable in everyday life. With the rapid advancements in AI and natural language processing (NLP) technologies, particularly large language models (LLMs), search engines have evolved to support more intuitive and intelligent interactions between users and systems. Conversational search, an emerging paradigm for next-generation search engines, leverages natural language dialogue to facilitate complex and precise information retrieval, thus attracting significant attention. Unlike traditional keyword-based search engines, conversational search systems enhance user experience by supporting intricate queries, maintaining context over multi-turn interactions, and providing robust information integration and processing capabilities. Key components such as query reformulation, search clarification, conversational retrieval, and response generation work in unison to enable these sophisticated interactions. In this survey, we explore the recent advancements and potential future directions in conversational search, examining the critical modules that constitute a conversational search system. We highlight the integration of LLMs in enhancing these systems and discuss the challenges and opportunities that lie ahead in this dynamic field. Additionally, we provide insights into real-world applications and robust evaluations of current conversational search systems, aiming to guide future research and development in conversational search.</t>
  </si>
  <si>
    <t>10.1145/3759453</t>
  </si>
  <si>
    <t>WOS:001606094200003</t>
  </si>
  <si>
    <t>Huang, SN; Wang, HR; Li, PL; Chen, ZX</t>
  </si>
  <si>
    <t>Huang, Shaonian; Wang, Huanran; Li, Peilin; Chen, Zhixin</t>
  </si>
  <si>
    <t>Document-Level Future Event Prediction Integrating Event Knowledge Graph and LLM Temporal Reasoning</t>
  </si>
  <si>
    <t>future event prediction; event knowledge graph; LLM temporal reasoning; metacognitive theory</t>
  </si>
  <si>
    <t>Predicting future events is crucial for temporal reasoning, providing valuable insights for decision-making across diverse domains. However, the intricate global interactions and temporal-causal relationships at the document level event present significant challenges. This study introduces a novel document-level future event prediction method that integrates an event knowledge graph and a large language model (LLM) reasoning framework based on metacognitive theory. Initially, an event knowledge graph is constructed by extracting event chains from the original document-level event texts. An LLM-based approach is then used to generate diverse and rational positive and negative training samples. Subsequently, a future event reasoning framework based on metacognitive theory is introduced. This framework enhances the model's reasoning capabilities through a cyclic process of task understanding, reasoning strategy planning, strategy execution, and strategy reflection. Experimental results demonstrate that the proposed approach outperforms baseline models. Notably, the incorporation of the event knowledge graph significantly enhances the performance of different reasoning methods, while the proposed reasoning framework achieves superior performance in document-level future event prediction tasks. Furthermore, the interpretability analysis of the prediction results validates the effectiveness of the proposed method. This study advances research on document-level future event prediction, highlighting the critical role of event knowledge graphs and large language models in temporal reasoning. It offers a more sophisticated future event prediction framework for government management departments, facilitating the enhancement of government safety management strategies.</t>
  </si>
  <si>
    <t>10.3390/electronics14193827</t>
  </si>
  <si>
    <t>WOS:001593537200001</t>
  </si>
  <si>
    <t>Omri, S; Abdelkader, M; Hamdi, M</t>
  </si>
  <si>
    <t>Omri, Sihem; Abdelkader, Manel; Hamdi, Mohamed</t>
  </si>
  <si>
    <t>SafetyRAG: Towards Safe Large Language Model-Based Application through Retrieval-Augmented Generation</t>
  </si>
  <si>
    <t>Augmented Generation (RAG); chatbot; prompt injection; jailbreaking; LLM safety; Large Language Model (LLM)</t>
  </si>
  <si>
    <t>Language Model (LLM) agents have proven to perform exceptionally well in a wide range of applications, mainly because of their advanced reasoning, use of external tools and information, use of APIs, and ability to interact with environments. They often use a Retrieval-Augmented Generation (RAG) mechanism as a memory module that retrieves relevant information with similar embedding from knowledge bases. However, recent studies indicate LLM-based applications are highly susceptible to malicious uses such as prompt injections (or jailbreaking). To address this issue, most existing techniques rely on filters for detection and blocking, fine-tuning, and reinforcement learning. However, these methods often necessitate complex and resource-intensive data collection and training procedures. In this work, we propose the SafetyRAG framework, a straightforward solution which utilizes the RAGtechnique to explicitly provide to the LLM some safety facts about unsafe prompts during the generation of its response. This approach employs an external knowledge base of safety facts about various unsafe prompts to enhance the decision-making and safe behavior of an LLM. The solution is evaluated with several LLM models, GPT-3.5-turbo, Llama2-13B, Gemma-7B and Mistral-7B- instruct. The results show a significant improvement in all the models' ability to decline unsafe requests, even with prompt injections. a Programming via Indexing: encoding retrieving user as Fig. Generation based this term retrieving information primary the generate This training different some</t>
  </si>
  <si>
    <t>10.12720/jait.16.2.243-250</t>
  </si>
  <si>
    <t>WOS:001435549200010</t>
  </si>
  <si>
    <t>Kwan, HY; Shell, J; Fahy, C; Yang, SX; Xing, YK</t>
  </si>
  <si>
    <t>Kwan, Ho Yan; Shell, Jethro; Fahy, Conor; Yang, Shengxiang; Xing, Yongkang</t>
  </si>
  <si>
    <t>Integrating Large Language Models into Medication Management in Remote Healthcare: Current Applications, Challenges, and Future Prospects</t>
  </si>
  <si>
    <t>remote healthcare; medication management; LLMs; ethical AI; medication adherence</t>
  </si>
  <si>
    <t>ARTIFICIAL-INTELLIGENCE; TELEMEDICINE; QUALITY</t>
  </si>
  <si>
    <t>The integration of large language models (LLMs) into remote healthcare has the potential to revolutionize medication management by enhancing communication, improving medication adherence, and supporting clinical decision-making. This study aims to explore the role of LLMs in remote medication management, focusing on their impact. This paper comprehensively reviews the existing literature, medical LLM cases, and the commercial applications of LLMs in remote healthcare. It also addresses technical, ethical, and regulatory challenges related to the use of artificial intelligence (AI) in this context. The review methodology includes analyzing studies on LLM applications, comparing their impact, and identifying gaps for future research and development. The review reveals that LLMs have shown significant potential in remote medication management by improving communication between patients and providers, enhancing medication adherence monitoring, and supporting clinical decision-making in medication management. Compared to traditional reminder systems, AI reminder systems have a 14% higher rate in improving adherence rates in pilot studies. However, there are notable challenges, including data privacy concerns, system integration issues, and the ethical dilemmas of AI-driven decisions such as bias and transparency. Overall, this review offers a comprehensive analysis of LLMs in remote medication management, identifying both their transformative potential and the key challenges to be addressed. It provides insights for healthcare providers, policymakers, and researchers on optimizing the use of AI in medication management.</t>
  </si>
  <si>
    <t>APR 10</t>
  </si>
  <si>
    <t>10.3390/systems13040281</t>
  </si>
  <si>
    <t>WOS:001475653700001</t>
  </si>
  <si>
    <t>Pucci, G; Zanzotto, FM; Ranaldi, L</t>
  </si>
  <si>
    <t>Pucci, Giulia; Zanzotto, Fabio Massimo; Ranaldi, Leonardo</t>
  </si>
  <si>
    <t>Animate, or Inanimate, That Is the Question for Large Language Models</t>
  </si>
  <si>
    <t>large language models; computational linguistics; cognitive modeling; animacy</t>
  </si>
  <si>
    <t>GRAMMAR; SYNTAX</t>
  </si>
  <si>
    <t>The cognitive core of human beings is closely connected to the concept of animacy, which significantly influences their memory, vision, and complex language comprehension. While animacy is reflected in language through subtle constraints on verbs and adjectives, it is also acquired and honed through non-linguistic experiences. In the same vein, we suggest that the limited capacity of LLMs to grasp natural language, particularly in relation to animacy, stems from the fact that these models are trained solely on textual data. Hence, the question this paper aims to answer arises: Can LLMs, in their digital wisdom, process animacy in a similar way to what humans would do? We then propose a systematic analysis via prompting approaches. In particular, we probe different LLMs using controlled lexical contrasts (animate vs. inanimate nouns) and narrative contexts in which typically inanimate entities behave as animate. Results reveal that, although LLMs have been trained predominantly on textual data, they exhibit human-like behavior when faced with typical animate and inanimate entities in alignment with earlier studies, specifically on seven LLMs selected from three major families-OpenAI (GPT-3.5, GPT-4), Meta (Llama2 7B, 13B, 70B), and Mistral (Mistral-7B, Mixtral). GPT models generally achieve the most consistent and human-like performance, and in some tasks, such as sentence plausibility and acceptability judgments, even surpass human baselines. Moreover, although to a lesser degree, the other models also assume comparable results. Hence, LLMs can adapt to understand unconventional situations by recognising oddities as animated without needing to interface with unspoken cognitive triggers humans rely on to break down animations.</t>
  </si>
  <si>
    <t>JUN 13</t>
  </si>
  <si>
    <t>10.3390/info16060493</t>
  </si>
  <si>
    <t>WOS:001516038500001</t>
  </si>
  <si>
    <t>Li, Y; Li, YW; Shi, F; Xue, PF; Xu, CX; Hu, LL</t>
  </si>
  <si>
    <t>Li, Ye; Li, Yuwei; Shi, Fan; Xue, Pengfei; Xu, Chengxi; Hu, Luolin</t>
  </si>
  <si>
    <t>Retrieval-Augmented Text-to-CSEQL Generation for Cross-Platform Cyberspace Assets Query</t>
  </si>
  <si>
    <t>cyberspace search engine; Text-to-CSEQL; large language models; retrieval-augmented generation</t>
  </si>
  <si>
    <t>SQL</t>
  </si>
  <si>
    <t>Cyberspace search engines (CSEs) are systems designed to search and index information about cyberspace assets. Effectively mining data across diverse platforms is hindered by the complexity and diversity of different CSE syntaxes. While Text-to-CSEQL offers a promising solution by translating natural language (NL) questions into cyberspace search engine query language (CSEQL), existing prompt-based methods still struggle due to the platform-specific intricacies of CSEQL. To address this limitation, we propose an LLM-based approach leveraging Retrieval-Augmented Generation (RAG). Specifically, to overcome the inability of traditional methods to retrieve relevant syntax fields effectively, we propose a novel hybrid retrieval mechanism combining keyword and dense retrieval, leveraging both field values and their semantic descriptions. Furthermore, we integrate these retrieved fields and the relevant few-shot examples into a redesigned prompt template adapted from the COSTAR framework. For comprehensive evaluation, we construct a Text-to-CSEQL dataset and introduce a new domain-specific metric, field match (FM). Extensive experiments demonstrate our method's ability to adapt to platform-specific characteristics. Compared to prompt-based methods, it achieves an average accuracy improvement of 43.15% when generating CSEQL queries for diverse platforms. Moreover, our method also outperforms techniques designed for single-platform CSEQL generation.</t>
  </si>
  <si>
    <t>AUG 8</t>
  </si>
  <si>
    <t>10.3390/electronics14163164</t>
  </si>
  <si>
    <t>WOS:001557488300001</t>
  </si>
  <si>
    <t>Kaur, J; Patel, S</t>
  </si>
  <si>
    <t>Kaur, Jasleen; Patel, Smit</t>
  </si>
  <si>
    <t>LLM-based stemming for improved Gujarati information retrieval</t>
  </si>
  <si>
    <t>ASLIB JOURNAL OF INFORMATION MANAGEMENT</t>
  </si>
  <si>
    <t>Gujarati stemming; Large language model; Natural language processing; Morphological analysis; Information retrieval; Part-of-speech tagging</t>
  </si>
  <si>
    <t>PurposeStemming is a critical preprocessing phase in information retrieval (IR) and natural language processing (NLP) tasks, aimed at reducing words to their root forms to improve query matching and retrieval performance. While effective stemming algorithms exist for high-resource languages, low-resource languages such as Gujarati lack a robust solution. Existing rule-based, dictionary-based and hybrid stemming techniques for the Gujarati language struggle to handle morphological variations, contextual understanding and out-of-vocabulary words, which limits their effectiveness in search engines and text-processing applications.Design/methodology/approachThis research study proposes two distinct stemming techniques for Gujarati: (1) an IndoWordNet-based method and (2) a novel large language model (LLM)-based approach comprising three variants: word-level (LLM-WL), sentence-level (LLM-SL) and part of speech-sentence-level (LLM-POS-SL). For LLM implementation, we used the GPT-4-0613 model. These methods were evaluated on a curated Gujarati corpus of 20,849 words using standard metrics: precision, recall and F-score. The impact of stemming on IR performance was assessed using Gujarati Wikipedia search queries, with evaluation metrics including mean average precision (MAP) and Precision@10.FindingsThe LLM-POS-SL variant achieved the best results, with an average precision of 96.7%, a recall of 91.95% and an F-score of 94.26%. IR experiments further confirmed that LLM-POS-SL enhances search relevance and ranking with superior MAP and Precision@10.Practical implicationsThese findings underscore the potential of LLM-based stemming in enhancing Gujarati NLP tools, improving the effectiveness of digital search systems. This research advances socio-technical development in regional-language IR and promotes more equitable access to information. Future work will focus on optimizing efficiency, scalability and domain-specific adaptations to further improve stemming accuracy.Originality/valueTo the best of our knowledge, this is the first reported study to leverage an LLM for the stemming task in Gujarati or any other Indian language.</t>
  </si>
  <si>
    <t>2050-3806</t>
  </si>
  <si>
    <t>1758-3748</t>
  </si>
  <si>
    <t>2025 DEC 24</t>
  </si>
  <si>
    <t>10.1108/AJIM-04-2025-0241</t>
  </si>
  <si>
    <t>WOS:001644544800001</t>
  </si>
  <si>
    <t>Weydner-Volkmann, S</t>
  </si>
  <si>
    <t>Weydner-Volkmann, Sebastian</t>
  </si>
  <si>
    <t>Commodification in academic writing: a comparative analysis of two LLM apps</t>
  </si>
  <si>
    <t>Borgmann, Albert; Commodification; Postphenomenology; Large language model; Academic writing; Reflective thinking</t>
  </si>
  <si>
    <t>This paper investigates the impact of Large Language Model (LLM)-assisted writing on reflective thinking, building on existing adaptations of Albert Borgmann's device paradigm to Don Ihde's postphenomenology. Academic writing can facilitate engagement with our beliefs and pre-judgments, making it highly conducive to reflective thinking. However, generative AI tools, such as OpenAI's ChatGPT and Microsoft Word Copilot, may undermine such meaningful engagement as they 'disburden' users of the effort inherent in reflective writing. Still, we fall short when we leave unexamined the kinds of uses each writing app inclines its users to pursue. Despite using the same LLM, a cross-comparison reveals that the user interface (UI) design of ChatGPT and Word Copilot affords distinct forms of interaction: ChatGPT's UI design may, in principle, facilitate reflective engagement through conversational interactions, prompting users to formulate and engage with their beliefs on a given topic. In contrast, Word Copilot emphasizes automated document production, making a similar kind of engaging use unviable. As a conceptual basis for the argument, this paper extends Ihde's history of writing 'technics' and brings it together with recent conceptual developments in postphenomenology by discussing the apps in terms of 'quasi-materiality' of application UIs and the affordances they offer as part of 'multistabilities'. This paper concludes with a call for academic writers to critically assess how their tools mediate academic writing and thinking processes, arguing that choosing a writing tool for academic writing has ceased to be a matter of personal preference and has become one of academic ethos.</t>
  </si>
  <si>
    <t>2025 JUL 4</t>
  </si>
  <si>
    <t>10.1007/s00146-025-02446-z</t>
  </si>
  <si>
    <t>WOS:001522647700001</t>
  </si>
  <si>
    <t>Al-Antari, MA; Salem, S; Raza, M; Elbadawy, AS; Bütün, E; Aydin, AA; Aydogan, M; Ertugrul, B; Talo, M; Gu, YH</t>
  </si>
  <si>
    <t>Al-Antari, Mugahed A.; Salem, Saied; Raza, Mukhlis; Elbadawy, Ahmed S.; Butun, Ertan; Aydin, Ahmet Arif; Aydogan, Murat; Ertugrul, Bilal; Talo, Muhammed; Gu, Yeong Hyeon</t>
  </si>
  <si>
    <t>Evaluating AI-powered predictive solutions for MRI in lumbar spinal stenosis: a systematic review</t>
  </si>
  <si>
    <t>Lumbar spinal stenosis (LSS); LSS prediction; Harmonization; Spinal LSS indices measurements; Explainable artificial intelligence (XAI); Large language models (LLMs)</t>
  </si>
  <si>
    <t>ARTIFICIAL NEURAL-NETWORKS; DEEP LEARNING ALGORITHMS; AIDED DIAGNOSIS SYSTEM; SEMANTIC SEGMENTATION; BOUNDARY DELINEATION; APPEARANCE PYRAMIDS; FORAMINAL STENOSIS; GRADING SYSTEM; LATERAL RECESS; CLASSIFICATION</t>
  </si>
  <si>
    <t>Lumbar spinal stenosis (LSS) involves the narrowing of the spinal canal, leading to compression of the spinal cord and nerves in the lower back. Common causes include injuries, degenerative age-related changes, congenital conditions, and tumors, all of which contribute to back pain. Early diagnosis is critical for symptom management, preventing progression, and preserving quality of life. This study systematically reviews AI-based approaches for predicting LSS using MRI axial and sagittal imaging. The review focuses on various AI tasks: detection, segmentation, classification, hybrid approaches, spinal index measurements (SIM), and explainable AI frameworks. The aim is to highlight current knowledge, identify limitations in existing models, and propose future research directions. Following PRISMA guidelines and the PICO method (Population, Intervention, Comparison, Outcome), the review collects data from databases like PubMed, Web of Science, ScienceDirect, and IEEE Xplore (2005-2024). The Rayyan AI tool is used for duplicate removal and screening. The screening process includes an initial review of titles and abstracts, followed by full-text appraisal. The Meta Quality Appraisal Tool (MetaQAT) assesses the quality of selected articles. Of 1323 records, 97 duplicates were removed. After screening, 895 records were excluded, leaving 331 for full-text review. Among these, 184 articles were excluded for lacking AI relevance. Ultimately, 95 key articles (91 technical papers and 4 reviews) were identified for their contributions to AI-based LSS prediction. This review provides a comprehensive analysis of AI techniques in LSS prediction, guiding future research and advancing understanding in areas like explainable AI and large language models (LLMs).</t>
  </si>
  <si>
    <t>MAY 3</t>
  </si>
  <si>
    <t>10.1007/s10462-025-11185-y</t>
  </si>
  <si>
    <t>WOS:001480703000003</t>
  </si>
  <si>
    <t>Sarkhoosh, MH; Gautam, S; Midoglu, C; Nguyen, T; Held, J; Cioppa, A; Giancola, S; Thambawita, V; Riegler, MA; Halvorsen, P</t>
  </si>
  <si>
    <t>Sarkhoosh, Mehdi Houshmand; Gautam, Sushant; Midoglu, Cise; Nguyen, Thu; Held, Jan; Cioppa, Anthony; Giancola, Silvio; Thambawita, Vajira; Riegler, Michael A.; Halvorsen, Pal</t>
  </si>
  <si>
    <t>Beyond Audio: Enhancing SoccerNet-Echoes with Multimodal Event Extraction Using LLMs</t>
  </si>
  <si>
    <t>INTERNATIONAL JOURNAL OF SEMANTIC COMPUTING</t>
  </si>
  <si>
    <t>Automatic speech recognition; large language models; multimodal learning; sports analytics; SoccerNet</t>
  </si>
  <si>
    <t>In this paper, we present SoccerNet-Echoes, an extension of the SoccerNet dataset which has been curated by augmenting the 550 games in the original dataset with multilingual audio commentary transcriptions, with a pipeline utilizing OpenAI's Whisper models for transcription and Google Translate for translation to English. We demonstrate the potential of SoccerNet-Echoes through several applications. Our experiments reveal that incorporating ASR-generated transcripts as a third modality alongside audio and video can improve the performance of multimodal event detection, with our audio-video-text model achieving a top F1-score of 0.7175. We also introduce a novel framework that leverages Large Language Models (LLMs) to extract both predefined, official events, as well as unscripted, unofficial events directly from the commentary. Our evaluation shows that the Gemini-1.5-Pro model effectively identifies official events from text alone, and that LLM-generated game summaries are more descriptive and accurate when using SoccerNet-Echoes compared to using only structured event data. Surprisingly, our experiments also show that feeding powerful LLMs like Gemini-1.5-Pro with visual data may not improve results compared to their text-only counterpart, but rather degrade performance, for which we analyze the potential reasons. By releasing SoccerNet-Echoes, we provide a resource for the scientific community and offer benchmarks that highlight the current capabilities and limitations of ASR and LLM technologies in the domain of multimodal sports analysis.</t>
  </si>
  <si>
    <t>1793-351X</t>
  </si>
  <si>
    <t>1793-7108</t>
  </si>
  <si>
    <t>10.1142/S1793351X25450035</t>
  </si>
  <si>
    <t>WOS:001626674100001</t>
  </si>
  <si>
    <t>Bernik, A; Radosevic, D; Cep, A</t>
  </si>
  <si>
    <t>Bernik, Andrija; Radosevic, Danijel; Cep, Andrej</t>
  </si>
  <si>
    <t>AI-Powered Learning: Revolutionizing Education and Automated Code Evaluation</t>
  </si>
  <si>
    <t>AI in education; automated grading; programming assessment</t>
  </si>
  <si>
    <t>The paper presents a case study on using artificial intelligence (AI) for preliminary grading of student programming assignments. By integrating our previously introduced learning programming interface Verificator with the Gemini 2.5 large language model via Google AI Studio, C++ student submissions were evaluated automatically and compared with teacher-assigned grades. The results showed moderate to high correlation, although the AI was stricter. The study demonstrates that AI tools can improve grading speed and consistency while highlighting the need for human oversight due to limitations in interpreting non-standard solutions. It also emphasizes ethical considerations such as transparency, bias, and data privacy in educational AI use. A hybrid grading model combining AI efficiency and human judgment is recommended.</t>
  </si>
  <si>
    <t>10.3390/info16111015</t>
  </si>
  <si>
    <t>WOS:001623833900001</t>
  </si>
  <si>
    <t>Hossen, ME; Mahim, SM; Al Hasan, S; Islam, MK; Islam, MS; Khan, S; Alibakhshikenari, M; Parand, P; Miah, MS</t>
  </si>
  <si>
    <t>Hossen, Md Emamul; Mahim, S. M.; Al Hasan, Shakib; Islam, Md Khairul; Islam, Md Shohidul; Khan, Salahuddin; Alibakhshikenari, Mohammad; Parand, Peiman; Miah, Md Sipon</t>
  </si>
  <si>
    <t>Boosting Cervical Cancer Prediction Leveraging a Hybrid FT-Transformer Model</t>
  </si>
  <si>
    <t>Cervical cancer; deep learning; deep learning; FT-transformer; FT-transformer; hybrid model; hybrid model; artificial intelligence; artificial intelligence; artificial intelligence</t>
  </si>
  <si>
    <t>HUMAN-PAPILLOMAVIRUS; PREVENTION</t>
  </si>
  <si>
    <t>Cervical Cancer (CC) remains a significant threat to women's health, despite being largely preventable, and is a leading cause of mortality worldwide. Early and accurate prediction is crucial for timely treatment and improved survival rates, particularly given the diverse risk factors contributing to CC development. To address this critical clinical need, we propose an innovative Hybrid FT-Transformer model that synergistically integrates a Feature Tokenization (FT) Transformer with Depthwise convolutional neural networks and Long Short-Term Memory (LSTM) networks for precise CC prediction. Explainable Artificial Intelligence (XAI) tools, including Local Interpretable Model-agnostic Explanations (LIME) and Shapley Additive Explanations (SHAP), provide insights into the model's decision-making process, aiding in validation by clinicians. Trained on a UCI repository dataset focusing on Hinselmann, Biopsy, and Schiller outcomes, our proposed model achieved outstanding accuracies: 99.09% for Hinselmann, 98.90% for Biopsy, and 98.75% for Schiller, using 10-fold cross-validation. These results highlight the model's superiority over current state-of-the-art approaches, with significant potential to enhance CC screening and early diagnosis, ultimately improving patient outcomes.</t>
  </si>
  <si>
    <t>10.1109/ACCESS.2025.3538566</t>
  </si>
  <si>
    <t>WOS:001422034400044</t>
  </si>
  <si>
    <t>Pang, JZ; Zheng, P; Fan, JM; Liu, TY</t>
  </si>
  <si>
    <t>Pang, Jiazhen; Zheng, Pai; Fan, Junming; Liu, Tianyuan</t>
  </si>
  <si>
    <t>Towards cognition-augmented human-centric assembly: A visual computation perspective</t>
  </si>
  <si>
    <t>Cognitive assistance; Human-centric assembly; Computer vision; Metaverse; Cloud service; Large language model; Brain computer interface</t>
  </si>
  <si>
    <t>PARTS RECOGNITION; SYSTEM; REGISTRATION; SIMULATION; MACHINE; REALITY</t>
  </si>
  <si>
    <t>Human-centric assembly is emerging as a promising paradigm for achieving mass personalization in the context of Industry 5.0, as it fully capitalizes on the advantages of human flexibility with robot assistance. However, in small-batch and highly customized assembly tasks, frequently changes in production procedures pose significant cognition challenges. To address this, leveraging computer vision technology to enhance human cognition becomes a feasible solution. Therefore, this review aims to explore the cognitive characteristics of human beings and classify existing computer vision technologies in a manner that discusses the future development of cognition-augmented human-centric assembly. The concept of cognition-augmented assembly is first proposed based on the brain's functional structure - the frontal, parietal, temporal, and occipital lobes. Corresponding to these brain regions, cognitive issues in spatiality, memory, knowledge, and decision-making are summarized. Recent studies conducted between 2014 and 2023 on visual computation of assembly are categorized into four groups: position registration, multi-layer recognition, contextual perception, and mixed-reality fusion, all aimed at addressing these cognitive challenges. The applications and limitations of current computer vision technology are discussed. Furthermore, considering the rapidly evolving technologies such as the metaverse, cloud services, large language models, and brain-computer interfaces, future trends on computer vision are prospected to augment human cognition corresponding to the cognitive issues.</t>
  </si>
  <si>
    <t>10.1016/j.rcim.2024.102852</t>
  </si>
  <si>
    <t>WOS:001301147400001</t>
  </si>
  <si>
    <t>Atagong, SD; Tonnang, H; Senagi, K; Wamalwa, M; Agboka, KM; Odindi, J</t>
  </si>
  <si>
    <t>Atagong, Salvador D.; Tonnang, Henri; Senagi, Kennedy; Wamalwa, Mark; Agboka, Komi M.; Odindi, John</t>
  </si>
  <si>
    <t>A review on knowledge and information extraction from PDF documents and storage approaches</t>
  </si>
  <si>
    <t>natural language processing; large language models; knowledge base; knowledge extraction; knowledge graphs</t>
  </si>
  <si>
    <t>GRAPH</t>
  </si>
  <si>
    <t>Introduction: Automating the extraction of information from Portable Document Format (PDF) documents represents a major advancement in information extraction, with applications in various domains such as healthcare, law, or biochemistry. However, existing solutions face challenges related to accuracy, domain adaptability, and implementation complexity. Methods: A systematic review of the literature was conducted using the Preferred Reporting Items for Systematic Reviews and Meta-Analyses (PRISMA) methodology to examine approaches and trends in PDF information extraction and storage approaches. Results: The review revealed three dominant methodological categories: rule-based systems, statistical learning models, and neural network-based approaches. Key limitations include the rigidity of rule-based methods, the lack of annotated domain-specific datasets for learning-based approaches, and issues such as hallucinations in large language models. Discussion: To overcome these limitations, a conceptual framework is proposed comprising nine core components: project manager, document manager, document pre-processor, ontology manager, information extractor, annotation engine, question-answering tool, knowledge visualizer, and data exporter. This framework aims to improve the accuracy, adaptability, and usability of PDF information extraction systems.</t>
  </si>
  <si>
    <t>SEP 5</t>
  </si>
  <si>
    <t>10.3389/frai.2025.1466092</t>
  </si>
  <si>
    <t>WOS:001575671100001</t>
  </si>
  <si>
    <t>Leveraging Large Language Models in Tourism: A Comparative Study of the Latest GPT Omni Models and BERT NLP for Customer Review Classification and Sentiment Analysis</t>
  </si>
  <si>
    <t>sentiment analysis; hotel reviews; customer feedback; user-generated content; customer review classification; gpt-4 omni; few-shot learning; decision-making systems; forecasting models; tourism recommendation systems</t>
  </si>
  <si>
    <t>In today's rapidly evolving digital landscape, customer reviews play a crucial role in shaping the reputation and success of hotels. Accurately analyzing and classifying the sentiment of these reviews offers valuable insights into customer satisfaction, enabling businesses to gain a competitive edge. This study undertakes a comparative analysis of traditional natural language processing (NLP) models, such as BERT and advanced large language models (LLMs), specifically GPT-4 omni and GPT-4o mini, both pre- and post-fine-tuning with few-shot learning. By leveraging an extensive dataset of hotel reviews, we evaluate the effectiveness of these models in predicting star ratings based on review content. The findings demonstrate that the GPT-4 omni family significantly outperforms the BERT model, achieving an accuracy of 67%, compared to BERT's 60.6%. GPT-4o, in particular, excelled in accuracy and contextual understanding, showcasing the superiority of advanced LLMs over traditional NLP methods. This research underscores the potential of using sophisticated review evaluation systems in the hospitality industry and positions GPT-4o as a transformative tool for sentiment analysis. It marks a new era in automating and interpreting customer feedback with unprecedented precision.</t>
  </si>
  <si>
    <t>10.3390/info15120792</t>
  </si>
  <si>
    <t>WOS:001384814600001</t>
  </si>
  <si>
    <t>Krishnamurthy, V; Balaji, V</t>
  </si>
  <si>
    <t>Krishnamurthy, Vallidevi; Balaji, Varshini</t>
  </si>
  <si>
    <t>Yours Truly: A Credibility Framework for Effortless LLM-Powered Fact Checking</t>
  </si>
  <si>
    <t>Fake news; Social networking (online); Surveys; Real-time systems; Databases; Voting; Pandemics; COVID-19; Vaccines; Transformers; Fake news detection; few-shot learning; large language models; retrieval augmented generation; vector search</t>
  </si>
  <si>
    <t>In an era where social media portrays subjective realities, discerning truth from propaganda has become increasingly challenging. The proposed system addresses this issue with an end-to-end credibility framework to make fact-checking effortless and intuitive. Recognizing the subjective nature of claims, the system provides a robust method to assess the veracity of social media claims. Twitter, a key platform for public opinion exchange, influences cultural beliefs, political affiliations, and crisis responses. This work offers a pragmatic solution to navigate manipulative claims, reducing the cognitive effort to distinguish fact from fabrication and breaking misinformation chains sooner. Yours Truly uses FactStore, an extensive real-time database of fact-checked claims from Indian and International fact-checking initiatives. This database powers the search function, enabling time-sensitive searches with increased coverage to retrieve relevant context. The system breaks down compound sentences into atomic claims, verifying each with iterative context retrieval. Each claim is further fact-checked with multiple articles using text and semantic search. These matched articles are reranked for relevance using a technique called query-based committee selector. The top-ranked results provide context to an instruction fine-tuned Large Language Model, which infers the truth value of input claims. This approach tackles claims' ambiguity and complexity and returns an interpretable credibility report explaining the inferred truth value. Yours Truly achieves an impressive F1 Score of 94% The framework is easily extensible to verify contents from other social media platforms, as it only relies on text without metadata and effectively handles long-form texts by atomizing compound statements. Yours Truly outperforms contemporary fact-checking systems on multiple misinformation baselines. It generalizes well across various text forms and information domains, demonstrating a high level of automation.</t>
  </si>
  <si>
    <t>10.1109/ACCESS.2024.3520187</t>
  </si>
  <si>
    <t>WOS:001387130900027</t>
  </si>
  <si>
    <t>Castagna, F; Kökciyan, N; On, I; Parsons, S; Sklar, E</t>
  </si>
  <si>
    <t>Castagna, Federico; Kokciyan, Nadin; Sassoon, Isabel; Parsons, Simon; Sklar, Elizabeth</t>
  </si>
  <si>
    <t>Computational Argumentation-based Chatbots: a Survey</t>
  </si>
  <si>
    <t>JOURNAL OF ARTIFICIAL INTELLIGENCE RESEARCH</t>
  </si>
  <si>
    <t>DECISION-MAKING; AGENT; ACCEPTABILITY; INFERENCE; ENGINE; LOGIC; GRAPH</t>
  </si>
  <si>
    <t>Chatbots are conversational software applications designed to interact dialectically with users for a plethora of different purposes. Surprisingly, these colloquial agents have only recently been coupled with computational models of arguments (i.e. computational argumentation), whose aim is to formalise, in a machine-readable format, the ordinary exchange of information that characterises human communications. Chatbots may employ argumentation with different degrees and in a variety of manners. The present survey sifts through the literature to review papers concerning this kind of argumentation-based bot, drawing conclusions about the benefits and drawbacks that this approach entails in comparison with standard chatbots, while also envisaging possible future development and integration with the Transformer-based architecture and state-of-the-art Large Language Models.</t>
  </si>
  <si>
    <t>1076-9757</t>
  </si>
  <si>
    <t>1943-5037</t>
  </si>
  <si>
    <t>WOS:001297675500001</t>
  </si>
  <si>
    <t>Cao, MS; Gai, TT; Wu, J; Chiclana, F; Zhang, Z; Dong, YC; Herrera-Viedma, E; Herrera, F</t>
  </si>
  <si>
    <t>Cao, Mingshuo; Gai, Tiantian; Wu, Jian; Chiclana, Francisco; Zhang, Zhen; Dong, Yucheng; Herrera-Viedma, Enrique; Herrera, Francisco</t>
  </si>
  <si>
    <t>Social network group decision making: Characterization, taxonomy, challenges and future directions from an AI and LLMs perspective</t>
  </si>
  <si>
    <t>Social network group decision making; Consensus; Trust modeling; Large language models; Artificial intelligence</t>
  </si>
  <si>
    <t>CONSENSUS REACHING PROCESS; OPINION DYNAMICS; NONCOOPERATIVE BEHAVIORS; TRUST PROPAGATION; MODEL; MANIPULATION; MANAGEMENT; SEMANTICS; FRAMEWORK; WISDOM</t>
  </si>
  <si>
    <t>In the past decade, social network group decision making (SNGDM) has experienced significant advancements. This breakthrough is largely attributed to the rise of social networks, which provides crucial data support for SNGDM. As a result, it has emerged as a rapidly developing research field within decision sciences, attracting extensive attention and research over the past ten years. SNGDM events involve complex decision making processes with multiple interconnected stakeholders, where the evaluation of alternatives is influenced by network relationships. Since this research has evolved from group decision making (GDM) scenarios, there is currently no clear definition for SNGDM problems. This article aims to address this gap by first providing a clear definition of the SNGDM framework. It describes basic procedures, advantages, and challenges, serving as a foundational portrait of the SNGDM framework. Furthermore, this article offers a macro description of the literature on SNGDM over the past decade based on bibliometric analysis. Solving SNGDM problems effectively is challenging and requires careful consideration of the impact of social networks among decision-makers and the facilitation of consensus between different participants. Therefore, we propose a classification and overview of key elements for SNGDM models based on the existing literature: trust models, internal structure, and consensus mechanism for SNGDM. This article identifies the research challenges in SNGDM and points out the future research directions from two dimensions: first, the key SNGDM methodologies and second, the opportunities from artificial intelligence technology, in particular, combining large language models and multimodal fusion technologies. This look will be analyzed from a double perspective, both from the decision problem and from the technology views.</t>
  </si>
  <si>
    <t>10.1016/j.inffus.2025.103107</t>
  </si>
  <si>
    <t>WOS:001455290000001</t>
  </si>
  <si>
    <t>Han, Y; Lam, JCK; Li, VOK; Cheung, LYL</t>
  </si>
  <si>
    <t>Han, Yang; Lam, Jacqueline C. K.; Li, Victor O. K.; Cheung, Lawrence Y. L.</t>
  </si>
  <si>
    <t>A large language model based data generation framework to improve mild cognitive impairment detection sensitivity</t>
  </si>
  <si>
    <t>DATA &amp; POLICY</t>
  </si>
  <si>
    <t>biases reduction; counterfactual data generation; large language models; linguistic markers-based early-stage disease</t>
  </si>
  <si>
    <t>ALZHEIMERS-DISEASE DETECTION; SPEECH</t>
  </si>
  <si>
    <t>Recent studies utilizing AI-driven speech-based Alzheimer's disease (AD) detection have achieved remarkable success in detecting AD dementia through the analysis of audio and text data. However, detecting AD at an early stage of mild cognitive impairment (MCI), remains a challenging task, due to the lack of sufficient training data and imbalanced diagnostic labels. Motivated by recent advanced developments in Generative AI (GAI) and Large Language Models (LLMs), we propose an LLM-based data generation framework, leveraging prior knowledge encoded in LLMs to generate new data samples. Our novel LLM generation framework introduces two novel data generation strategies, namely, the cross-lingual and the counterfactual data generation, facilitating out-of-distribution learning over new data samples to reduce biases in MCI label prediction due to the systematic underrepresentation of MCI subjects in the AD speech dataset. The results have demonstrated that our proposed framework significantly improves MCI Detection Sensitivity and F1-score on average by a maximum of 38% and 31%, respectively. Furthermore, key speech markers in predicting MCI before and after LLM-based data generation have been identified to enhance our understanding of how the novel data generation approach contributes to the reduction of MCI label prediction biases, shedding new light on speech-based MCI detection under low data resource constraint. Our proposed methodology offers a generalized data generation framework for improving downstream prediction tasks in cases where limited and/or imbalanced data have presented significant challenges to AI-driven health decision-making. Future study can focus on incorporating more datasets and exploiting more acoustic features for speech-based MCI detection. Policy Significance Statement Early-stage detection of Alzheimer's disease (AD) is critical in ensuring timely treatment and improved patient outcomes. However, detecting AD at an early stage, during Mild Cognitive Impairment (MCI), has been challenging due to the lack of training data and imbalanced diagnosis labels. This study leverages prior knowledge encoded in LLMs to generate new data and facilitate out-of-distribution learning, and reduce biases in MCI label prediction due to the systematic underrepresentation of MCI subjects in the AD speech dataset. The results have demonstrated that the proposed methodology significantly improves MCI detection sensitivity, highlighting the potential of LLM-based data generation for improving early-stage AD detection. Our novel LLM-based data generation framework can be used in other disease diagnostic domains where limited and/or imbalanced speech data present the bottlenecks to AI-driven health decision-making, making it an invaluable GAI-driven tool to improve the accuracy, and interpretability of speech-based disease diagnostics and beyond.</t>
  </si>
  <si>
    <t>2632-3249</t>
  </si>
  <si>
    <t>e33</t>
  </si>
  <si>
    <t>10.1017/dap.2025.8</t>
  </si>
  <si>
    <t>WOS:001488970900001</t>
  </si>
  <si>
    <t>Ahmad, A; Vallès, Y; Idaghdour, Y</t>
  </si>
  <si>
    <t>Ahmad, Amar; Valles, Yvonne; Idaghdour, Youssef</t>
  </si>
  <si>
    <t>Bias in AI systems: integrating formal and socio-technical approaches</t>
  </si>
  <si>
    <t>algorithmic bias; fairness in machine learning; ethical AI; responsible AI; bias mitigation; socio-technical systems</t>
  </si>
  <si>
    <t>Artificial Intelligence (AI) systems are increasingly embedded in high-stakes decision-making across domains such as healthcare, finance, criminal justice, and employment. Evidence has been accumulated showing that these systems can reproduce and amplify structural inequities, leading to ethical, social, and technical concerns. In this review, formal mathematical definitions of bias are integrated with socio-technical perspectives to examine its origins, manifestations, and impacts. Bias is categorized into four interrelated families: historical/representational, selection/measurement, algorithmic/optimization, and feedback/emergent, and its operation is illustrated through case studies in facial recognition, large language models, credit scoring, healthcare, employment, and criminal justice. Current mitigation strategies are critically evaluated, including dataset diversification, fairness-aware modeling, post-deployment auditing, regulatory frameworks, and participatory design. 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</si>
  <si>
    <t>10.3389/fdata.2025.1686452</t>
  </si>
  <si>
    <t>WOS:001666488400001</t>
  </si>
  <si>
    <t>Pabon, MAF; Barrios, QKJ; Solano, CSD; Quintero, MCG</t>
  </si>
  <si>
    <t>Pabon, M. Adrian F.; Barrios, Q. Kenneth J.; Solano, C. Samuel D.; Quintero, M. Christian G.</t>
  </si>
  <si>
    <t>NAIA: A Robust Artificial Intelligence Framework for Multi-Role Virtual Academic Assistance</t>
  </si>
  <si>
    <t>artificial intelligence; large language models; virtual assistant; computer vision; digital avatars; human-AI interaction</t>
  </si>
  <si>
    <t>Virtual assistants in academic environments often lack comprehensive multimodal integration and specialized role-based architecture. This paper presents NAIA (Nimble Artificial Intelligence Assistant), a robust artificial intelligence framework designed for multi-role virtual academic assistance through a modular monolithic approach. The system integrates Large Language Models (LLMs), Computer Vision, voice processing, and animated digital avatars within five specialized roles: researcher, receptionist, personal skills trainer, personal assistant, and university guide. NAIA's architecture implements simultaneous voice, vision, and text processing through a three-model LLM system for optimized response quality, Redis-based conversation state management for context-aware interactions, and strategic third-party service integration with OpenAI, Backblaze B2, and SerpAPI. The framework seamlessly connects with the institutional ecosystem through Microsoft Graph API integration, while the frontend delivers immersive experiences via 3D avatar rendering using Ready Player Me and Mixamo. System effectiveness is evaluated through a comprehensive mixed-methods approach involving 30 participants from Universidad del Norte, employing Technology Acceptance Model (TAM2/TAM3) constructs and System Usability Scale (SUS) assessments. Results demonstrate strong user acceptance: 93.3% consider NAIA useful overall, 93.3% find it easy to use and learn, 100% intend to continue using and recommend it, and 90% report confident independent operation. Qualitative analysis reveals high satisfaction with role specialization, intuitive interface design, and institutional integration. The comparative analysis positions NAIA's distinctive contributions through its synthesis of institutional knowledge integration with enhanced multimodal capabilities and specialized role architecture, establishing a comprehensive framework for intelligent human-AI interaction in modern educational environments.</t>
  </si>
  <si>
    <t>10.3390/systems13121091</t>
  </si>
  <si>
    <t>WOS:001647310800001</t>
  </si>
  <si>
    <t>de Curtò, J; de Zarzà, I</t>
  </si>
  <si>
    <t>de Curto, J.; de Zarza, I.</t>
  </si>
  <si>
    <t>LLM-Driven Social Influence for Cooperative Behavior in Multi-Agent Systems</t>
  </si>
  <si>
    <t>Multi-agent systems; Nash equilibrium; Shape; Monitoring; Measurement; Large language models; Adaptation models; Sustainable development; Social networking (online); Feedback loop; large language models; social influence; game theory; NASH equilibrium; rural repopulation</t>
  </si>
  <si>
    <t>This paper presents a novel approach to fostering cooperative behavior in multi-agent systems (MAS) through Large Language Model (LLM)-driven social influence. We propose a theoretical framework where agents' decision-making processes are influenced not through direct action but by subtle, narrative- driven influences disseminated by LLMs. These influences guide agents toward cooperative behaviors, such as rural repopulation, without requiring explicit policy interventions. We introduce a formal model grounded in game theory and social network dynamics, where agents balance the direct benefits of action with the indirect payoffs of LLM-guided influence. Using NASH equilibrium and Evolutionarily Stable Strategies (ESS), we demonstrate how cooperative behaviors emerge even when agents remain inactive but are subtly influenced by LLMs. Our experimental simulations validate the model, showing a strong positive correlation between network centrality and influence propagation (r = 0.969, p &lt; 0.006). Furthermore, temporal analysis reveals that the average influence increases from approximately 0.05-0.06 in the initial steps to 0.08-0.09 in later stages, indicating a cumulative and self-sustaining trend. In addition, the influence values exhibit a near-normal distribution (Shapiro-Wilk test, p = 0.285) and yield a large effect size (Cohen's d = 4.530) when comparing agents with high versus low network centrality. Through visualization techniques and statistical metrics, we demonstrate the effectiveness of the proposed framework and identify promising directions for future research in AI-driven social influence. This study highlights the potential of LLM-driven narratives as a cost-effective, scalable alternative to traditional policy interventions, offering a new paradigm for promoting societal cooperation in areas such as rural repopulation, sustainability, and community development.</t>
  </si>
  <si>
    <t>10.1109/ACCESS.2025.3548451</t>
  </si>
  <si>
    <t>WOS:001445065100045</t>
  </si>
  <si>
    <t>Zhang, HY; Yan, W; Hu, HC; Zhang, XM; Liu, QT; Xia, H; Zhang, YG; Lin, YH</t>
  </si>
  <si>
    <t>Zhang, Haiyang; Yan, Wei; Hu, Huicong; Zhang, Xumei; Liu, Qingtao; Xia, Hong; Zhang, Yingguang; Lin, Yuhao</t>
  </si>
  <si>
    <t>An LLM-based knowledge and function-augmented approach for optimal design of remanufacturing process</t>
  </si>
  <si>
    <t>Optimal design of remanufacturing process (ODRP); Knowledge and function-augmented; Large language models (LLMs); Retrieval augmented generation (RAG); Function learning; Decision-making</t>
  </si>
  <si>
    <t>Remanufacturing that returns used products to a like-new condition, is essential for promoting the circular economy and reducing carbon emissions. The optimal design of remanufacturing process (ODRP), as a knowledge-intensive complex decision-making task, plays a vital role in the success of remanufacturing. However, insufficient utilization of remanufacturing knowledge, and the trade-offs among multi-objectives in decision-making scenarios make ODRP time-consuming and labor-intensive. With the development of nextgeneration artificial intelligence (AI) technologies, large language models (LLMs) provide an important enabling tool for complex decision-making tasks. However, existing LLMs still face significant challenges in ODRP due to a lack of remanufacturing knowledge and computational capabilities. To address this issue, an LLMbased approach augmented with knowledge and function is proposed in this paper. Firstly, based on the establishment of remanufacturing process database, a retrieval augmented generation (RAG)-based knowledgeaugmented strategy is designed to retrieve failure information (e.g., failure form, failure degree, etc.) of returned products through the interaction with LLMs, and generate the feasible remanufacturing schemes. Secondly, a function-augmented mechanism with function learning is also proposed to calculate each objective value and combined assessed value of the generated remanufacturing schemes with LLMs, assisting process designers in designing optimal remanufacturing scheme and process parameters. Finally, the proposed approach is validated using a case study on automobile gearbox remanufacturing. The results indicate that the proposed knowledgeaugmented strategy improves the average accuracy from 65% to 79% when using ChatGLM3-6B as the base LLMs. Additionally, the proposed function-augmented mechanism can calculate the minimum combined assessed value and make more realistic results for ODRP. Meanwhile, the proposed integrated approach provides a solution to knowledge-intensive and complex decision-making tasks, which has a broad application prospect.</t>
  </si>
  <si>
    <t>10.1016/j.aei.2025.103206</t>
  </si>
  <si>
    <t>WOS:001430649400001</t>
  </si>
  <si>
    <t>Khalid, S; Ramzan, S; Iqbal, MM; Raza, A; Smerat, A; Hosseinzadeh, M; Kim, C; Syafrudin, M; Fitriyani, NL</t>
  </si>
  <si>
    <t>Khalid, Sidra; Ramzan, Shabana; Iqbal, Muhammad Munwar; Raza, Ali; Smerat, Aseel; Hosseinzadeh, Mehdi; Kim, Changgyun; Syafrudin, Muhammad; Fitriyani, Norma Latif</t>
  </si>
  <si>
    <t>Tab transformer with meta-ensemble learning approaches for enhanced diabetes prediction</t>
  </si>
  <si>
    <t>Diabetes prediction; Machine learning; Hyperparameter tuning; SMOTE; Ensemble learning; Stacking; Tab transformer</t>
  </si>
  <si>
    <t>MELLITUS</t>
  </si>
  <si>
    <t>Diabetes represents a significant metabolic disorder marked by elevated glucose levels due to suboptimal insulin production or function. Early diagnosis and effective diabetes management are crucial to reducing related health complications. This study introduces a robust approach for predicting diabetes through advanced machine learning methods. Utilizing the diabetes dataset from the University of California Irvine (UCI) machine learning repository, we performed extensive preprocessing to guarantee data quality and integrity. To counteract class imbalance, we employed the synthetic minority over-sampling technique, which improved the representation of minority classes. We explored several machine learning (ML) models, including Random Forest (RF), logistic regression (LR), and K-nearest neighbors (KNN), while optimizing hyperparameters through grid search and randomized search techniques. Additionally, we introduced a stacking ensemble method paired with a tab transformer model, effectively harnessing the advantages of both techniques for efficient handling of tabular data. The outcomes from the stacking and tab transformer models were later aggregated using a meta learner, specifically extreme gradient boosting (XGBoost), to create a robust ensemble model. Our comprehensive methodology yielded an impressive accuracy rate of 99%, significantly outperforming individual models. Unlike previous studies that rely solely on individual models, our approach fills the gap by combining deep learning with ensemble methods to enhance generalization and interpretability in diabetes prediction. We have validated the model's performance using ablation studies and paired statistical significance tests. These results highlight the efficacy of integrating diverse ML strategies to enhance both the accuracy and reliability of diabetes prediction.</t>
  </si>
  <si>
    <t>e3206</t>
  </si>
  <si>
    <t>10.7717/peerj-cs.3206</t>
  </si>
  <si>
    <t>WOS:001591522300001</t>
  </si>
  <si>
    <t>Soomro, SA; Yuhaniz, SS; Dootio, MA; Mujtaba, G; Siddiqui, JA</t>
  </si>
  <si>
    <t>Soomro, Safdar Ali; Yuhaniz, Siti Sophiayati; Dootio, Mazhar Ali; Mujtaba, Ghulam; Siddiqui, Jawaid Ahmed</t>
  </si>
  <si>
    <t>Category-Based Sentiment Analysis of Sindhi News Headlines Using Machine Learning, Deep Learning, and Transformer Models</t>
  </si>
  <si>
    <t>Sindhi news headline; news classification; machine learning; deep learning; explainable AI; Sindhi news headline; news classification; machine learning; deep learning; explainable AI</t>
  </si>
  <si>
    <t>The rapid growth of digital content has made sentiment analysis (SA) an essential tool for understanding public sentiment and classifying textual data. Despite significant progress in natural language processing (NLP), low-resource languages, particularly Sindhi, remain underexplored due to the lack of computational tools and annotated datasets. This study addresses this gap by introducing the Sindhi News Headlines Dataset (SNHD), a novel corpus annotated for both SA and category classification across eight categories: Crime, Economy, Entertainment, Health, Politics, Science &amp; Technology, Social, and Sports. To evaluate the effectiveness of different machine learning (ML), deep learning (DL), and transformer-based approaches, we conduct a comparative analysis of various models on SA and category classification tasks. Furthermore, we leverage Explainable Artificial Intelligence (XAI) techniques, such as Local Interpretable Model-Agnostic Explanations (LIME), to gain insights into model decision-making. Experimental results show that traditional ML models outperform DL and transformer-based models on the SNHD dataset. Specifically, Support Vector Machines with Radial Basis Function (SVM-RBF) achieves the highest performance for SA (0.74 accuracy and weighted F-score), while the Ridge Classifier (RC) delivers the best results for category classification (0.84 accuracy and weighted F-score). Among transformer models, XLM-RoBERTa demonstrates strong performance in category classification (0.82 accuracy and weighted F-score). These findings establish a benchmark for future research in Sindhi NLP and highlight the potential of hybrid approaches in tackling challenges associated with low-resource languages. This work provides a foundational resource for NLP researchers seeking to advance computational methods for Sindhi and similar underrepresented languages.</t>
  </si>
  <si>
    <t>10.1109/ACCESS.2025.3576853</t>
  </si>
  <si>
    <t>WOS:001508113300031</t>
  </si>
  <si>
    <t>Muthumanikandan, V; Ram, S</t>
  </si>
  <si>
    <t>Muthumanikandan, V.; Ram, Santhosh</t>
  </si>
  <si>
    <t>RETRACTED: Visistant: A Conversational Chatbot for Natural Language to Visualizations With Gemini Large Language Models (Retracted article. See vol. 13, pg. 123325, 2025)</t>
  </si>
  <si>
    <t>Article; Retracted Publication</t>
  </si>
  <si>
    <t>Data visualization; Chatbots; Benchmark testing; Data analysis; Codes; Visualization; Libraries; Large language models; Text to video; Chatbot; conversational interactions; Gemini; Langchain; large language models; prompt refining; text-to-visualization</t>
  </si>
  <si>
    <t>The goal of the data visualization field has always been to enable the production of visualizations directly from natural language text. This paper introduces Visistant, an innovative system designed to enhance the capabilities of advanced pre-trained language models, notably Google's Gemini. Visistant facilitates the generation of interactive visualizations from tabular datasets through the use of Plotly and supports conversational interactions in a chatbot-styled manner by employing LangChain to maintain the memory of conversations. Visistant leverages Gemini's code generation capabilities, demonstrating how prompt engineering can effectively lead to accurate end-to-end solutions. Our focus extended to prompt refinement, aiming to optimize the input token length of prompts. Through meticulous evaluation and comparison with existing models, Visistant exhibits superior performance in terms of both accuracy and efficiency. The results indicate that Visistant's approach to converting natural language into detailed visualizations represents a significant advancement in the field of data visualization. The significance of this study lies in its potential to revolutionize data visualization by making it more accessible and user-friendly. By enabling users to generate complex visualizations through simple conversational interactions, Visistant democratizes data analysis, making it accessible to non-experts, which not only saves time but also reduces the barrier to entry for data-driven decision-making. This research addresses a critical gap in the literature by exploring the capabilities of Gemini LLMs for visualization generation, providing a novel solution that combines cutting-edge AI with practical usability.</t>
  </si>
  <si>
    <t>10.1109/ACCESS.2024.3465541</t>
  </si>
  <si>
    <t>WOS:001327313200001</t>
  </si>
  <si>
    <t>Kamboj, P; Kumar, S; Goyal, V</t>
  </si>
  <si>
    <t>Kamboj, Pradeep; Kumar, Shailender; Goyal, Vikram</t>
  </si>
  <si>
    <t>Mitigating Social Bias in Generative AI: A Comprehensive Review</t>
  </si>
  <si>
    <t>Social bias; Fairness; Large language models; Word embedding; Generative AI; Natural language processing</t>
  </si>
  <si>
    <t>DISCRIMINATION; MODELS</t>
  </si>
  <si>
    <t>With the advancement in Artificial Intelligence (AI) technology, events that were once only seen in fiction movies now seem to be happening in real life. Today, we see extensive use of AI models to accomplish a wide range of tasks. These tasks may vary in the severity of their impact on human lives, ranging from mundane tasks like online searching to critical applications like crime rate prediction. One such use case is the application of generative AI models across different verticals. These models, when trained on human-generated data, may carry or even exaggerate several types of social biases present in the data, and their outcomes can adversely impact the socially disadvantaged groups. In this paper, we conduct a comprehensive review of existing state-of-the-art techniques for measuring and mitigating social bias in AI modelling and identify various underlying causes of such biases. We collected research articles through Google Scholar searches using keywords such as 'social bias in AI text generation', 'fairness in language models', and 'bias in large language models'. We set the filter to retrieve articles published between 2016 and 2025. We then selected more than 80 relevant articles with five or more citations, or published in high-impact journals, conferences with category 'A' or higher. We develop a taxonomy of bias-measuring techniques and categorize the existing methods into six major classes. We identify key challenges, including the trade-off between fairness and model utility, generalization across domains, and data acquisition and representation. This paper serves the research community by offering a high-resolution summary of bottlenecks and actionable opportunities at the present state of the art in achieving fairer and more transparent generative AI systems.</t>
  </si>
  <si>
    <t>10.3837/tiis.2025.10.006</t>
  </si>
  <si>
    <t>WOS:001608998600006</t>
  </si>
  <si>
    <t>Bernasconi, E; Redavid, D; Ferilli, S</t>
  </si>
  <si>
    <t>Bernasconi, Eleonora; Redavid, Domenico; Ferilli, Stefano</t>
  </si>
  <si>
    <t>Integrated Survey Classification and Trend Analysis via LLMs: An Ensemble Approach for Robust Literature Synthesis</t>
  </si>
  <si>
    <t>large language models; ensemble learning; literature synthesis; automated survey; trend analysis; multi-domain classification</t>
  </si>
  <si>
    <t>This study proposes a novel, scalable framework for the automated classification and synthesis of survey literature by integrating state-of-the-art Large Language Models (LLMs) with robust ensemble voting techniques. The framework consolidates predictions from three independent models-GPT-4, LLaMA 3.3, and Claude 3-to generate consensus-based classifications, thereby enhancing reliability and mitigating individual model biases. We demonstrate the generalizability of our approach through comprehensive evaluation on two distinct domains: Question Answering (QA) systems and Computer Vision (CV) survey literature, using a dataset of 1154 real papers extracted from arXiv. Comprehensive visual evaluation tools, including distribution charts, heatmaps, confusion matrices, and statistical validation metrics, are employed to rigorously assess model performance and inter-model agreement. The framework incorporates advanced statistical measures, including k-fold cross-validation, Fleiss' kappa for inter-rater reliability, and chi-square tests for independence to validate classification robustness. Extensive experimental evaluations demonstrate that this ensemble approach achieves superior performance compared to individual models, with accuracy improvements of 10.0% over the best single model on QA literature and 10.9% on CV literature. Furthermore, comprehensive cost-benefit analysis reveals that our automated approach reduces manual literature synthesis time by 95% while maintaining high classification accuracy (F1-score: 0.89 for QA, 0.87 for CV), making it a practical solution for large-scale literature analysis. The methodology effectively uncovers emerging research trends and persistent challenges across domains, providing researchers with powerful tools for continuous literature monitoring and informed decision-making in rapidly evolving scientific fields.</t>
  </si>
  <si>
    <t>AUG 27</t>
  </si>
  <si>
    <t>10.3390/electronics14173404</t>
  </si>
  <si>
    <t>WOS:001569643800001</t>
  </si>
  <si>
    <t>Ren, XJ; Li, SH; Jiang, Y</t>
  </si>
  <si>
    <t>Ren, Xiaojun; Li, Shenghao; Jiang, Yang</t>
  </si>
  <si>
    <t>Adaptive Chain-of-Thought Framework for Dynamic Reasoning in Adverse Drug Reaction Extraction and Standardization</t>
  </si>
  <si>
    <t>Cognition; Feature extraction; Standardization; Drugs; Medical diagnostic imaging; Internet of Things; Medical services; Information retrieval; Accuracy; Terminology; Adverse drug reaction (ADR); chain-of-thought (CoT) reasoning; information extraction; large language models (LLMs)</t>
  </si>
  <si>
    <t>Despite advances in supervised information extraction methods and chain-of-thought (CoT)-prompted large language models (LLMs), adverse drug reaction (ADR) extraction and standardization remain challenging-particularly in IoMT-enabled environments-since nonstandard expressions, heterogeneous data sources, and context-dependent causalities often undermine fixed prompts and static templates. We present Adaptive-CoT, a framework that dynamically constructs input-conditioned reasoning pathways via four components: a feature perception module, a meta-reasoning controller, a reasoning strategy pool, and a reasoning execution engine. We evaluate three LLM variants (DeepSeek-R1-Distill-QWen-7B, DeepSeek-R1, and DeepSeek-V3) against a task-generic CoT baseline synthesized from prior designs. Adaptive-CoT improves the majority of metrics, with a few being on par or slightly lower. Among all Adaptive-CoT configurations, DeepSeek-V3 +LP-LLM delivers the best overall performance: drug entity recognition/standardization $F 1=0.960$ /0.960, symptom recognition/standardization $F 1=0.862$ /0.818, and causal relationship mining $F 1=0.825$ ; for causality assessment, it achieves the lowest average error (AE = 1.047), while RP-LLM attains the highest accuracy (Acc = 0.541). Prompt-based strategies are more efficient than modular pipelines on DeepSeek-V3 (13.02-14.72-s average). Representative case studies on heterogeneous clinical texts corroborate applicability. Taken together, these results demonstrate that Adaptive-CoT is a practical, accurate, and efficient solution for ADR extraction and standardization across a wide range of medical scenarios, including IoMT-enabled workflows.</t>
  </si>
  <si>
    <t>10.1109/JIOT.2025.3629943</t>
  </si>
  <si>
    <t>WOS:001649708000008</t>
  </si>
  <si>
    <t>Orchard, T; Tasiemski, L</t>
  </si>
  <si>
    <t>Orchard, Tim; Tasiemski, Leszek</t>
  </si>
  <si>
    <t>The rise of Generative AI and possible effects on the economy</t>
  </si>
  <si>
    <t>ECONOMICS AND BUSINESS REVIEW</t>
  </si>
  <si>
    <t>disruptive technology; artificial intelligence (AI); Large Language Models (LLM); Generative AI; business models</t>
  </si>
  <si>
    <t>The aim of the paper is to analyse the likely implications of Generative AI (GAI) on various aspects of business and the economy. Amid the rapid growth and maturing of Generative AI technologies such as Large Language Models (like ChatGPT by OpenAI) a rapid growth of both immediate and potential applications can be seen. The implications for the economy and industries of this technological shift will be discussed. The foreseeable scenarios for the level and types of adoption that GAI might achieve-from useful analytical tool, invaluable assistant to the white-collar workers of the world to being trusted with a wide array of business and life-critical decision making. Both disruptive and premium service opportunities are foreseen. For instance, general purpose models may provide quality service-such as copywriting-to overserved customers leaving human writers as the premium option. In this context, overserved customers would be those who would be satisfied with a non-human, potentially less creative content. On the other hand highly specialized models-specifically trained in a given domain and with access to proprietary knowledge can possibly provide a premium service over that provided by human experts. It is expected that some jobs will be replaced by new AI applications. However, new workplaces will emerge. Not only the obvious expert-level data scientist roles but also low grade, model supervisors-people training the models, assessing the quality of responses given and handling escalations. Lastly new cybercrime risks emerging from the rise of GAI are discussed.</t>
  </si>
  <si>
    <t>2392-1641</t>
  </si>
  <si>
    <t>2450-0097</t>
  </si>
  <si>
    <t>10.18559/ebr.2023.2.732</t>
  </si>
  <si>
    <t>WOS:001037180500002</t>
  </si>
  <si>
    <t>Deng, YJ; Zhang, Q; Zhou, CH; Gao, LL; Qin, XZ; Lu, H; Wang, JS; Sun, L; Wang, Y; Zou, DW; Xiong, HK; Li, QL</t>
  </si>
  <si>
    <t>Deng, Yingjiao; Zhang, Qing; Zhou, Chunhua; Gao, Lili; Qin, Xianzheng; Lu, Hui; Wang, Jiansheng; Sun, Li; Wang, Yan; Zou, Duowu; Xiong, Hongkai; Li, Qingli</t>
  </si>
  <si>
    <t>Detection-driven two-stage framework for intraoperative ROSE WSI classification</t>
  </si>
  <si>
    <t>Whole slide image analysis; Object detection; Multiple instance learning; Pancreatic solid lesions</t>
  </si>
  <si>
    <t>FOUNDATION MODEL; DIAGNOSIS</t>
  </si>
  <si>
    <t>Background and objective: Solid pancreatic lesions (SPLs) represent one of the most lethal forms of gastrointestinal malignancies, and Rapid on-site evaluation (ROSE) serves as an important component of intraoperative diagnosis. However, efficient and accurate ROSE slide interpretation remains challenging due to the gigapixel scale of whole-slide images, sparse distribution of diagnostically relevant regions, and the need for real-time feedback. Methods: To address challenges, we propose a novel two-stage framework for fast and precise ROSE WSI classification, following the clinical diagnostic workflow of cytopathologists. In the first stage, we design a lightweight Transformer-based object detection network named as RoF DETR, which detects key cell clusters at 5x magnification. To further enhance detection performance, we incorporate domain-specific medical foundation model features and design a multi-scale feature fusion module for effective feature extraction. In the second stage, we design a prototype-guided multiple instance learning network (PG-MIL) based on pseudo-bag augmentation for 20x magnification patch extraction, improving feature discrimination and robustness under class imbalance. Results: For comprehensive evaluation, we establish a dedicated ROSE WSI dataset and a cell cluster detection dataset. Our method achieves an AP@0.5 of 0.482 in cell cluster detection and an AUC of 92.36% in WSI-level classification. Compared to conventional WSI-level classification pipelines, the proposed framework reduces computational overhead by approximately 100x and halves the inference time. Conclusion: The proposed framework provides a scalable and efficient solution for rapid cytological assessment of ROSE slides, showing potential to support real-time intraoperative decision-making in clinical workflows.</t>
  </si>
  <si>
    <t>10.1016/j.cmpb.2025.109084</t>
  </si>
  <si>
    <t>WOS:001592552700001</t>
  </si>
  <si>
    <t>Arpasat, P; Premchaiswadi, W</t>
  </si>
  <si>
    <t>Arpasat, Poohridate; Premchaiswadi, Wichian</t>
  </si>
  <si>
    <t>Large Language Models in a Local Environment for Generative AI-Based Automated Event Log Processing in Process Mining Techniques</t>
  </si>
  <si>
    <t>process mining; event log preprocessing; large language model; Ollama Framework; Artificial Intelligence (AI) local environment; automated data transformation</t>
  </si>
  <si>
    <t>Process mining is vital for enhancing the operational efficiency and supporting strategic decision-making of organizations because it identifies bottlenecks and optimizes workflows. However, its analytical success depends fundamentally on the quality of event logs, and preparing these logs is a highly complex task. This complexity stems from diverse data storage formats across organizational systems, including varied log structures and inconsistent timestamps. Thus, analysts utilize public generative Artificial Intelligence (AI) services for data preparation, which demonstrates functional capabilities within usage limitations. However, the transmission of sensitive data to external servers in public generative AI systems poses data leakage risks. Moreover, manual intervention required in compiling the AI model-exported data is prone to errors and time consuming. Token limit violations in such models also cause service interruptions. To address these challenges, a local generative AI system was developed for automated event log transformation utilizing Ollama Llama 3.1. The system employed Python with the Streamlit framework, Pandas library, and Ollama integration. It thus implemented rule-based format detection algorithms, AI-assisted semantic column mapping, and a data transformation engine that managed complex conversions, including regular expression algorithms for timestamp standardization. This system was tested on real data obtained from a hospital in Thailand (128,917 events from 10,217 cases), during which it processed 4,194 events per second. It transformed complex data formats into standard event logs, which were then imported into a process mining software, Disco. Results indicated that this system addressed data security concerns by establishing automated processes, enabling organizations to leverage the benefits of AI in preparing data for process mining without data leakage risks.</t>
  </si>
  <si>
    <t>10.12720/jait.16.12.1734-1745</t>
  </si>
  <si>
    <t>WOS:001644532700005</t>
  </si>
  <si>
    <t>Arasteh, ST; Lotfinia, M; Bressem, K; Siepmann, R; Adams, L; Ferber, D; Kuhl, C; Kather, JN; Nebelung, S; Truhn, D</t>
  </si>
  <si>
    <t>Arasteh, Soroosh Tayebi; Lotfinia, Mahshad; Bressem, Keno; Siepmann, Robert; Adams, Lisa; Ferber, Dyke; Kuhl, Christiane; Kather, Jakob Nikolas; Nebelung, Sven; Truhn, Daniel</t>
  </si>
  <si>
    <t>RadioRAG: Online Retrieval-Augmented Generation for Radiology Question Answering</t>
  </si>
  <si>
    <t>Retrieval-augmented Generation; Informatics; Computer-aided Diagnosis; Large Language Models</t>
  </si>
  <si>
    <t>Purpose: To evaluate diagnostic accuracy of various large language models (LLMs) when answering radiology-specific questions with and without access to additional online, up-to-date information via retrieval-augmented generation (RAG). Materials and Methods: The authors developed radiology RAG (RadioRAG), an end-to-end framework that retrieves data from authoritative radiologic online sources in real-time. RAG incorporates information retrieval from external sources to supplement the initial prompt, grounding the model's response in relevant information. Using 80 questions from the RSNA Case Collection across radiologic subspecialties and 24 additional expert-curated questions with reference standard answers, LLMs (GPT-3.5-turbo [OpenAI], GPT-4, Mistral 7B, Mixtral 8x7B [Mistral], and Llama3-8B and-70B [Meta]) were prompted with and without RadioRAG in a zero-shot inference scenario (temperature &lt;= 0.1, top-p = 1). RadioRAG retrieved context-specific information from www.radiopaedia.org. Accuracy of LLMs with and without RadioRAG in answering questions from each dataset was assessed. Statistical analyses were performed using bootstrapping while preserving pairing. Additional assessments included comparison of model with human performance and comparison of time required for conventional versus RadioRAG-powered question answering. Results: RadioRAG improved accuracy for some LLMs, including GPT-3.5-turbo (74% [59 of 80] vs 66% [53 of 80], false discovery rate [FDR] = 0.03) and Mixtral 8x7B (76% [61 of 80] vs 65% [52 of 80], FDR = 0.02) on the RSNA radiology question answering (RSNA-RadioQA) dataset, with similar trends in the ExtendedQA dataset. Accuracy exceeded that of a human expert (63% [50 of 80], FDR &lt;= 0.007) for these LLMs, although not for Mistral 7B-instruct-v0.2, Llama3-8B, and Llama3-70B (FDR &gt;= 0.21). RadioRAG reduced hallucinations for all LLMs (rate, 6%-25%). RadioRAG increased estimated response time fourfold. Conclusion: RadioRAG shows potential to improve LLM accuracy and factuality in radiology QA by integrating real-time, domain-specific data.</t>
  </si>
  <si>
    <t>e240476</t>
  </si>
  <si>
    <t>10.1148/ryai.240476</t>
  </si>
  <si>
    <t>WOS:001553736800014</t>
  </si>
  <si>
    <t>Zhu, YH; Brenken, M; Biljecki, F; Zhang, Y</t>
  </si>
  <si>
    <t>Zhu, Yihan; Brenken, Markus; Biljecki, Filip; Zhang, Ye</t>
  </si>
  <si>
    <t>Unveiling the meaning in the image of the city: A novel approach using place reviews and large language models</t>
  </si>
  <si>
    <t>imageability; cognitive map; large language models; natural language processing; online review</t>
  </si>
  <si>
    <t>STREET</t>
  </si>
  <si>
    <t>Kevin Lynch's concept of imageability describes how effectively an environment evokes a mental image in an observer's mind, which consists of three components-identity, structure, and meaning-with the first two being the main components to build Lynch's cognitive map. Although imageability has significantly influenced urban design and planning, and inspired numerous subsequent research, the meaning component has not been clearly studied. The rise of new urban data, particularly the booming availability of reviews of urban spaces on platforms such as TripAdvisor and Google, offers a valuable opportunity to incorporate the meaning into the imageability study. By adapting several open-source algorithms, this research efficiently extracts both objective (e.g. location, number of reviews) and subjective (e.g. ratings, review text) information from the online platform, proposing a novel approach to studying the meaning component through a fine-tuned BERT model. These data and methods enable this research to capture and categorize the meaning component for describing the image of the city, using Singapore as a case study. The results show that: (1) Lynch's cognitive mapping approach could potentially be enhanced by incorporating the meaning into the study of imageability, it could amplify the existing nodes or landmarks, and create new nodes. (2) The proposed meaning patch could add new layers to structure of the city image by representing the shared meanings of multiple places, suggesting the potential to be studied as the sixth element to extend the existing imageability framework, and open new agenda for the future studies.</t>
  </si>
  <si>
    <t>10.1177/23998083251369143</t>
  </si>
  <si>
    <t>WOS:001598619400001</t>
  </si>
  <si>
    <t>Iqbal, U; Lee, LTJ; Rahmanti, AR; Celi, LA; Li, YCJ</t>
  </si>
  <si>
    <t>Iqbal, Usman; Lee, Leon Tsung-Ju; Rahmanti, Annisa Ristya; Celi, Leo Anthony; Li, Yu-Chuan Jack</t>
  </si>
  <si>
    <t>Can large language models provide secondary reliable opinion on treatment options for dermatological diseases?</t>
  </si>
  <si>
    <t>ChatGPT; decision-making support; artificial intelligence; dermatology; large language model; second opinion; medication</t>
  </si>
  <si>
    <t>Objective To investigate the consistency and reliability of medication recommendations provided by ChatGPT for common dermatological conditions, highlighting the potential for ChatGPT to offer second opinions in patient treatment while also delineating possible limitations.Materials and Methods In this mixed-methods study, we used survey questions in April 2023 for drug recommendations generated by ChatGPT with data from secondary databases, that is, Taiwan's National Health Insurance Research Database and an US medical center database, and validated by dermatologists. The methodology included preprocessing queries, executing them multiple times, and evaluating ChatGPT responses against the databases and dermatologists. The ChatGPT-generated responses were analyzed statistically in a disease-drug matrix, considering disease-medication associations (Q-value) and expert evaluation.Results ChatGPT achieved a high 98.87% dermatologist approval rate for common dermatological medication recommendations. We evaluated its drug suggestions using the Q-value, showing that human expert validation agreement surpassed Q-value cutoff-based agreement. Varying cutoff values for disease-medication associations, a cutoff of 3 achieved 95.14% accurate prescriptions, 5 yielded 85.42%, and 10 resulted in 72.92%. While ChatGPT offered accurate drug advice, it occasionally included incorrect ATC codes, leading to issues like incorrect drug use and type, nonexistent codes, repeated errors, and incomplete medication codes.Conclusion ChatGPT provides medication recommendations as a second opinion in dermatology treatment, but its reliability and comprehensiveness need refinement for greater accuracy. In the future, integrating a medical domain-specific knowledge base for training and ongoing optimization will enhance the precision of ChatGPT's results.</t>
  </si>
  <si>
    <t>10.1093/jamia/ocae067</t>
  </si>
  <si>
    <t>WOS:001197188000001</t>
  </si>
  <si>
    <t>Sun, YY; Wen, XR; Zhang, Y; Jin, LJ; Yang, CN; Zhang, QH; Jiang, MC; Xu, ZY; Guo, W; Su, J; Jiang, XR</t>
  </si>
  <si>
    <t>Sun, Yiyao; Wen, Xinran; Zhang, Yan; Jin, Lijun; Yang, Chunna; Zhang, Qianhui; Jiang, Mingchen; Xu, Zhaoyang; Guo, Wei; Su, Juan; Jiang, Xiran</t>
  </si>
  <si>
    <t>Visual-language foundation models in medical imaging: A systematic review and meta-analysis of diagnostic and analytical applications</t>
  </si>
  <si>
    <t>Artificial intelligence; Vision-language; Medical imaging; Meta-analysis</t>
  </si>
  <si>
    <t>BERT</t>
  </si>
  <si>
    <t>Background and objective: Visual-language foundation models (VLMs) have garnered attention for their numerous advantages and significant potential in AI-aided diagnosis and treatment, driving widespread applications in medical tasks. This study analyzes and summarizes the value and prospects of VLMs, highlighting their groundbreaking opportunities in healthcare. Methods: This systematic review and meta-analysis, registered with PROSPERO (CRD42024575746), included studies from PubMed, Embase, Web of Science, and IEEE from inception to December 31, 2024. The inclusion criteria covered state-of-the-art VLM developments and applications in medical imaging. Metrics such as AUC, Dice coefficient, BLEU score, and Accuracy were pooled for tasks like classification, segmentation, report generation, and Visual Question Answering (VQA). Reporting quality and bias were assessed using the QUADAS-AI checklist. Results: A total of 106 eligible studies were identified for this systematic review, of which 94 were included for meta-analysis. The pooled AUC for downstream classification tasks was 0.86 (0.85-0.87); pooled Dice coefficient for segmentation tasks was 0.73 (0.68-0.78); pooled BLEU score for report generation tasks was 0.31 (0.20-0.43); and pooled Acc score for VQA was 0.76 (0.71-0.81). Subgroup analyses were stratified by imaging modalities (radiological, pathological and surface imaging) and publication year (before or after 2023) to explore the heterogeneity within VLM research and to analyze diagnostic performance of the VLMs under different conditions. Conclusions: VLMs based on medical imaging have demonstrated strong performance and significant potential in computer-assisted clinical diagnosis. Stricter reporting standards addressing the unique challenges of VLM research could enhance study quality.</t>
  </si>
  <si>
    <t>10.1016/j.cmpb.2025.108870</t>
  </si>
  <si>
    <t>WOS:001501754500001</t>
  </si>
  <si>
    <t>Asatryan, Z; Birkholz, C; Heinemann, F</t>
  </si>
  <si>
    <t>Asatryan, Zareh; Birkholz, Carlo; Heinemann, Friedrich</t>
  </si>
  <si>
    <t>Evidence-based policy or beauty contest? An LLM-based meta-analysis of EU cohesion policy evaluations</t>
  </si>
  <si>
    <t>INTERNATIONAL TAX AND PUBLIC FINANCE</t>
  </si>
  <si>
    <t>Policy evaluation; EU cohesion policy; Large language model; A11; C45; D83; H43; H54</t>
  </si>
  <si>
    <t>AID-EFFECTIVENESS; PRESSURE</t>
  </si>
  <si>
    <t>Independent and high-quality evaluations of government policies are an important input for designing evidence-based policy. Institutional frictions and lack of incentives to write such evaluations, on the other hand, carry the risk of turning the system into a costly beauty contest. We study one of the most advanced markets of policy evaluations in the world, the evaluations of EU Cohesion Policy interventions by the EU Member States. We use a large language model to quantify the findings of about 2,300 evaluations, and complement this data with our own survey of the evaluation authors. We show that the findings of evaluations are inconsistent with those of the academic literature on the output impacts of Cohesion Policy. Using further variation across Member States, our analysis suggests that the market of evaluations is rather oligopolistic within Member States, that it is very fragmented across the EU, and that there is often a strong involvement of managing authorities in the work of formally independent evaluators. These factors contribute to making the findings of the evaluations overly optimistic (beautiful) risking their relevance for (evidence-based) policy. We conclude by discussing reform options to make the evaluations of EU Cohesion Policy more unbiased and effective.</t>
  </si>
  <si>
    <t>0927-5940</t>
  </si>
  <si>
    <t>1573-6970</t>
  </si>
  <si>
    <t>10.1007/s10797-024-09875-4</t>
  </si>
  <si>
    <t>WOS:001380428300001</t>
  </si>
  <si>
    <t>Onsu, MA; Lohan, P; Kantarci, B</t>
  </si>
  <si>
    <t>Onsu, Murat Arda; Lohan, Poonam; Kantarci, Burak</t>
  </si>
  <si>
    <t>Leveraging Edge Intelligence and LLMs to Advance 6G-Enabled Internet of Automated Defense Vehicles</t>
  </si>
  <si>
    <t>6G mobile communication; Large language models; Decision making; Ultra reliable low latency communication; Real-time systems; Safety; Reliability; Vehicle dynamics; Autonomous vehicles; Optimization; Defense industry</t>
  </si>
  <si>
    <t>The evolution of Artificial Intelligence (AI) and its subset Deep Learning (DL), has profoundly impacted numerous domains, including autonomous driving. The integration of autonomous driving in military settings reduces human casualties and enables precise and safe execution of missions in hazardous environments while allowing for reliable logistics support without the risks associated with fatigue-related errors. However, relying on autonomous driving solely requires an advanced decision-making model that is adaptable and optimum in any situation. Considering the presence of numerous interconnected autonomous vehicles in mission-critical scenarios, Ultra-Reliable Low Latency Communication (URLLC) is vital for ensuring seamless coordination, real-time data exchange, and instantaneous response to dynamic driving environments. The advent of 6G strengthens the Internet of Automated Defense Vehicles (IoADV) concept within the realm of Internet of Military Defense Things (IoMDT) by enabling robust connectivity, crucial for real-time data exchange, advanced navigation, and enhanced safety features through IoADV interactions. On the other hand, a critical advancement in this space is using pre-trained Generative Large Language Models (LLMs) for decision-making and communication optimization for autonomous driving. Hence, this work presents opportunities and challenges with a vision of realizing the full potential of these technologies in critical defense applications, especially through the advancement of IoADV and its role in enhancing autonomous military operations.</t>
  </si>
  <si>
    <t>10.1109/IOTM.001.2400162</t>
  </si>
  <si>
    <t>WOS:001635943200019</t>
  </si>
  <si>
    <t>Zhao, YX; Dong, GH; Duan, RT; Zhu, L; Ying, XM</t>
  </si>
  <si>
    <t>Zhao, Yuxiao; Dong, Guohua; Duan, Runtao; Zhu, Lei; Ying, Xiaomin</t>
  </si>
  <si>
    <t>BrainSeek: A neural-driven deep semantic reasoning framework from functional magnetic resonance imaging signals</t>
  </si>
  <si>
    <t>Embodied intelligence; Semantic reasoning; Functional magnetic resonance imaging neural; decoding; Multimodal alignment; Large language models</t>
  </si>
  <si>
    <t>LANGUAGE</t>
  </si>
  <si>
    <t>While semantic decoding of functional Magnetic Resonance Imaging (fMRI) signals advances human cognition research, current methods struggle to capture high-level inferred semantics-especially reasoning-dependent constructs-limiting their utility for embodied agents' environmental interaction and cognitive decision-making. To address this, we propose BrainSeek, a deep semantic reasoning framework that transcends conventional brain-signal translation paradigms via neurally grounded semantic inference. BrainSeek first establishes cross-modal neural-semantic mapping, projecting fMRI voxel responses into the Sigmoid Loss for Language-Image Pre-training (SigLIP) multimodal semantic space to align neural patterns with semantic representations, enabling embodied environmental perception. Neural features are then integrated into a Large Language Model (LLM) semantic space via the Janus-Pro multimodal reasoning decoder, performing prompt-driven inference to extract high-level cognitive constructs like intentional reasoning and contextual associations for human-robot collaboration. Evaluation results demonstrate that BrainSeek significantly improves semantic decoding accuracy: in stimulus caption decoding, it achieves Metric for Evaluation of Translation with Explicit ORdering (METEOR) 1.191, Recall-Oriented Understudy for Gisting Evaluation (ROUGE-1 and ROUGE-L) scores of 0.242 and 0.223, all surpassing the baseline; in high-order cognitive inference tasks, it attains Bidirectional Encoder Representations from Transformers (BERT)-based Precision, Recall, and F1 Score values all above 0.87. This framework establishes a novel paradigm for semantic reasoning-based decoding and shows promising potential for modeling human cognition in embodied robotics as well as for applications in industrial and healthcare domains. The code is available at https://github.com/zhao0609/BrainSeek</t>
  </si>
  <si>
    <t>10.1016/j.engappai.2025.112740</t>
  </si>
  <si>
    <t>WOS:001599364500005</t>
  </si>
  <si>
    <t>Yin, JQ; Liu, SY; Reshniak, V; Wang, XP; Zhang, GN</t>
  </si>
  <si>
    <t>Yin, Junqi; Liu, Siyan; Reshniak, Viktor; Wang, Xiaoping; Zhang, Guannan</t>
  </si>
  <si>
    <t>A SCALABLE TRANSFORMER MODEL FOR REAL-TIME DECISION MAKING IN NEUTRON SCATTERING EXPERIMENTS</t>
  </si>
  <si>
    <t>JOURNAL OF MACHINE LEARNING FOR MODELING AND COMPUTING</t>
  </si>
  <si>
    <t>temporal fusion transformer; time-of-flight neutron scattering; single-crystal neutron diffraction; high-performance computing</t>
  </si>
  <si>
    <t>BRAGG PEAKS</t>
  </si>
  <si>
    <t>The U.S. Department of Energy's (DOE's) neutron research facilities at Oak Ridge National Laboratory (ORNL), including the High Flux Isotope Reactor (HFIR) and the Spallation Neutron Source (SNS), are a state-of-the-art neutron scattering facility that allows researchers to study the structure and dynamics of materials at the atomic scale. At the SNS, neutrons are measured using the time-of-flight (TOF) technique as they move through a neutron beamline to interact with a sample. Large volumes of neutron scattering data are collected and recorded in neutron event mode. Optimal productivity of the TOF instrument is limited due to the lack of real-time data analysis tools. The large amount of data generated by the experiments can be challenging to process and analyze in real time, particularly for experiments that require rapid feedback and adjustment of experimental parameters. The regular computer/workstation cannot keep up with the experiment speed to provide real-time feedback to adjust experimental parameters, so connecting the supercomputers available to the neutron facility is necessary to achieve real-time data analysis and experiment steering. To address this challenge, we exploit the Frontier supercomputer at Oak Ridge Leadership Computing Facility (OLCF) to train a scalable temporal fusion transformer model for real-time decision making of TOF neutron scattering experimentation. In this paper, we present the results using Frontier to provide the processing power needed to rapidly process and analyze large volumes of single-crystal diffraction data collected at TOPAZ, a neutron time-of-flight Laue single-crystal diffractometer at the SNS.</t>
  </si>
  <si>
    <t>2689-3967</t>
  </si>
  <si>
    <t>2689-3975</t>
  </si>
  <si>
    <t>10.1615/JMachLearnModelComput.2023048607</t>
  </si>
  <si>
    <t>WOS:001467406000004</t>
  </si>
  <si>
    <t>Ke, FC; Wang, WQ; Tan, WC; Du, L; Jin, YN; Huang, YJ; Yin, HZ</t>
  </si>
  <si>
    <t>Ke, Fucai; Wang, Weiqing; Tan, Weicong; Du, Lan; Jin, Yuan; Huang, Yujin; Yin, Hongzhi</t>
  </si>
  <si>
    <t>HiTSKT: A hierarchical transformer model for session-aware knowledge tracing</t>
  </si>
  <si>
    <t>User behaviour modelling; Knowledge tracing; Educational data mining; Learner modelling; Hierarchical transformer</t>
  </si>
  <si>
    <t>RETRIEVAL PRACTICE; MEMORY</t>
  </si>
  <si>
    <t>Knowledge tracing (KT) aims to leverage students' learning histories to estimate their mastery levels on a set of pre-defined skills, based on which the corresponding future performance can be accurately predicted. In practice, a student's learning history comprises answers to sets of massed questions, each known as a session, rather than merely being a sequence of independent answers. Theoretically, within and across these sessions, students' learning dynamics can be very different. Therefore, how to effectively model the dynamics of students' knowledge states within and across the sessions is crucial for handling the KT problem. Most existing KT models treat student's learning records as a single continuing sequence, without capturing the sessional shift of students' knowledge state. To address the above issue, we propose a novel hierarchical transformer model, named HiTSKT, comprises an interaction(-level) encoder to capture the knowledge a student acquires within a session, and a session(-level) encoder to summarize acquired knowledge across the past sessions. To predict an interaction in the current session, a knowledge retriever integrates the summarized past-session knowledge with the previous interactions' information into proper knowledge representations. These representations are then used to compute the student's current knowledge state. Additionally, to model the student's long-term forgetting behaviour across the sessions, a power-law-decay attention mechanism is designed and deployed in the session encoder, allowing it to emphasize more on the recent sessions. Extensive experiments on four public datasets demonstrate that HiTSKT achieves new state-of-the-art performance on all the datasets compared with seven state-of-the-art KT models.</t>
  </si>
  <si>
    <t>JAN 25</t>
  </si>
  <si>
    <t>10.1016/j.knosys.2023.111300</t>
  </si>
  <si>
    <t>WOS:001144496600001</t>
  </si>
  <si>
    <t>Oyekan, J; Turner, C; Bax, M; Graf, E</t>
  </si>
  <si>
    <t>Oyekan, John; Turner, Christopher; Bax, Michael; Graf, Erich</t>
  </si>
  <si>
    <t>From Ontologies to Knowledge Augmented Large Language Models for Automation: A decision-making guidance for achieving human-robot collaboration in Industry 5.0</t>
  </si>
  <si>
    <t>COMPUTERS IN INDUSTRY</t>
  </si>
  <si>
    <t>Language models; Generative pre-trained transformers; Robotics; Manufacturing; Reasoning</t>
  </si>
  <si>
    <t>The rapid advancement of Large Language Models (LLMs) has resulted in interest in their potential applications within manufacturing systems, particularly in the context of Industry 5.0. However, determining when to implement LLMs versus other Natural Language Processing (NLP) techniques, ontologies or knowledge graphs, remains an open question. This paper offers decision-making guidance for selecting the most suitable technique in various industrial contexts, emphasizing human-robot collaboration and resilience in manufacturing. We examine the origins and unique strengths of LLMs, ontologies, and knowledge graphs, assessing their effectiveness across different industrial scenarios based on the number of domains or disciplines required to bring a product from design to manufacture. Through this comparative framework, we explore specific use cases where LLMs could enhance robotics for human-robot collaboration, while underscoring the continued relevance of ontologies and knowledge graphs in low-dependency or resource-constrained sectors. Additionally, we address the practical challenges of deploying these technologies, such as computational cost and interpretability, providing a roadmap for manufacturers to navigate the evolving landscape of Language based AI tools in Industry 5.0. Our findings offer a foundation for informed decision-making, helping industry professionals optimize the use of Language Based models for sustainable, resilient, and human-centric manufacturing. We also propose a Large Knowledge Language Model architecture that offers the potential for transparency and configuration based on complexity of task and computing resources available.</t>
  </si>
  <si>
    <t>0166-3615</t>
  </si>
  <si>
    <t>1872-6194</t>
  </si>
  <si>
    <t>10.1016/j.compind.2025.104329</t>
  </si>
  <si>
    <t>WOS:001534870800001</t>
  </si>
  <si>
    <t>Mo, SB; Teng, XY; Wu, K; Liu, J; Yuan, KX</t>
  </si>
  <si>
    <t>Mo, Shibing; Teng, Xiangyi; Wu, Kai; Liu, Jing; Yuan, Kaixin</t>
  </si>
  <si>
    <t>A Universal Subhypergraph-Assisted Embedding Framework for Both Homogeneous and Heterogeneous Networks</t>
  </si>
  <si>
    <t>Graph neural networks; Representation learning; Attention mechanisms; Training; Foundation models; Data mining; Correlation; Transformers; Topology; Semantics; Node classification; node clustering; graph neural networks; subhypergraph; heterogeneous information network</t>
  </si>
  <si>
    <t>GRAPH CONVOLUTIONAL NETWORKS; INFORMATION</t>
  </si>
  <si>
    <t>In real-world scenarios, most complex systems can be generally modelled as homogenous or heterogenous networks. Therefore, downstream tasks (e.g., node/graph classification, node clustering) based on these two types of graphs become ubiquitous and have drawn considerable attention in recent years. Existing literatures on node classification mainly focus on either homogeneous or heterogeneous graphs, while research on effectively carrying out node classification tasks on both types of graphs simultaneously is still under-exploited. To fill this gap, we propose a universal Graph Neural Network architecture based on Subgraph and Subhypergraph (SS-GNN) with feature-enhanced strategy for node embedding on both homogeneous and heterogeneous graphs. Through construction of subgraph and subhypergraph with same-class nodes, our model can simultaneously deal with homogeneous and heterogeneous graphs. Graph attention modules are especially designed to embed subgraphs of same-class nodes to learn the internal topological structure and local community structure within the original graph. Additionally, to capture high-order features of graph and enhance the embedding representations of nodes, we also utilize hypergraph attention modules to embed subhypergraphs of same-class nodes. Unlike other approaches that rely on pre-defined meta-paths, our model can be readily applied to most real-world applications without requiring any domain knowledge. Finally, we conduct extensive experiments on three homogeneous and three heterogeneous real-world graphs to demonstrate the effectiveness of SS-GNN. The experimental results for node classification and clustering tasks not only show the superior performance of our proposed model compared to state-of-the-art baselines, but also demonstrate its potentially good interpretability for graph analysis. This work may provide some enlightening insights to the study on universality of graph foundation model.</t>
  </si>
  <si>
    <t>10.1109/TKDE.2025.3581963</t>
  </si>
  <si>
    <t>WOS:001547502000017</t>
  </si>
  <si>
    <t>Reason, T; Benbow, E; Langham, J; Gimblett, A; Klijn, SL; Malcolm, B</t>
  </si>
  <si>
    <t>Reason, Tim; Benbow, Emma; Langham, Julia; Gimblett, Andy; Klijn, Sven L.; Malcolm, Bill</t>
  </si>
  <si>
    <t>Artificial Intelligence to Automate Network Meta-Analyses: Four Case Studies to Evaluate the Potential Application of Large Language Models</t>
  </si>
  <si>
    <t>PHARMACOECONOMICS-OPEN</t>
  </si>
  <si>
    <t>HEALTH TECHNOLOGY-ASSESSMENT; MEDICINES</t>
  </si>
  <si>
    <t>Background The emergence of artificial intelligence, capable of human-level performance on some tasks, presents an opportunity to revolutionise development of systematic reviews and network meta-analyses (NMAs). In this pilot study, we aim to assess use of a large-language model (LLM, Generative Pre-trained Transformer 4 [GPT-4]) to automatically extract data from publications, write an R script to conduct an NMA and interpret the results. Methods We considered four case studies involving binary and time-to-event outcomes in two disease areas, for which an NMA had previously been conducted manually. For each case study, a Python script was developed that communicated with the LLM via application programming interface (API) calls. The LLM was prompted to extract relevant data from publications, to create an R script to be used to run the NMA and then to produce a small report describing the analysis. Results The LLM had a &gt; 99% success rate of accurately extracting data across 20 runs for each case study and could generate R scripts that could be run end-to-end without human input. It also produced good quality reports describing the disease area, analysis conducted, results obtained and a correct interpretation of the results. Conclusions This study provides a promising indication of the feasibility of using current generation LLMs to automate data extraction, code generation and NMA result interpretation, which could result in significant time savings and reduce human error. This is provided that routine technical checks are performed, as recommend for human-conducted analyses. Whilst not currently 100% consistent, LLMs are likely to improve with time.</t>
  </si>
  <si>
    <t>2509-4262</t>
  </si>
  <si>
    <t>2509-4254</t>
  </si>
  <si>
    <t>10.1007/s41669-024-00476-9</t>
  </si>
  <si>
    <t>Business &amp; Economics; Health Care Sciences &amp; Services; Pharmacology &amp; Pharmacy</t>
  </si>
  <si>
    <t>WOS:001160660900001</t>
  </si>
  <si>
    <t>Pigac, T</t>
  </si>
  <si>
    <t>Pigac, Tilen</t>
  </si>
  <si>
    <t>Transparency in large language model (LLM)-powered digital human twins: the AI ethics perspective</t>
  </si>
  <si>
    <t>Digital human twins; AI ethics; Transparency; LLM; Data privacy; Personalization</t>
  </si>
  <si>
    <t>CHALLENGES</t>
  </si>
  <si>
    <t>Digital human twins (DHTs), powered by large language models (LLMs), are transforming industries such as healthcare and finance by mimicking human behaviors, preferences, and decision-making processes. While their adoption offers unprecedented personalization and engagement, it also raises significant ethical concerns, particularly regarding transparency. Ensuring users understand how these systems function is critical to fostering trust and accountability. This study explores transparency in LLM-powered DHTs through qualitative analysis of 30 semi-structured interviews with users across diverse sectors. The findings reveal critical challenges, including algorithmic opacity, data privacy vulnerabilities, and threats to user autonomy. Participants consistently expressed a need for clear disclosures about data practices and emphasized the importance of robust ethical safeguards to prevent misuse. The research highlights the tension between achieving transparency and maintaining the seamless functionality of DHT systems. It underscores the risks of oversimplifying algorithmic processes while pointing out the erosion of trust caused by opaque operations. To address these challenges, the study proposes actionable strategies, including tiered transparency models, enhanced regulatory oversight, and user-centric design principles. By bridging ethical principles with practical applications, this research provides a roadmap for fostering responsible AI innovation. It advances the discourse on ethical AI by addressing transparency challenges in LLM-powered DHTs, emphasizing the need for systems that uphold trust, accountability, and user autonomy.</t>
  </si>
  <si>
    <t>2025 OCT 9</t>
  </si>
  <si>
    <t>10.1007/s00146-025-02617-y</t>
  </si>
  <si>
    <t>WOS:001590038300001</t>
  </si>
  <si>
    <t>Astobiza, AM</t>
  </si>
  <si>
    <t>Astobiza, Anibal M.</t>
  </si>
  <si>
    <t>The Geometry of Language: Understanding LLMs in Bioethics</t>
  </si>
  <si>
    <t>JOURNAL OF BIOETHICAL INQUIRY</t>
  </si>
  <si>
    <t>Large Language Models (LLMs); Bioethics; Linguistic ambiguity; Semantic topology; Colexification</t>
  </si>
  <si>
    <t>In this article, I explored the application of large language models (LLMs) in analysing linguistic colexification and ambiguity within bioethical scenarios. By employing word embeddings derived from LLMs, I constructed semantic distance matrices that provide insight into the relationships between key terms in bioethical vignettes. These matrices were used to quantify and visualize the degree of linguistic ambiguity and specificity across different versions of each vignette-those with high colexification (ambiguous language) and those with low colexification (specific language). The approach taken involves encoding words according to their semantic adjacency and representing these relationships geometrically through distance matrices. The resulting matrices reflect the nuanced differences in how concepts are related within bioethical contexts, offering a quantitative method for analysing language use. The study demonstrates that LLMs, by facilitating geometric representations of language, can enhance our understanding of complex ethical dilemmas by systematically addressing linguistic ambiguity. Ultimately, this research contributes to the field of bioethics by providing a computational approach to improving clarity in ethical communication, highlighting the potential of LLMs to inform both ethical decision-making and discourse analysis. LLMs, while not capable of performing speech acts in the full philosophical sense-as human beings do-still serve as powerful tools to analyse and understand bioethical language. This distinction-between performing speech acts and analysing their linguistic features-highlights the unique contribution of LLMs as analytical tools rather than ethical agents.</t>
  </si>
  <si>
    <t>1176-7529</t>
  </si>
  <si>
    <t>1872-4353</t>
  </si>
  <si>
    <t>10.1007/s11673-025-10480-1</t>
  </si>
  <si>
    <t>WOS:001568692400001</t>
  </si>
  <si>
    <t>Tan, KL; Lee, CP; Anbananthen, KSM; Lim, KM</t>
  </si>
  <si>
    <t>Tan, Kian Long; Lee, Chin Poo; Anbananthen, Kalaiarasi Sonai Muthu; Lim, Kian Ming</t>
  </si>
  <si>
    <t>RoBERTa-LSTM: A Hybrid Model for Sentiment Analysis With Transformer and Recurrent Neural Network</t>
  </si>
  <si>
    <t>Sentiment analysis; Social networking (online); Training; Testing; Computational modeling; Analytical models; Blogs; Sentiment; transformer; RoBERTa; long short-term memory; LSTM; recurrent neural network; RNN</t>
  </si>
  <si>
    <t>Due to the rapid development of technology, social media has become more and more common in human daily life. Social media is a platform for people to express their feelings, feedback, and opinions. To understand the sentiment context of the text, sentiment analysis plays the role to determine whether the sentiment of the text is positive, negative, neutral or any other personal feeling. Sentiment analysis is prominent from the perspective of business or politics where it highly impacts the strategic decision making. The challenges of sentiment analysis are attributable to the lexical diversity, imbalanced dataset and long-distance dependencies of the texts. In view of this, a data augmentation technique with GloVe word embedding is leveraged to synthesize more lexically diverse samples by similar word vector replacements. The data augmentation also focuses on the oversampling of the minority classes to mitigate the imbalanced dataset problems. Apart from that, the existing sentiment analysis mostly leverages sequence models to encode the long-distance dependencies. Nevertheless, the sequence models require a longer execution time as the processing is done sequentially. On the other hand, the Transformer models require less computation time with parallelized processing. To that end, this paper proposes a hybrid deep learning method that combines the strengths of sequence model and Transformer model while suppressing the limitations of sequence model. Specifically, the proposed model integrates Robustly optimized BERT approach and Long Short-Term Memory for sentiment analysis. The Robustly optimized BERT approach maps the words into a compact meaningful word embedding space while the Long Short-Term Memory model captures the long-distance contextual semantics effectively. The experimental results demonstrate that the proposed hybrid model outshines the state-of-the-art methods by achieving F1-scores of 93%, 91%, and 90% on IMDb dataset, Twitter US Airline Sentiment dataset, and Sentiment140 dataset, respectively.</t>
  </si>
  <si>
    <t>10.1109/ACCESS.2022.3152828</t>
  </si>
  <si>
    <t>WOS:000764063400001</t>
  </si>
  <si>
    <t>Asadi, GH; Hamzeh, A; Mozafari, N</t>
  </si>
  <si>
    <t>Asadi, G. Hanieh; Hamzeh, Ali; Mozafari, Niloofar</t>
  </si>
  <si>
    <t>Metadata-Free Rumor Detection via LLM-Augmented Reasoning</t>
  </si>
  <si>
    <t>Social networking (online); Adaptation models; Multilingual; Metadata; Cognition; Semantics; Feature extraction; Fake news; Large language models; Transformers; Augmentation; human interpretable; LLM; meta-data free; propagation; rumor</t>
  </si>
  <si>
    <t>Rumor detection in social media is critical for countering the rapid spread of misinformation, especially in dynamic and low-resource settings. In this work, we propose a unified framework that leverages large language models (LLMs) not only for classification but also for semantically enriching the input data through lightweight, class-agnostic augmentation. Unlike prior methods that rely on user metadata, graph-based propagation structures, or external knowledge sources, our approach (MFRD) prompts LLMs to generate useful augments. Two high-level summaries for each event are generated: a discussion narrative distilled from stance-rich user replies, and a propagation analysis inferred from repost patterns and temporal dynamics. These augmentations are integrated into structured event documents that combine source posts, user feedback, and contextual reasoning cues. We evaluate the effectiveness of this enriched input across five modeling paradigms: 1) TF-IDF with a multi-layer perceptron (MLP), 2) frozen transformer encoders with pooling, 3) fine-tuned transformer encoders, 4) prompt-based zero- and few-shot generative LLMs, and 5) an instruction-tuned LLM, which forms the core of our proposed method. Our results show that the integration of LLM-generated augmentations with instruction tuning yields strong and interpretable performance, bridging content, discourse, and temporal signals without reliance on user profiles or external resources.</t>
  </si>
  <si>
    <t>10.1109/ACCESS.2025.3610286</t>
  </si>
  <si>
    <t>WOS:001598805800013</t>
  </si>
  <si>
    <t>Mundlamuri, R; Gunnam, GR; Mysari, NK; Pujuri, J</t>
  </si>
  <si>
    <t>Mundlamuri, Rahul; Gunnam, Ganesh Reddy; Mysari, Nikhil Kumar; Pujuri, Jayakanth</t>
  </si>
  <si>
    <t>The Evolution of AI: From Classical Machine Learning to Modern Large Language Models</t>
  </si>
  <si>
    <t>Artificial intelligence; Machine learning; Large language models; Transformers; Expert systems; Hidden Markov models; Encoding; Training; Neural networks; Deep learning; machine learning; deep learning; reinforcement learning; large language models; neural networks; transformers</t>
  </si>
  <si>
    <t>DEEP NEURAL-NETWORKS; HIDDEN MARKOV-MODELS; TRENDS; FUTURE; GO; CLASSIFICATION; ALGORITHMS; CHALLENGES; HEALTH; SHOGI</t>
  </si>
  <si>
    <t>This paper provides a comprehensive review of the evolution of artificial intelligence from early symbolic, rule-based systems to modern large language models (LLMs) and retrieval-augmented generation (RAG) architectures. Early AI was dominated by symbolic reasoning and expert systems using hand-crafted rules, before a paradigm shift toward data-driven learning occurred with the advent of machine learning, notably the backpropagation algorithm that enabled training of multi-layer neural networks to learn complex tasks. This breakthrough ushered in the deep learning era: convolutional neural networks (CNNs) achieved landmark results in computer vision, recurrent neural networks (RNNs such as LSTM) excelled at sequential data processing, and deep reinforcement learning (RL) systems mastered challenging decision-making tasks. In natural language processing (NLP), distributed word embedding models like Word2Vec and GloVe replaced sparse representations, capturing semantic relationships in vector space. To handle rare and out-of-vocabulary words, subword tokenization techniques such as Byte Pair Encoding (BPE) and WordPiece were introduced. These advances culminated in the Transformer architecture, based on self-attention mechanisms, which now underpins most state-of-the-art LLMs. Transformer-based LLMs, pre-trained on large text corpora, demonstrate advanced capabilities in language generation and understanding. Beyond model architectures, the review highlights how LLMs are augmented with external knowledge via RAG. Retrieval-augmented generation combines an LLM with a vector database of text embeddings, allowing the model to retrieve relevant external information to ground its outputs. This approach significantly improves factual accuracy and relevance, mitigating issues like hallucination, though ensuring complete truthfulness remains challenging. Additional obstacles include the limited context windows of LLMs (on the order of a few thousand tokens) and the computational complexity and latency of inference. The review also examines societal implications of advanced AI, such as bias amplification from training data and other ethical considerations in deployment. Finally, it outlines future directions, including extended context lengths, improved interpretability and alignment, greater efficiency, and neuro-symbolic hybrid approaches, aiming to develop more robust and trustworthy AI systems.</t>
  </si>
  <si>
    <t>10.1109/ACCESS.2025.3621344</t>
  </si>
  <si>
    <t>WOS:001598805800037</t>
  </si>
  <si>
    <t>Rohlfs, C</t>
  </si>
  <si>
    <t>Rohlfs, Chris</t>
  </si>
  <si>
    <t>Generalization in neural networks: A broad survey</t>
  </si>
  <si>
    <t>Literature review; Deep learning; Overfitting; Causality; Domain generalization; Transfer learning; Foundation models; Multimodal; Semantic knowledge; Abstraction; Biologically-inspired</t>
  </si>
  <si>
    <t>DOMAIN GENERALIZATION; REPRESENTATIONS; PREDICTION; KNOWLEDGE; GRAPH; GAME; GO</t>
  </si>
  <si>
    <t>This paper reviews concepts, modeling approaches, and recent findings along a spectrum of different levels of abstraction of neural network models including generalization across (1) Samples, (2) Distributions, (3) Domains, (4) Tasks, (5) Modalities, and (6) Scopes. Strategies for (1) sample generalization from training to test data are discussed, with suggestive evidence presented that, at least for the ImageNet dataset, popular classification models show substantial overfitting. An empirical example and perspectives from statistics highlight how models' (2) distribution generalization can benefit from consideration of causal relationships and counterfactual scenarios. Transfer learning approaches and results for (3) domain generalization are summarized, as is the wealth of domain generalization benchmark datasets available. Recent breakthroughs surveyed in (4) task generalization include few-shot meta-learning approaches and the emergence of transformer-based foundation models such as those used for language processing. Studies performing (5) modality generalization are reviewed, including those that integrate image and text data and that apply a biologically-inspired network across olfactory, visual, and auditory modalities. Higher-level (6) scope generalization results are surveyed, including graph-based approaches to represent symbolic knowledge in networks and attribution strategies for improving networks' explainability. Additionally, concepts from neuroscience are discussed on the modular architecture of brains and the steps by which dopamine-driven conditioning leads to abstract thinking.</t>
  </si>
  <si>
    <t>10.1016/j.neucom.2024.128701</t>
  </si>
  <si>
    <t>WOS:001332480300001</t>
  </si>
  <si>
    <t>Wang, SH; Lin, YL; Jia, YX; Sun, JN; Yang, ZQ</t>
  </si>
  <si>
    <t>Wang, Shuhan; Lin, Yunling; Jia, Yunxi; Sun, Jianing; Yang, Ziqi</t>
  </si>
  <si>
    <t>Unveiling the Multi-Dimensional Spatio-Temporal Fusion Transformer (MDSTFT): A Revolutionary Deep Learning Framework for Enhanced Multi-Variate Time Series Forecasting</t>
  </si>
  <si>
    <t>Time series analysis; Forecasting; Transformers; Predictive models; Encoding; Feature extraction; Deep learning; Spatiotemporal phenomena; Long short term memory; Financial management; Market research; Stock markets; Multi-dimensional spatio-temporal fusion transformer (MDSTFT); long short-term memory networks; attention mechanisms; transformer models; financial market analysis</t>
  </si>
  <si>
    <t>ABSOLUTE ERROR MAE; RMSE</t>
  </si>
  <si>
    <t>This paper introduces the Multi-Dimensional Spatio-Temporal Fusion Transformer (MDSTFT), a state-of-the-art deep learning framework designed to enhance multi-variate time series forecasting. The MDSTFT diverges from traditional models by integrating Convolutional Neural Networks (CNNs), Attention-Enhanced Long Short-Term Memory (LSTM) networks, and advanced Transformer models into a cohesive architecture. This framework intricately captures the spatial-temporal dynamics in complex datasets, significantly improving forecasting accuracy. At its core, MDSTFT employs a multi-dimensional spatio-temporal encoder to meticulously unravel spatial correlations among variables, followed by the dynamic processing of temporal patterns through LSTM networks augmented with a sophisticated attention mechanism. This dual-phase processing is intricately designed to capture the essence of time series data, which is then refined through our novel Fusion Transformer Layers. These layers, incorporating advanced self-attention mechanisms, elevate the model's capacity to discern long-range dependencies and subtle temporal nuances, thus offering a profound understanding of temporal sequences. Evaluated on the Bank Central Asia Stock Historical Price dataset, MDSTFT demonstrates unparalleled forecasting accuracy, significantly outperforming both traditional models and contemporary deep learning approaches. This empirical validation not only highlights MDSTFT's efficacy in financial market forecasting but also its broader applicability across various domains requiring nuanced multi-variate time series analysis. Through integrating multiple deep learning paradigms, MDSTFT not only advances the field of time series forecasting but also sets a new benchmark for predictive analytics, promising enhanced decision-making capabilities in finance, environmental studies, supply chain management, and beyond.</t>
  </si>
  <si>
    <t>10.1109/ACCESS.2024.3444788</t>
  </si>
  <si>
    <t>WOS:001303353000001</t>
  </si>
  <si>
    <t>Zhang, MJ; Shen, XM; Cao, JN; Cui, ZY; Jiang, S</t>
  </si>
  <si>
    <t>Zhang, Mingjin; Shen, Xiaoming; Cao, Jiannong; Cui, Zeyang; Jiang, Shan</t>
  </si>
  <si>
    <t>EdgeShard: Efficient LLM Inference via Collaborative Edge Computing</t>
  </si>
  <si>
    <t>Computational modeling; Cloud computing; Collaboration; Memory management; Servers; Edge computing; Performance evaluation; Bandwidth; Load modeling; Optimization; Cloud-edge-end Collaboration; edge artificial intelligence (AI); edge computing; large language models (LLMs)</t>
  </si>
  <si>
    <t>Large language models (LLMs) have shown great success in content generation and intelligent intelligent decision making for IoT systems. Traditionally, LLMs are deployed on the cloud, incurring prolonged latency, high bandwidth costs, and privacy concerns. More recently, edge computing has been considered promising in addressing such concerns because the edge devices are closer to data sources. However, edge devices are cursed by their limited resources and can hardly afford LLMs. Existing studies address such a limitation by offloading heavy workloads from edge to cloud or compressing LLMs via model quantization. These methods either still rely heavily on the remote cloud or suffer substantial accuracy loss. This work is the first to deploy LLMs on a collaborative edge computing environment, in which edge devices and cloud servers share resources and collaborate to infer LLMs with high efficiency and no accuracy loss. We design EdgeShard, a novel approach to partition a computation-intensive LLM into affordable shards and deploy them on distributed devices. The partition and distribution are nontrivial, considering device heterogeneity, bandwidth limitations, and model complexity. To this end, we formulate an adaptive joint device selection and model partition problem and design an efficient dynamic programming algorithm to optimize the inference latency and throughput. Extensive experiments of the popular Llama2 serial models on a real-world testbed reveal that EdgeShard achieves up to 50% latency reduction and 2x throughput improvement over the state-of-the-art.</t>
  </si>
  <si>
    <t>10.1109/JIOT.2024.3524255</t>
  </si>
  <si>
    <t>WOS:001484711600021</t>
  </si>
  <si>
    <t>Silva, C; Carvalho, I; Ferreira, B; Pinto, JC; Cardoso, A; Oliveira, HG</t>
  </si>
  <si>
    <t>Silva, Catarina; Carvalho, Isabel; Ferreira, Bruno; Pinto, Joao Cabral; Cardoso, Alberto; Goncalo Oliveira, Hugo</t>
  </si>
  <si>
    <t>Twitter and Sentiment Analysis for Wildfire Heat Mapping</t>
  </si>
  <si>
    <t>fire detection; natural language processing; sentiment analysis; volunteered geographic information; wildfire heat maps</t>
  </si>
  <si>
    <t>FIRE</t>
  </si>
  <si>
    <t>Nowadays, automated intelligent systems play an increasingly vital role in aiding decision-making processes across various fields. Firefighting represents a crucial area where accurate information gathering is paramount for efficient resource allocation. Social media platforms as Twitter (or X) have emerged as valuable sources of real-time data, often referred to as 'citizen science', offering additional insights alongside traditional data sources. In this work, we introduce a novel pipeline that leverages Natural Language Processing (NLP) techniques and Twitter data, utilising transformer models to identify and monitor wildfire incidents. Expanding on this approach, we incorporate sentiment analysis to provide deeper insights into public perceptions and emotions related to fire events. Additionally, we present visual representations of geographic data through heat mapping, potentially aiding firefighters in making informed decisions. By integrating advanced NLP techniques with social media data, our approach presents a promising strategy for enhancing wildfire management efforts.</t>
  </si>
  <si>
    <t>e70147</t>
  </si>
  <si>
    <t>10.1111/exsy.70147</t>
  </si>
  <si>
    <t>WOS:001595824100004</t>
  </si>
  <si>
    <t>Qahtan, S; Mourad, N; Alsattar, HA; Zaidan, AA; Zaidan, BB; Pamucar, D; Simic, V; Ding, WP; Yatim, K</t>
  </si>
  <si>
    <t>Qahtan, Sarah; Mourad, Nahia; Alsattar, H. A.; Zaidan, A. A.; Zaidan, B. B.; Pamucar, Dragan; Simic, Vladimir; Ding, Weiping; Yatim, Khaironi</t>
  </si>
  <si>
    <t>Three-way Decision Approach Based on Utility and Dynamic Localization Transformational Procedures within a Circular q-Rung Orthopair Fuzzy Set for Ranking and Grading Large Language Models</t>
  </si>
  <si>
    <t>Circular q-rung orthopair fuzzy sets; Conditional probabilities by opinion scores method; Three-way decisions; Large language models</t>
  </si>
  <si>
    <t>Large language models (LLMs) have made significant advancements in natural language processing (NLP), impacting both academia and industry. Evaluating LLMs is crucial, as these models are developed for multiple NLP tasks. However, no single LLM has successfully fulfilled all tasks simultaneously, creating a research gap. This, in turn, leads to the identification of the most and least effective LLMs in real-world problems, presenting a multi-criteria decision-making (MCDM) challenge due to the diversity of evaluation tasks, task prioritization, data variability, and issues related to ranking and grading with binary data. While the three-way decision (3WD) approach based on MCDM methods can address this, it often leaves uncertainty as an open issue, highlighting a theoretical gap. To address this, the contribution of this study is the development of a new 3WD approach based on utility and dynamic localization transformational procedures within a circular q-rung orthopair fuzzy set (C-q-ROFS) for ranking and grading LLMs. The methodology includes (1) reformulating the fuzzy weighted zero inconsistency-based interrelationship process (FWZICbIP) using C-q-ROFS (C-q-ROFS-FWZICbIP method) to prioritize tasks and address weighting uncertainty; (2) formulating a decision matrix by intersecting LLMs with NLP tasks while applying utility and dynamic localization procedures to handle binary input issues; and (3) reformulating the conditional probabilities by opinion scores (CPOS) method within the C-q-ROFS context (C-q-ROFS-CPOS method) to determine decision thresholds for each LLM. This involves incorporating Bayesian decision theory under C-q-ROFS to establish decision thresholds for all LLMs, thereby enhancing the certainty and effectiveness of the grading process. Based on this, the 3WD approach is developed to offer a robust mechanism for ranking and grading LLMs. Forty LLMs were ranked and graded across 11 NLP tasks, with the findings showing that LLM14 demonstrated high efficacy, ranking in the positive region for nine sigma values, but falling into the boundary region at sigma = 0.05. Sensitivity and comparison analyses were conducted to evaluate the robustness and stability of the methodology.</t>
  </si>
  <si>
    <t>10.1007/s12559-025-10432-2</t>
  </si>
  <si>
    <t>WOS:001439384800001</t>
  </si>
  <si>
    <t>Da, YF; Bossa, MN; Berenguer, AD; Sahli, H</t>
  </si>
  <si>
    <t>Da, Yifei; Bossa, Matias Nicolas; Berenguer, Abel Diaz; Sahli, Hichem</t>
  </si>
  <si>
    <t>Reducing Bias in Sentiment Analysis Models Through Causal Mediation Analysis and Targeted Counterfactual Training</t>
  </si>
  <si>
    <t>BERT; bias; causal mediation analysis; counterfactual training; large language models; sentiment analysis</t>
  </si>
  <si>
    <t>Large language models provide high-accuracy solutions in many natural language processing tasks. In particular, they are used as word embeddings in sentiment analysis models. However, these models pick up on and amplify biases and social stereotypes in the data. Causality theory has recently driven the development of effective algorithms to evaluate and mitigate these biases. Causal mediation was used to detect biases, while counterfactual training was proposed to mitigate bias. In both cases, counterfactual sentences are created by changing an attribute, such as the gender of a noun, for which no change in the model output is expected. Biases are detected and eventually corrected each time the model behavior differs between the original and the counterfactual sentence. We propose a new method for de-biasing sentiment analysis models that leverages the causal mediation analysis to identify the parts of the model primarily responsible for the bias and apply targeted counterfactual training for model de-biasing. We validated the methodology by fine-tuning the pre-trained Bidirectional Encoder Representations from Transformers (BERT) model for sentiment prediction. We trained two sentiment analysis models using the Stanford Sentiment Treebank dataset and the Amazon Product Reviews, respectively, and we evaluated the fairness and prediction performances using the Equity Evaluation Corpus. We illustrated the causal patterns in the network and showed that our method achieves both high fairness and more accurate sentiment analysis than the state-of-the-art approach. Contrary to state-of-the-art models, we achieved a noticeable improvement in gender fairness without hindering sentiment prediction accuracy.</t>
  </si>
  <si>
    <t>10.1109/ACCESS.2024.3353056</t>
  </si>
  <si>
    <t>WOS:001150256200001</t>
  </si>
  <si>
    <t>Tian, YL; Wang, YT; Zhu, Y; Li, X; Zhang, XY; Li, SX; Zhang, HM; Wang, YZ; Zhang, Y; Li, Q; Wang, FY</t>
  </si>
  <si>
    <t>Tian, Yonglin; Wang, Yutong; Zhu, Yin; Li, Xuan; Zhang, Xinyuan; Li, Shixing; Zhang, Hongmei; Wang, Yunzhe; Zhang, Yong; Li, Qiang; Wang, Fei-Yue</t>
  </si>
  <si>
    <t>From Scenarios Engineering to Scenarios Intelligence: Microworld Models for Embodied AI Based on Parallel Intelligence</t>
  </si>
  <si>
    <t>Artificial intelligence; Vehicle dynamics; Organizations; Electronic mail; Market research; Cognition; Biological system modeling; Predictive models; Next generation networking; Libraries; Embodied AI; foundation models; parallel intelligence; scenarios engineering (SE); scenarios intelligence (SI); world models</t>
  </si>
  <si>
    <t>PERCEPTION; SYSTEM</t>
  </si>
  <si>
    <t>Discrete data-based learning approaches have facilitated the wide applications of AI models, especially the notably favored foundation models. However, simply scaling the diversity and quantity of training data is still inadequate to achieve human-like thinking and action competency. A shift of learning paradigm from spatially-temporally discrete, weakly correlated, and noninteractive samples to spatially-temporally continuous, strongly correlated, and interactive scenarios is expected to go beyond the element-level understanding and promote the relation, trend, as well as situation awareness abilities of AI models. This article systematically structures the methodology of scenarios engineering (SE) and proposes a three-layer SE roadmap consisting of the scenarios development layer, scenarios organization layer, and scenarios cognition layer. This roadmap is designed to foster the flexible and efficient construction, organization, and utilization of scenarios. Building on this foundation and parallel intelligence, we introduce the framework of scenarios intelligence (SI) that leverages scenarios as next-generation data resources and microworld models to cultivate embodied AI agents, facilitating the development of descriptive, predictive, and prescriptive intelligence in tasks like perception, decision-making, and action. Experiments are conducted with unmanned aerial vehicles (UAVs) to illustrate the effectiveness of the proposed method in environmental understanding, risk assessment, and active perception.</t>
  </si>
  <si>
    <t>10.1109/TSMC.2025.3618120</t>
  </si>
  <si>
    <t>WOS:001606775600001</t>
  </si>
  <si>
    <t>Alshraideh, M; Al-Dhaqm, A; Alshammari, A; Alshraideh, A; Alshraideh, B; Al-Fayoumi, BM; Nasser, M</t>
  </si>
  <si>
    <t>Alshraideh, Mohammad; Al-Dhaqm, Arafat; Alshammari, Ahmad; Alshraideh, Abedalrahman; Alshraideh, Bahaaldeen; Mohamed Al-Fayoumi, Bayan; Nasser, Maged</t>
  </si>
  <si>
    <t>Advanced Prediction of Recurrent Fragility Fractures Using Large Language Models</t>
  </si>
  <si>
    <t>Biological system modeling; Predictive models; Data models; Osteoporosis; Large language models; History; Biomedical imaging; Artificial intelligence; Prevention and mitigation; Medical services; fractures; large language models; machine learning; recurrent fragility; gamma model; LLaMA model</t>
  </si>
  <si>
    <t>OSTEOPOROTIC FRACTURE; INCREASED RISK; RENAL-FUNCTION; BONE; MANAGEMENT; OLDER; CLASSIFICATION; DIAGNOSIS; WOMEN</t>
  </si>
  <si>
    <t>Recurrent fragility fractures are a big challenge in managing bone health, especially in older adults and people with osteoporosis or related disorders. The prediction of such fractures depends on the overall understanding of various clinical and lifestyle factors contributing to bone fragility. The goal of this analysis is to carry out advanced predictive analytics related to the problem of recurrent fragility fractures concerning several key features about each patient: age, sex, body mass index, physical activities, smoking status, and several others: T-score, along with biomarkers such as Vitamin D3, calcium levels, and the rest. Indeed, the results show that the features most indicative of recurrent fractures include age, T-score, physical activity, and glucocorticoid usage; greater emphasis has been laid on bone mineral density and lifestyle factors. The detailed feature importance analysis showed that age and T-score have the highest important values for fracture recurrence prediction, followed by physical activity and glucocorticoid treatment. The study finds that the proposed models achieved an accuracy of 91.3% (LLaMA 7GB) and 90.2% (Gamma 7GB), with ROC AUC scores of 93% and 92%, respectively. The study highlights that age, T-score, and glucocorticoid usage were the most significant predictive factors. These findings enable improved clinical decision-making for fracture prevention. This model can facilitate the identification of high-risk patients with recurrent fragility fractures by clinicians, thus allowing for targeted intervention and personalized treatment to reduce the risk of future fractures. The findings contribute to the development of fracture prediction, incorporating a wide array of clinical data that, in turn, will improve patient outcomes and their quality of life.</t>
  </si>
  <si>
    <t>10.1109/ACCESS.2025.3562259</t>
  </si>
  <si>
    <t>WOS:001479454700004</t>
  </si>
  <si>
    <t>Ayesha, N; Mujahid, M; Mirdad, AR; Alamri, FS; Khan, AR</t>
  </si>
  <si>
    <t>Ayesha, Noor; Mujahid, Muhammad; Mirdad, Abeer Rashad; Alamri, Faten S.; Khan, Amjad R.</t>
  </si>
  <si>
    <t>Large Language Model in Healthcare for the Prediction of Genetic Variants from Unstructured Text Medicine Data Using Natural Language Processing</t>
  </si>
  <si>
    <t>LLM; unstructured data; genetics; prediction; healthcare; medicine</t>
  </si>
  <si>
    <t>Large language models (LLMs) and natural language processing (NLP) have significant promise to improve efficiency and refine healthcare decision-making and clinical results. Numerous domains, including healthcare, are rapidly adopting LLMs for the classification of biomedical textual data in medical research. The LLM can derive insights from intricate, extensive, unstructured training data. Variants need to be accurately identified and classified to advance genetic research, provide individualized treatment, and assist physicians in making better choices. However, the sophisticated and perplexing language of medical reports is often beyond the capabilities of the devices we now utilize. Such an approach may result in incorrect diagnoses, which could affect a patient's prognosis and course of therapy. This study evaluated the efficacy of the proposed model by looking at publicly accessible textual clinical data. We have cleaned the clinical textual data using various text preprocessing methods, including stemming, tokenization, and stop word removal. The important features are extracted using Bag of Words (BoW) and Term Frequency-Inverse Document Frequency (TFIDF) feature engineering methods. The important motive of this study is to predict the genetic variants based on the clinical evidence using a novel method with minimal error. According to the experimental results, the random forest model achieved 61% accuracy with 67% precision for class 9 using TFIDF features and 63% accuracy and a 73% F1 score for class 9 using Bag of Words features. The accuracy of the proposed BERT (Bidirectional Encoder Representations from Transformers) model was 70% with 5-fold cross-validation and 71% with 10-fold cross-validation. The research results provide a comprehensive overview of current LLM methods in healthcare, benefiting academics as well as professionals in the discipline.</t>
  </si>
  <si>
    <t>10.32604/cmc.2025.063560</t>
  </si>
  <si>
    <t>WOS:001512573200001</t>
  </si>
  <si>
    <t>Wei, QH; Yao, ZX; Cui, Y; Wei, B; Jin, ZZ; Xu, XM</t>
  </si>
  <si>
    <t>Wei, Qiuhong; Yao, Zhengxiong; Cui, Ying; Wei, Bo; Jin, Zhezhen; Xu, Ximing</t>
  </si>
  <si>
    <t>Evaluation of ChatGPT-generated medical responses: A systematic review and meta-analysis</t>
  </si>
  <si>
    <t>ChatGPT; Large language model; Medicine; Evaluation</t>
  </si>
  <si>
    <t>PERFORMANCE; EDUCATION; QUALITY; TOOL</t>
  </si>
  <si>
    <t>Objective: Large language models (LLMs) such as ChatGPT are increasingly explored in medical domains. However, the absence of standard guidelines for performance evaluation has led to methodological inconsistencies. This study aims to summarize the available evidence on evaluating ChatGPT's performance in answering medical questions and provide direction for future research. Methods: An extensive literature search was conducted on June 15, 2023, across ten medical databases. The keyword used was ChatGPT, without restrictions on publication type, language, or date. Studies evaluating ChatGPT's performance in answering medical questions were included. Exclusions comprised review articles, comments, patents, non-medical evaluations of ChatGPT, and preprint studies. Data was extracted on general study characteristics, question sources, conversation processes, assessment metrics, and performance of ChatGPT. An evaluation framework for LLM in medical inquiries was proposed by integrating insights from selected literature. This study is registered with PROSPERO, CRD42023456327. Results: A total of 3520 articles were identified, of which 60 were reviewed and summarized in this paper and 17 were included in the meta-analysis. ChatGPT displayed an overall integrated accuracy of 56 % (95 % CI: 51 %- 60 %, I2 = 87 %) in addressing medical queries. However, the studies varied in question resource, questionasking process, and evaluation metrics. As per our proposed evaluation framework, many studies failed to report methodological details, such as the date of inquiry, version of ChatGPT, and inter-rater consistency. Conclusion: This review reveals ChatGPT's potential in addressing medical inquiries, but the heterogeneity of the study design and insufficient reporting might affect the results' reliability. Our proposed evaluation framework provides insights for the future study design and transparent reporting of LLM in responding to medical questions.</t>
  </si>
  <si>
    <t>10.1016/j.jbi.2024.104620</t>
  </si>
  <si>
    <t>WOS:001218826900001</t>
  </si>
  <si>
    <t>Lawson, JR; Trujillo-falcon, JE; Schultz, DM; Flora, ML; Goebbert, KH; Lyman, SN; Potvin, CK; Stepanek, AJ</t>
  </si>
  <si>
    <t>Lawson, John R.; Trujillo-falcon, Joseph E.; Schultz, David M.; Flora, Montgomery L.; Goebbert, Kevin H.; Lyman, Seth N.; Potvin, Corey K.; Stepanek, Adam J.</t>
  </si>
  <si>
    <t>Pixels and Predictions: Potential of GPT-4V in Meteorological Imagery Analysis and Forecast Communication</t>
  </si>
  <si>
    <t>ARTIFICIAL INTELLIGENCE FOR THE EARTH SYSTEMS</t>
  </si>
  <si>
    <t>Forecasting; Communications/decision making; Artificial intelligence; Emergency preparedness</t>
  </si>
  <si>
    <t>Generative artificial intelligence (AI), such as OpenAI's GPT-4V large-language model, has rapidly entered mainstream discourse. Novel capabilities in image processing and natural-language communication may augment existing forecasting methods. Large language models further display the potential to better communicate weather hazards in a style honed for diverse communities and different languages. This study evaluates GPT-4V's ability to interpret meteorological charts and communicate weather hazards appropriately to the user, despite challenges of hallucinations, where generative AI delivers coherent, confident, but incorrect responses. We assess GPT-4V's competence in two tasks: 1) generating a severe-weather outlook from weather-chart analysis and conducting self-evaluation, revealing an outlook that corresponds well with a Storm Prediction Center human-issued forecast, and 2) producing hazard summaries in Spanish and English from weather charts. Responses in Spanish, however, resemble direct (not idiomatic) translations from English to Spanish, yielding poorly translated summaries that lose critical idiomatic precision required for optimal communication. Our findings advocate for cautious integration of tools like GPT-4V in meteorology, underscoring the necessity of human oversight and development of trustworthy, explainable AI. SIGNIFICANCE STATEMENT: The integration of generative AI such as GPT-4V into meteorology brings opportunity for improving forecast communication of weather hazards across languages and communities. This study evaluates GPT-4V's capacity to create plausible severe-weather outlooks and communicate hazards in both Spanish and English, from inputs of weather charts and texts. The weather outlook generally aligns with a human-generated forecast product but displays vagueness and incorrect reasoning. Further, translations lack idiomatic precision and display poor grasp of cultural nuance. Despite this, GPT-4V shows the potential for advancement in meteorological application. We advocate for cautious AI integration, emphasizing the need for human oversight and reliable, trustworthy output.</t>
  </si>
  <si>
    <t>2769-7525</t>
  </si>
  <si>
    <t>e240029</t>
  </si>
  <si>
    <t>10.1175/AIES-D-24-0029.1</t>
  </si>
  <si>
    <t>Computer Science; Meteorology &amp; Atmospheric Sciences</t>
  </si>
  <si>
    <t>WOS:001627608100001</t>
  </si>
  <si>
    <t>Swapna, M; Devarajan, GG; Ramesh, P; Thangam, S; Alturki, N; Bashir, AK</t>
  </si>
  <si>
    <t>Swapna, Medikonda; Devarajan, Ganesh Gopal; Ramesh, P.; Thangam, S.; Alturki, Nazik; Bashir, Ali Kashif</t>
  </si>
  <si>
    <t>Human-Centered Explainable Multimodal AI for Personalized Healthcare Diagnosis in Aging Populations</t>
  </si>
  <si>
    <t>Breast cancer; Older adults; Medical services; Feature extraction; Artificial intelligence; Accuracy; Medical diagnostic imaging; Aging; Deep learning; Imaging; Data fusion; elderly disease; feature selection; large language model (LLM); multimodal data</t>
  </si>
  <si>
    <t>With the growing availability of multimodal health data including patient behavior signals, clinical text, and medical images, AI systems have an increasing potential to support early disease detection and decision-making in aging populations. As healthcare systems evolve into complex socio-technical environments, integrating explainable AI with human-centered design is essential to improve transparency, trust, and adoption. In this study, we propose a multimodal human-centered deep learning framework (MDLHC) to support breast cancer diagnosis by integrating patient data, imaging, and explainable attribution (XAI) methods. The framework is designed with the social and cognitive needs of elderly patients and clinicians in mind and uses demographic data and mammography images for personalized diagnostics. To bridge structured and unstructured data, we incorporate large language models (LLMs) for natural language alignment and summarization of clinical insights. For improved image understanding, a CNN-based residual integrated attention (RIAC) module is applied for noise reduction, followed by optimized feature selection using evolutionary PSO with Laplacian centrality (EPSO-LC). Classification is performed via a deep backpropagation CNN (DL-BP-CNN), enhanced with two explainability modules: ensemble random SHAP (ERS) and submodular selection-based LIME (SMS-LIME) for both localized and global transparency. This framework contributes to the development of a transparent, accurate, and personalized AI system that aligns with the scope of computational social systems in healthcare care, particularly for aging populations that require reliable diagnostic support.</t>
  </si>
  <si>
    <t>2025 NOV 27</t>
  </si>
  <si>
    <t>10.1109/TCSS.2025.3623200</t>
  </si>
  <si>
    <t>WOS:001627698800001</t>
  </si>
  <si>
    <t>Zahid, IA; Joudar, SS; Albahri, AS; Albahri, OS; Alamoodi, AH; Santamaría, J; Alzubaidi, L</t>
  </si>
  <si>
    <t>Zahid, Idrees A.; Joudar, Shahad Sabbar; Albahri, A. S.; Albahri, O. S.; Alamoodi, A. H.; Santamaria, Jose; Alzubaidi, Laith</t>
  </si>
  <si>
    <t>Unmasking large language models by means of OpenAI GPT-4 and Google AI: A deep instruction-based analysis</t>
  </si>
  <si>
    <t>OpenAI GPT-4; Google AI; Instruction-based analysis; Sarcasm detection; Deception avoidance; Transformers</t>
  </si>
  <si>
    <t>ARTIFICIAL-INTELLIGENCE; CHALLENGES</t>
  </si>
  <si>
    <t>Large Language Models (LLMs) have become a hot topic in AI due to their ability to mimic human conversation. This study compares the open artificial intelligence generative pretrained transformer-4 (GPT-4) model, based on the (GPT), and Google's artificial intelligence (AI), which is based on the Bidirectional Encoder Representations from Transformers (BERT) framework in terms of the defined capabilities and the built-in architecture. Both LLMs are prominent in AI applications. First, eight different capabilities were identified to evaluate these models, i.e. translation accuracy, text generation, factuality, creativity, intellect, deception avoidance, sentiment classification, and sarcasm detection. Next, each capability was assessed using instructions. Additionally, a categorized LLM evaluation system has been developed by means of using ten research questions per category based on this paper's main contributions from a prompt engineering perspective. It should be highlighted that GPT-4 and Google AI successfully answered 85 % and 68,7 % of the study prompts, respectively. It has been noted that GPT-4 better understands prompts than Google AI, even with verbal flaws, and tolerates grammatical errors. Moreover, the GPT-4 based approach was more precise, accurate, and succinct than Google AI, which was sometimes verbose and less realistic. While GPT-4 beats Google AI in terms of translation accuracy, text generation, factuality, intellectuality, creativity, and deception avoidance, Google AI outperforms the former when considering sarcasm detection. Both sentiment classification models did work properly. More importantly, a human panel of judges was used to assess and evaluate the model comparisons. Statistical analysis of the judges' ratings revealed more robust results based on examining the specific uses, limitations, and expectations of both GPT-4 and Google AI-based approaches. Finally, the two approaches' transformers, parameter sizes, and attention mechanisms have been examined.</t>
  </si>
  <si>
    <t>10.1016/j.iswa.2024.200431</t>
  </si>
  <si>
    <t>WOS:001311284900001</t>
  </si>
  <si>
    <t>Khan, ND; Khan, JA; Li, JQ; Ullah, T; Zhao, Q</t>
  </si>
  <si>
    <t>Khan, Nek Dil; Khan, Javed Ali; Li, Jianqiang; Ullah, Tahir; Zhao, Qing</t>
  </si>
  <si>
    <t>Leveraging Large Language Model ChatGPT for enhanced understanding of end-user emotions in social media feedbacks</t>
  </si>
  <si>
    <t>Data-driven requirements engineering; Generative Artificial Intelligence; Sentiment Analysis; Large Language Models; Software evolution; ChatGPT</t>
  </si>
  <si>
    <t>SENTIMENT ANALYSIS; PRODUCT REVIEWS; RATIONALE</t>
  </si>
  <si>
    <t>For software evolution, user feedback has become a meaningful way to improve applications. Recent studies show a significant increase in analyzing end-user feedback from various social media platforms for software evolution. However, less attention has been given to the end-user feedback for low-rating software applications. Also, such approaches are developed mainly on the understanding of human annotators who might have subconsciously tried fora second guess, questioning the validity of the methods. For this purpose, we proposed an approach that analyzes end-user feedback for low-rating applications to identify the end-user opinion types associated with negative reviews (an issue or bug). Also, we utilized Generative Artificial Intelligence (AI), i.e., ChatGPT, as an annotator and negotiator when preparing a truth set for the deep learning (DL) classifiers to identify end-user emotion. For the proposed approach, we first used the ChatGPT Application Programming Interface (API) to identify negative end-user feedback by processing 71853 reviews collected from 45 apps in the Amazon store. Next, a novel grounded theory is developed by manually processing end-user negative feedback to identify frequently associated emotion types, including anger, confusion, disgust, distrust, disappointment, fear, frustration, and sadness. Next, two datasets were developed, one with human annotators using a content analysis approach and the other using ChatGPT API with the identified emotion types. Next, another round is conducted with ChatGPT to negotiate over the conflicts with the human-annotated dataset, resulting in a conflict-free emotion detection dataset. Finally, various DL classifiers, including LSTM, BILSTM, CNN, RNN, GRU, BiGRU and BiRNN, are employed to identify their efficacy in detecting end-users emotions by preprocessing the input data, applying feature engineering, balancing the data set, and then training and testing them using a cross-validation approach. We obtained an average accuracy of 94%, 94%, 93%, 92%, 91%, 91%, and 85%, with LSTM, BILSTM, RNN, CNN, GRU, BiGRU and BiRNN, respectively, showing improved results with the truth set curated with human and ChatGPT. Using ChatGPT as an annotator and negotiator can help automate and validate the annotation process, resulting in better DL performances.</t>
  </si>
  <si>
    <t>10.1016/j.eswa.2024.125524</t>
  </si>
  <si>
    <t>WOS:001338984800001</t>
  </si>
  <si>
    <t>Li, WY; Liu, WY; Deng, MY; Liu, X; Feng, LB</t>
  </si>
  <si>
    <t>Li, Wenyi; Liu, Wenyu; Deng, Mengya; Liu, Xin; Feng, Lingbing</t>
  </si>
  <si>
    <t>The impact of large language models on accounting and future application scenarios</t>
  </si>
  <si>
    <t>JOURNAL OF ACCOUNTING LITERATURE</t>
  </si>
  <si>
    <t>Large language models; Impact on accounting; Financial analysis and forecasting; Risk management; Future application scenarios</t>
  </si>
  <si>
    <t>CHATGPT; AI</t>
  </si>
  <si>
    <t>Purpose - 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 Design/methodology/approach - 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applications in accounting. Findings - The study reveals that LLMs significantly enhance efficiency, transparency and innovation in accounting by automating processes like financial reporting, ESG disclosure and risk management. They enable advanced applications such as intelligent knowledge bases, budget optimization and automated contract management. However, challenges remain, including the need for high-quality data, domain-specific model training, interdisciplinary talent development and robust data security measures. The findings underscore LLMs' potential to transform accounting practices while emphasizing the importance of theoretical frameworks and strategic planning to address these challenges and fully realize their benefits in driving industry progress and sustainability. Practical implications - The study highlights practical pathways for integrating LLMs into accounting, emphasizing their potential to automate processes, enhance decision-making and improve operational efficiency. Organizations can leverage LLMs for tasks such as financial reporting, ESG analysis and risk management, reducing manual effort and increasing accuracy. Practical implications include the need for targeted training of LLMs in accounting-specific contexts, robust data governance to ensure quality and security and developing interdisciplinary skills among accounting professionals. By addressing these areas, organizations can harness LLMs to drive innovation, streamline operations and achieve sustainable growth in a rapidly evolving business environment. Originality/value - This study provides a comprehensive and systematic analysis of the transformative impact of LLMs on accounting, addressing gaps in fragmented research and limited practical insights. It uniquely integrates theoretical perspectives with practical applications, offering a structured framework for understanding LLMs' role across multiple accounting domains. By identifying key challenges and proposing actionable strategies, the paper delivers original value to both researchers and practitioners, fostering innovation and guiding the integration of LLMs into accounting practices. Its forward-looking approach offers a valuable resource for advancing knowledge and shaping the future of accounting in the digital age.</t>
  </si>
  <si>
    <t>0737-4607</t>
  </si>
  <si>
    <t>2452-1469</t>
  </si>
  <si>
    <t>10.1108/JAL-12-2024-0357</t>
  </si>
  <si>
    <t>WOS:001483668600001</t>
  </si>
  <si>
    <t>Xu, DW; Qiao, EW; Gu, TC; Fu, HD; Sun, CJ; Guo, HF; Liu, YQ</t>
  </si>
  <si>
    <t>Xu, Dongwei; Qiao, Enwen; Gu, Tongcheng; Fu, Hongda; Sun, Chengju; Guo, Haifeng; Liu, Yuqing</t>
  </si>
  <si>
    <t>LEAD: LLM-enhanced deep reinforcement learning for stable decision-making in critical autonomous driving scenarios</t>
  </si>
  <si>
    <t>Vehicle control; Autonomous driving; Large language model; Deep reinforcement learning</t>
  </si>
  <si>
    <t>Large Language Models (LLMs) have demonstrated significant potential in addressing decision-making problems in the field of autonomous driving due to their strong reasoning capabilities. However, deploying LLMs in real-world driving scenarios often encounters challenges such as high computational requirements, elevated costs, and increased latency. On the other hand, Deep Reinforcement Learning (DRL) exhibits strong adaptability to decision-making tasks in autonomous driving with a relatively smaller parameter scale. Nevertheless, DRL agents often suffer from low exploration efficiency and high sensitivity to parameter variations. To address the above issues, we propose an LLM-Enhanced Autonomous Driving (LEAD) training framework, which integrates a high-level agent based on LLMs into the training process of DRL models, effectively improving the policy learning efficiency and generalization capability of DRL models. During the early stage of training, a dynamic intervention mechanism is introduced to identify key decision points within the DRL model, and a predefined expert guidance algorithm is utilized to integrate high-level decision strategies from LLMs into these critical nodes. During the later stage of training, the DRL model transitions into an autonomous optimization phase, where the agent, enhanced with LLM priors, continuously interacts with the environment to further refine the policy network, ultimately surpassing the performance of the LLM-based agent. Experimental results demonstrate that the LEAD-PPO model, built upon the proposed framework, reduces collision rates by 49.49 % and 59.4 % in low-density and high-density scenarios, respectively, during training compared to the baseline model. In the testing phase, the DRL model optimized through LEAD achieves task completion rates that are 9.60 %, 35.94 %, and 65.63 % higher than those of the baseline model in simple, moderate, and difficult scenarios, respectively. Overall, the proposed LEAD framework significantly improves the robustness, sample efficiency, and generalization ability of DRL models.</t>
  </si>
  <si>
    <t>DEC 7</t>
  </si>
  <si>
    <t>10.1016/j.neucom.2025.131619</t>
  </si>
  <si>
    <t>WOS:001585605700001</t>
  </si>
  <si>
    <t>Adhikari, S; Kumbhakar, D; Indra, N; Karforma, S</t>
  </si>
  <si>
    <t>Doshi, R; Dadhich, M; Poddar, S; Hiran, KK</t>
  </si>
  <si>
    <t>Adhikari, Subhajit; Kumbhakar, Dulal; Indra, Nabanita; Karforma, Sunil</t>
  </si>
  <si>
    <t>Impact of Generative AI in Education 2030</t>
  </si>
  <si>
    <t>INTEGRATING GENERATIVE AI IN EDUCATION TO ACHIEVE SUSTAINABLE DEVELOPMENT GOALS</t>
  </si>
  <si>
    <t>Advances in Educational Technologies and Instructional Design Book Series</t>
  </si>
  <si>
    <t>Article; Book Chapter</t>
  </si>
  <si>
    <t>This book chapter contains the basics of generative AI, evaluation of generative AI, working process of generative AI, and applications of generative AI in Education 2030. In this chapter, the authors will introduce the emerging concept of large language model (LLM), reinforcement learning, response generation, neural network, and tokenization as the building blocks of generative AI. In this context, the authors will analyze the role of AI based ChatGpt technology in Education. The applications of generative AI in educational policy making, infrastructure development, research, innovation, activity building, and content generation for the students at schools and colleges will be discussed. But the contents of above mentioned activities must be guided by a teacher of school and college because such contents have more context wise decision making abilities rather than AI based solutions.</t>
  </si>
  <si>
    <t>2326-8905</t>
  </si>
  <si>
    <t>2326-8913</t>
  </si>
  <si>
    <t>979-8-36934-691-4; 979-8-36932-441-7; 979-8-36932-440-0</t>
  </si>
  <si>
    <t>10.4018/979-8-3693-2440-0.ch025</t>
  </si>
  <si>
    <t>10.4018/979-8-3693-2440-0</t>
  </si>
  <si>
    <t>WOS:001271037500027</t>
  </si>
  <si>
    <t>Zhou, SC; Liu, JJ; Lu, YL; Yang, JH; Zhang, Y; Chen, J</t>
  </si>
  <si>
    <t>Zhou, Shicheng; Liu, Jingju; Lu, Yuliang; Yang, Jiahai; Zhang, Yue; Chen, Jie</t>
  </si>
  <si>
    <t>Mind the Gap: towards generalizable autonomous penetration testing via domain randomization and meta-reinforcement learning</t>
  </si>
  <si>
    <t>FRONTIERS OF INFORMATION TECHNOLOGY &amp; ELECTRONIC ENGINEERING</t>
  </si>
  <si>
    <t>Cybersecurity; Penetration testing; Reinforcement learning; Domain randomization; Meta-reinforcement learning; Large language model; TP393</t>
  </si>
  <si>
    <t>NEURAL-NETWORKS; ENVIRONMENT</t>
  </si>
  <si>
    <t>With the increasing number of vulnerabilities exposed on the Internet, autonomous penetration testing (pentesting) has emerged as a promising research area. Reinforcement learning (RL) is a natural fit for studying this topic. However, two key challenges limit the applicability of RL-based autonomous pentesting in real-world scenarios: the training environment dilemma-training agents in simulated environments is sample-efficient while ensuring that their realism remains challenging; poor generalization ability-agents' policies often perform poorly when transferred to unseen scenarios, with even slight changes potentially causing a significant generalization gap. To address both challenges, we propose a generalizable autonomous pentesting framework termed GAP, which aims to achieve efficient policy training in realistic environments and train generalizable agents capable of drawing inferences about other cases from one instance. GAP introduces a real-to-sim-to-real pipeline that enables end-to-end policy learning in unknown real environments while constructing realistic simulations and improves agents' generalization ability by leveraging domain randomization and meta-RL learning. We are among the first to apply domain randomization in autonomous pentesting and propose a large language model-powered domain randomization method for synthetic environment generation. We further apply meta-RL to improve agents' generalization ability in unseen environments by leveraging synthetic environments. Combining the two methods effectively bridges the generalization gap and improves agents' policy adaptation performance. Simulations are conducted on various vulnerable virtual machines, with results showing that GAP can enable policy learning in various realistic environments, achieve zero-shot policy transfer in similar environments, and achieve rapid policy adaptation in dissimilar environments.</t>
  </si>
  <si>
    <t>2095-9184</t>
  </si>
  <si>
    <t>2095-9230</t>
  </si>
  <si>
    <t>10.1631/FITEE.2500100</t>
  </si>
  <si>
    <t>WOS:001636993700001</t>
  </si>
  <si>
    <t>Karunanayake, B; Khalil, I; Yi, X; Lam, KY</t>
  </si>
  <si>
    <t>Karunanayake, Binod; Khalil, Ibrahim; Yi, Xun; Lam, Kwok-Yan</t>
  </si>
  <si>
    <t>Toward LLM-Driven Adaptive Policy Orchestration for Host-Based Intrusion Detection Systems in IoT Environments</t>
  </si>
  <si>
    <t>Internet of Things; Cognition; Intrusion detection; Telecommunication traffic; Image edge detection; Training; Threat modeling; Reliability; Data mining; Codes; Large language models; Intrusion Detection Systems; Large Language Models; LLM Agents; Policy Generation</t>
  </si>
  <si>
    <t>Large language models (LLMs) have emerged as powerful tools for text generation, demonstrating remarkable capabilities in reasoning, function calling, and generating structured outputs. When equipped with access to functions and memory, they can be transformed into interactive and intelligent LLM agents. However, the applicability of such LLM agents in real-time Internet of Things (IoT) applications remains constrained by resource limitations. One critical area is IoT security, particularly in intrusion detection systems (IDS), where LLM agents hold the potential to enhance the effectiveness of existing solutions significantly. Current IDS approaches in IoT, predominantly reliant on signature-based or anomaly-based techniques, struggle to adapt to the dynamic and evolving nature of modern threats. Recent studies reveal a prevalence of false positives in existing IDS, complicating the alert reasoning and decision-making process. To address these limitations, this research proposes a novel adaptive IDS policy orchestration framework that leverages LLM agents in conjunction with advanced prompting strategies. Our framework generates adaptive IDS policies, enhancing precision with intelligent alert reasoning. It enables efficient policy deployment without needing LLM inference during policy execution. We validate the effectiveness of the proposed framework through experiments conducted on five real-world IDS datasets. The results demonstrate that the framework achieves over 97% precision on three IoT network datasets and over 80% on two more challenging datasets. Notably, our framework reduces the detection latency by 50% compared to traditional machine learning (ML) models with the requirement of fewer than 10k total completion tokens, offering a highly cost-effective, efficient, and scalable solution. These findings establish a new benchmark for IoT-IDS frameworks utilising LLM agents, underscoring the potential for further advancements in this domain.</t>
  </si>
  <si>
    <t>10.1109/MNET.2025.3579532</t>
  </si>
  <si>
    <t>WOS:001575784600010</t>
  </si>
  <si>
    <t>Ren, XZ; Yang, BS; Liu, DYH; Zhang, HB; Lv, XY; Yao, L; Xie, J</t>
  </si>
  <si>
    <t>Ren, Xingzhang; Yang, Baosong; Liu, Dayiheng; Zhang, Haibo; Lv, Xiaoyu; Yao, Liang; Xie, Jun</t>
  </si>
  <si>
    <t>Effective Approaches to Neural Query Language Identification</t>
  </si>
  <si>
    <t>COMPUTATIONAL LINGUISTICS</t>
  </si>
  <si>
    <t>Query language identification (Q-LID) plays a crucial role in a cross-lingual search engine. There exist two main challenges in Q-LID: (1) insufficient contextual information in queries for disambiguation; and (2) the lack of query-style training examples for low-resource languages. In this article, we propose a neural Q-LID model by alleviating the above problems from both model architecture and data augmentation perspectives. Concretely, we build our model upon the advanced Transformer model. In order to enhance the discrimination of queries, a variety of external features (e.g., character, word, as well as script) are fed into the model and fused by a multi-scale attention mechanism. Moreover, to remedy the low resource challenge in this task, a novel machine translation-based strategy is proposed to automatically generate synthetic query-style data for low-resource languages. We contribute the first Q-LID test set called QID-21, which consists of search queries in 21 languages. Experimental results reveal that our model yields better classification accuracy than strong baselines and existing LID systems on both query and traditional LID tasks.(1)</t>
  </si>
  <si>
    <t>0891-2017</t>
  </si>
  <si>
    <t>1530-9312</t>
  </si>
  <si>
    <t>10.1162/coli_a_00451</t>
  </si>
  <si>
    <t>WOS:000995278700006</t>
  </si>
  <si>
    <t>Kim, J; Lee, S; Jeon, H; Lee, KJ; Bae, HJ; Kim, B; Seo, J</t>
  </si>
  <si>
    <t>Kim, Jaeyoung; Lee, Sihyeon; Jeon, Hyeon; Lee, Keon-Joo; Bae, Hee-Joon; Kim, Bohyoung; Seo, Jinwook</t>
  </si>
  <si>
    <t>PhenoFlow: A Human-LLM Driven Visual Analytics System for Exploring Large and Complex Stroke Datasets</t>
  </si>
  <si>
    <t>Stroke; Irregularly spaced time-series data; Multi-dimensional data; Cohort analysis; Large language models</t>
  </si>
  <si>
    <t>ACUTE ISCHEMIC-STROKE; BLOOD-PRESSURE; HEALTH-CARE; VISUALIZATION; GUIDELINES; DESIGN</t>
  </si>
  <si>
    <t>Acute stroke demands prompt diagnosis and treatment to achieve optimal patient outcomes. However, the intricate and irregular nature of clinical data associated with acute stroke, particularly blood pressure (BP) measurements, presents substantial obstacles to effective visual analytics and decision-making. Through a year-long collaboration with experienced neurologists, we developed PhenoFlow, a visual analytics system that leverages the collaboration between human and Large Language Models (LLMs) to analyze the extensive and complex data of acute ischemic stroke patients. PhenoFlow pioneers an innovative workflow, where the LLM serves as a data wrangler while neurologists explore and supervise the output using visualizations and natural language interactions. This approach enables neurologists to focus more on decision-making with reduced cognitive load. To protect sensitive patient information, PhenoFlow only utilizes metadata to make inferences and synthesize executable codes, without accessing raw patient data. This ensures that the results are both reproducible and interpretable while maintaining patient privacy. The system incorporates a slice-and-wrap design that employs temporal folding to create an overlaid circular visualization. Combined with a linear bar graph, this design aids in exploring meaningful patterns within irregularly measured BP data. Through case studies, PhenoFlow has demonstrated its capability to support iterative analysis of extensive clinical datasets, reducing cognitive load and enabling neurologists to make well-informed decisions. Grounded in long-term collaboration with domain experts, our research demonstrates the potential of utilizing LLMs to tackle current challenges in data-driven clinical decision-making for acute ischemic stroke patients.</t>
  </si>
  <si>
    <t>10.1109/TVCG.2024.3456215</t>
  </si>
  <si>
    <t>WOS:001449829900040</t>
  </si>
  <si>
    <t>Zhang, WX; Kong, XR; Dewitt, C; Bräunl, T; Hong, JB</t>
  </si>
  <si>
    <t>Zhang, Wenxiao; Kong, Xiangrui; Dewitt, Conan; Braunl, Thomas; Hong, Jin B.</t>
  </si>
  <si>
    <t>Enhancing reliability in LLM-integrated robotic systems: A unified approach to security and safety</t>
  </si>
  <si>
    <t>LLM; Robotics; Navigation; Reliability</t>
  </si>
  <si>
    <t>Integrating Large Language Models (LLMs) into robotic systems has revolutionised embodied artificial intelligence, enabling advanced decision-making and adaptability. However, ensuring reliability - encompassing both security against adversarial attacks and safety in complex environments -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</si>
  <si>
    <t>10.1016/j.jss.2025.112614</t>
  </si>
  <si>
    <t>WOS:001572499600002</t>
  </si>
  <si>
    <t>Cruz, FL; Enríquez, F; Ortega, FJ; Troyano, JA</t>
  </si>
  <si>
    <t>Cruz, Fermin L.; Enriquez, Fernando; Ortega, F. Javier; Troyano, Jose A.</t>
  </si>
  <si>
    <t>FallacyES-Political: A Multiclass Dataset of Fallacies in Spanish Political Debates</t>
  </si>
  <si>
    <t>PROCESAMIENTO DEL LENGUAJE NATURAL</t>
  </si>
  <si>
    <t>Spanish Linguistic Resources; Political Discourse Analysis; Fallacy Classification</t>
  </si>
  <si>
    <t>Fallacies are pervasive in political discourse, shaping public opinion and influencing decision-making. Automatic detection and classification of fallacies is a challenging task, especially in non-English languages due to limited resources. In this study, we present FALLACYES-POLITICAL, a novel dataset of fallacies extracted from 19 electoral debates held in Spain over three decades. The dataset comprises nearly 2,000 fallacies categorized into 16 types. To evaluate the dataset's utility, we conducted a comprehensive benchmarking of state-of-the-art Large Language Models (LLMs) in zero-shot classification. The results highlight the complexity of fallacy classification and the limitations of current LLMs in understanding context-dependent argumentation. Furthermore, we demonstrate the advantages of finetuning a compact, domain-specific model over relying on general-purpose LLMs, achieving notable improvements in classification accuracy with a more sustainable approach.</t>
  </si>
  <si>
    <t>1135-5948</t>
  </si>
  <si>
    <t>1989-7553</t>
  </si>
  <si>
    <t>10.26342/2025-74-9</t>
  </si>
  <si>
    <t>WOS:001460645300009</t>
  </si>
  <si>
    <t>Kolides, A; Nawaz, A; Rathor, A; Beeman, D; Hashmi, M; Fatima, S; Berdik, D; Al-Ayyoub, M; Jararweh, Y</t>
  </si>
  <si>
    <t>Kolides, Adam; Nawaz, Alyna; Rathor, Anshu; Beeman, Denzel; Hashmi, Muzammil; Fatima, Sana; Berdik, David; Al-Ayyoub, Mahmoud; Jararweh, Yaser</t>
  </si>
  <si>
    <t>Artificial intelligence foundation and pre-trained models: Fundamentals, applications, opportunities, and social impacts</t>
  </si>
  <si>
    <t>SIMULATION MODELLING PRACTICE AND THEORY</t>
  </si>
  <si>
    <t>Pre-trained models; Self-supervised learning; Natural Language Processing; Computer vision; Image processing; Transformers; Machine learning models; Foundation models in robotics; Transfer learning; In-context learning; Self-attention; Fine-tuning</t>
  </si>
  <si>
    <t>With the emergence of foundation models (FMs) that are trained on large amounts of data at scale and adaptable to a wide range of downstream applications, AI is experiencing a paradigm revolution. BERT, T5, ChatGPT, GPT-3, Codex, DALL-E, Whisper, and CLIP are now the foundation for new applications ranging from computer vision to protein sequence study and from speech recognition to coding. Earlier models had a reputation of starting from scratch with each new challenge. The capacity to experiment with, examine, and comprehend the capabilities and potentials of next-generation FMs is critical to undertaking this research and guiding its path. Nevertheless, these models are currently inaccessible as the resources required to train these models are highly concentrated in industry, and even the assets (data, code) required to replicate their training are frequently not released due to their demand in the real-time industry. At the moment, only large tech companies such as OpenAI, Google, Facebook, and Baidu can afford to construct FMs. We attempt to analyze and examine the main capabilities, key implementations, technological fundamentals, and socially constructed possible consequences of these models inside this research. Despite the expected widely publicized use of FMs, we still lack a comprehensive knowledge of how they operate, why they underperform, and what they are even capable of because of their emerging global qualities. To deal with these problems, we believe that much critical research on FMs would necessitate extensive multidisciplinary collaboration, given their essentially social and technical structure. Throughout the investigation, we will also have to deal with the problem of misrepresentation created by these systems. If FMs live up to their promise, AI might see far wider commercial use. As researchers studying the ramifications on society, we believe FMs will lead the way in massive changes. They are closely managed for the time being, so we should have time to comprehend their implications before they become a major concern.</t>
  </si>
  <si>
    <t>1569-190X</t>
  </si>
  <si>
    <t>1878-1462</t>
  </si>
  <si>
    <t>10.1016/j.simpat.2023.102754</t>
  </si>
  <si>
    <t>WOS:000981855300001</t>
  </si>
  <si>
    <t>Liu, SG; Xie, JC; Wang, XW; Qiao, XJ</t>
  </si>
  <si>
    <t>Liu, Shuguang; Xie, Jiacheng; Wang, Xuewen; Qiao, Xiaojun</t>
  </si>
  <si>
    <t>You are my eyes: Integrating human intelligence and LLMs in AR-assisted motion planning for industrial mobile robots</t>
  </si>
  <si>
    <t>Industrial mobile robots; Motion planning; Augmented reality; Human intelligence; Large language models; Human-machine hybrid augmented; intelligence</t>
  </si>
  <si>
    <t>COLLABORATION; SYSTEM</t>
  </si>
  <si>
    <t>Robot operation follows a perception-decision-execution loop, where motion planning is a critical stage of decision-making that occurs after task planning to ensure precise and efficient execution. Under the demands of smart manufacturing and flexible production, motion planning for industrial robots in dynamic and unstructured environments is particularly important. Large Language Models (LLMs), with strong capabilities in language understanding and logical reasoning, have shown potential in robot motion planning, particularly when combined with Vision-Language Models (VLMs). However, existing approaches rely on the models' intrinsic understanding, which is constrained by insufficient domain knowledge in industrial scenarios and often requires customized training and fine-tuning, resulting in high cost and poor generalizability. Industry 5.0 emphasizes a human-centric value orientation and a production model of human-robot collaboration. Against this backdrop, an Augmented Reality (AR)-assisted motion planning method for industrial mobile robots is proposed. The method transforms human perceptual results into the geometric and semantic information of key task elements through AR manual annotation, which is then input into LLMs as known conditions to enable motion planning in complex scenarios. It fully leverages human advantages in spatial perception and fundamentally avoids the limitations of LLMs in understanding industrial environments. Furthermore, a two-level motion planning architecture for industrial mobile robots is proposed to serve as planning constraints for LLMs, improving planning efficiency. A proof of concept (PoC) on mechanical equipment maintenance demonstrates the method's feasibility and effectiveness in industrial tasks, while additional experiments substantiate its contributions of low cost, high reliability, and zero-shot transferability.</t>
  </si>
  <si>
    <t>10.1016/j.rcim.2025.103174</t>
  </si>
  <si>
    <t>WOS:001609273700001</t>
  </si>
  <si>
    <t>Mishra, LN; Senapati, B</t>
  </si>
  <si>
    <t>Mishra, Lalit Narayan; Senapati, Biswaranjan</t>
  </si>
  <si>
    <t>Retail Resilience Engine: An Agentic AI Framework for Building Reliable Retail Systems With Test-Driven Development Approach</t>
  </si>
  <si>
    <t>Retail systems; test-driven development; large language model; artificial intelligence; agentic-AI; resilience engine; Retail systems; test-driven development; large language model; artificial intelligence; agentic-AI; resilience engine</t>
  </si>
  <si>
    <t>FUTURE; CHALLENGES; MANAGEMENT</t>
  </si>
  <si>
    <t>System reliability and operational resilience are two critical success factors in the retail industry that are directly connected to customer satisfaction and business sustainability. Staying competitive in today's dynamic and rapidly evolving market requires rapid adaptability. However, it contradicts the reliability and resilience. This paper proposes an innovative solution, the Retail Resilience Engine (RRE), to establish a balance between these success factors and market demand. It is a unique framework that combines Test-Driven Development (TDD) with a Large Language Model (LLM). This framework follows the state-of-the-art Agentic-AI architecture. It effectively evaluates the decision-making process at rapid speed in retail by incorporating diverse factors, including inventory management, demand forecasting, and customer feedback. As a result, the system reliability is improved significantly. The experimental analysis of the proposed framework shows its decision-making is similar to human experts with a similarity index of 97.5%. It further proves the reliability of the system. The framework also scales effectively, maintaining high accuracy, precision, recall, and F1 scores across varying dataset sizes. The robustness analysis of the system demonstrates the agility enhancement across diverse retail domains, ensuring consistent performance with accuracy exceeding 90% across all tested scenarios. The integration of a creative filtering mechanism further enhances the performance of the RRE framework by preventing 98.2% of the irrelevant inputs. Overall, the proposed RRE framework demonstrates the impressive potential to transform retail systems by enhancing reliability, scalability, and decision-making quality through an Agentic-AI approach.</t>
  </si>
  <si>
    <t>10.1109/ACCESS.2025.3552592</t>
  </si>
  <si>
    <t>WOS:001453644600026</t>
  </si>
  <si>
    <t>Arif, M; Ameer, I; Bölücü, N; Sidorov, G; Gelbukh, A; Elangovan, V</t>
  </si>
  <si>
    <t>Arif, Muhammad; Ameer, Iqra; Bolucu, Necva; Sidorov, Grigori; Gelbukh, Alexander; Elangovan, Vinnayak</t>
  </si>
  <si>
    <t>Mental Illness Classification on Social Media Texts Using Deep Learning and Transfer Learning</t>
  </si>
  <si>
    <t>Mental illnesses classification; transformer; late fusion; machine learning; deep learning; transfer learning; Reddit</t>
  </si>
  <si>
    <t>HEALTH; RECOGNITION; FEATURES; FUSION</t>
  </si>
  <si>
    <t>Given the current social distance restrictions across the world, most individuals now use social media as their major medium of communication. Due to this, millions of people suffering from mental diseases have been isolated, and they are unable to get help in person. They have become more reliant on online venues to express themselves and seek advice on dealing with their mental disorders. According to the World Health Organization (WHO), approximately 450 million people are affected. Mental illnesses, such as depression, anxiety, etc., are immensely common and have affected an individual's physical health. Recently, Artificial Intelligence (AI) methods have been presented to help mental health providers, including psychiatrists and psychologists, in decision -making based on patients' authentic information (e.g., medical records, behavioral data, social media utilization, etc.). AI innovations have demonstrated predominant execution in numerous real -world applications, broadening from computer vision to healthcare. This study analyzed unstructured user data on the Reddit platform and classified five common mental illnesses: depression, anxiety, bipolar disorder, ADHD, and PTSD. In this paper, we proposed a Transformer model with late fusion methods to combine the two texts (title and post) of the dataset into the model to detect the mental disorders of individuals. We compared the proposed models with traditional machine learning, deep learning, and transfer learning multi -class models. Our proposed Transformer model with the late fusion method outperformed (F1 score = 89.65) the state-of-the-art performance (F1 score = 89 [35]). This effort will benefit the public health system by automating the detection process and informing the appropriate authorities about people who need emergency assistance.</t>
  </si>
  <si>
    <t>10.13053/CyS-28-2-4873</t>
  </si>
  <si>
    <t>WOS:001260827000010</t>
  </si>
  <si>
    <t>Wu, Q; Zheng, H</t>
  </si>
  <si>
    <t>Wu, Qian; Zheng, Han</t>
  </si>
  <si>
    <t>Consumers' questions as nudges: Comparing the effect of linguistic cues on LLM chatbot and human responses</t>
  </si>
  <si>
    <t>Large language models; Chatbots; E-commerce; Nudging theory; Linguistic cues</t>
  </si>
  <si>
    <t>INFORMATION-SEEKING; SOCIAL QUESTION; KNOWLEDGE; BEHAVIOR; HEALTH; ONLINE; PARACRISIS; GUIDELINES; ANSWER; MODEL</t>
  </si>
  <si>
    <t>Large Language Models (LLMs) enable natural language interactions, offering much potential for personalized consumer engagement in e-commerce. While prior studies have explored how chatbot expressions influence consumers, they often overlook the role of consumers as communicators who shape interactions through strategic language use. Additionally, evidence suggests that question cues can nudge humans to respond differently, but whether LLM chatbots adapt similarly to these cues remains underexplored. Informed by nudging theory, this study proposes that consumers can strategically use question cues to nudge LLM chatbots in response generation. Through a semantic analysis of 5676 responses to 1419 consumers' questions, we investigate the effects of cognitive and socio-emotional question cues on the informational and socio-emotional responses from humans and three LLM chatbots: ChatGPT, Claude and GLM. Findings suggest that, despite differing processing mechanisms, the nudging effect of question cues on LLM chatbots is similar as that on SNS users. Unlike humans, LLM chatbots exhibit a more pronounced tendency to focus exclusively on either informational or socio-emotional responses, rarely combining both aspects as seamlessly as humans do. This research underscores the importance of question formation in shaping consumer-chatbot interactions, suggesting that chatbots outperform humans in providing consistent informational responses regardless of question specificity and emotionality, while SNS users handle complex emotional queries more adeptly, showing their complementary roles in ecommerce.</t>
  </si>
  <si>
    <t>10.1016/j.jretconser.2025.104250</t>
  </si>
  <si>
    <t>WOS:001422812200001</t>
  </si>
  <si>
    <t>Gogineni, K; Suvizi, A; Venkataramani, G</t>
  </si>
  <si>
    <t>Gogineni, Kailash; Suvizi, Ali; Venkataramani, Guru</t>
  </si>
  <si>
    <t>LLMs on a Budget: System-Level Approaches to Power-Efficient and Scalable Fine-Tuning</t>
  </si>
  <si>
    <t>IEEE OPEN JOURNAL OF THE COMPUTER SOCIETY</t>
  </si>
  <si>
    <t>Transformers; Computational modeling; Optimization; Graphics processing units; Memory management; Costs; Data models; Internet; Tuning; Training; Artificial intelligence; large language models; fine-tuning; power efficiency</t>
  </si>
  <si>
    <t>Large Language Models (LLMs) have shown remarkable capabilities in various applications, including robotics, telecommunications, and scientific discovery. While much attention has been given to LLM inference and training phases, fine-tuning has received less focus despite its increasing cost, especially from a systems perspective. Fine-tuning is especially important for customizing compact models for edge applications, such as personal assistants running on local devices and models personalized with user-specific data, which in turn requires a deeper examination of fine-tuning performance and efficiency on single-GPU systems. Fine-tuning large models involves intensive matrix operations from backpropagation and gradient updates, which require extensive power and memory usage. In order to explore the range of performance optimization opportunities available to improve the LLM fine-tuning runtime, we understand the impact of techniques like activation checkpointing, low-rank adaptation, and operation fusion on LLM fine-tuning runtime optimization. In addition, we explore the effects of resource utilization through GPU peak power capping. Our experiments, conducted on NVIDIA RTX 4090 GPU using Meta's LLaMA-3.1, Google's Gemma, and Microsoft's Phi-3, reveal that enabling all optimizations reduces memory usage by over 40% compared to FP32 baselines. Moreover, power capping to 300 W results in an average throughput drop of only 5.55% while reducing power consumption by 33%. Post-fine-tuning accuracy improvements on the Sycophancy Evaluation Benchmark range from 2% to 5%, depending on model architecture, validating that our optimization techniques preserve model quality while reducing resource requirements. Furthermore, we discuss several insights and potential future research directions from a systems perspective.</t>
  </si>
  <si>
    <t>2644-1268</t>
  </si>
  <si>
    <t>10.1109/OJCS.2025.3580498</t>
  </si>
  <si>
    <t>WOS:001527180000002</t>
  </si>
  <si>
    <t>Wu, F; Zheng, CJ; Du, MQ; Zheng, SK; Ma, JZ; Lu, Y</t>
  </si>
  <si>
    <t>Wu, Fei; Zheng, Changjiang; Du, Muqing; Zheng, Shukang; Ma, Junze; Lu, Ye</t>
  </si>
  <si>
    <t>LLM4PT: A large language model-based system for flexible and explainable public transit demand prediction</t>
  </si>
  <si>
    <t>LLMs; Public transit demand; Spatiotemporal aligner; Prompt tuning</t>
  </si>
  <si>
    <t>FLOW</t>
  </si>
  <si>
    <t>Urban public transportation management is essential for ensuring the efficient movement of large populations within cities. Passenger demand prediction plays a critical role in optimizing transit operations and responding to fluctuating commuter needs. Despite extensive research in this field, challenges such as model complexity, lack of interpretability, and the need for task-specific solutions continue to impede progress. Drawing inspiration from the recent success of large language models (LLMs) in natural language processing, we propose an LLM-based system for public transit demand prediction (LLM4PT), which is composed of two sub-modules: LLMs-PTN (Public Transit Demand Numerical Prediction) and LLMs-PTT (Public Transit Demand Text Generation). LLMs-PTN focuses on flexible demand prediction, while LLMs-PTT offers human-readable explanations. Specifically, LLMs-PTN adopts a numerical prediction approach, leveraging a Spatiotemporal Aligner to efficiently align traffic data with natural language. The Spatiotemporal Aligner features learnable query parameters that update independently of the input sequence, enabling flexible adaptation to diverse traffic data types, such as station flow and origin-destination (OD) demand, without requiring changes to model components. LLMs-PTT employs a text generation framework with prompt tuning and chain-of-thought (CoT) reasoning to address the challenges posed by irregular ridership during public events in transit management, providing human-readable explanations along with predictions. Experimental results demonstrate that LLMs-PTT generates accurate predictions and explanations, even with limited event data, surpassing baseline models on event days. By integrating flexible predictive capabilities with human-readable explanations, LLM4PT significantly enhances practical decision-making for public transit demand management.</t>
  </si>
  <si>
    <t>10.1016/j.cie.2025.111449</t>
  </si>
  <si>
    <t>WOS:001582871400004</t>
  </si>
  <si>
    <t>Yang, EW; Waldrup, B; Velazquez-Villarreal, E</t>
  </si>
  <si>
    <t>Yang, Ei-Wen; Waldrup, Brigette; Velazquez-Villarreal, Enrique</t>
  </si>
  <si>
    <t>AI-HOPE-TGFbeta: A Conversational AI Agent for Integrative Clinical and Genomic Analysis of TGF-β Pathway Alterations in Colorectal Cancer to Advance Precision Medicine</t>
  </si>
  <si>
    <t>artificial intelligence; large language models; AI agents; medical AI; healthcare AI; colorectal cancer</t>
  </si>
  <si>
    <t>EPIDEMIOLOGY; BIOLOGY</t>
  </si>
  <si>
    <t>Introduction: Early-onset colorectal cancer (EOCRC) is rising rapidly, particularly among the Hispanic/Latino (H/L) populations, who face disproportionately poor outcomes. The transforming growth factor-beta (TGF-beta) signaling pathway plays a critical role in colorectal cancer (CRC) progression by mediating epithelial-to-mesenchymal transition (EMT), immune evasion, and metastasis. However, integrative analyses linking TGF-beta alterations to clinical features remain limited-particularly for diverse populations-hindering translational research and the development of precision therapies. To address this gap, we developed AI-HOPE-TGFbeta (Artificial Intelligence agent for High-Optimization and Precision Medicine focused on TGF-beta), the first conversational artificial intelligence (AI) agent designed to explore TGF-beta dysregulation in CRC by integrating harmonized clinical and genomic data via natural language queries. Methods: AI-HOPE-TGFbeta utilizes a large language model (LLM), Large Language Model Meta AI 3 (LLaMA 3), a natural language-to-code interpreter, and a bioinformatics backend to automate statistical workflows. Tailored for TGF-beta pathway analysis, the platform enables real-time cohort stratification and hypothesis testing using harmonized datasets from the cBio Cancer Genomics Portal (cBioPortal). It supports mutation frequency comparisons, odds ratio testing, Kaplan-Meier survival analysis, and subgroup evaluations across race/ethnicity, microsatellite instability (MSI) status, tumor stage, treatment exposure, and age. The platform was validated by replicating findings on the SMAD4, TGFBR2, and BMPR1A mutations in EOCRC. Exploratory queries were conducted to examine novel associations with clinical outcomes in H/L populations. Results: AI-HOPE-TGFbeta successfully recapitulated established associations, including worse survival in SMAD4-mutant EOCRC patients treated with FOLFOX (fluorouracil, leucovorin and oxaliplatin) (p = 0.0001) and better outcomes in early-stage TGFBR2-mutated CRC patients (p = 0.00001). It revealed potential population-specific enrichment of BMPR1A mutations in H/L patients (OR = 2.63; p = 0.052) and uncovered MSI-specific survival benefits among SMAD4-mutated patients (p = 0.00001). Exploratory analysis showed better outcomes in SMAD2-mutant primary tumors vs. metastatic cases (p = 0.0010) and confirmed the feasibility of disaggregated ethnicity-based queries for TGFBR1 mutations, despite small sample sizes. These findings underscore the platform's capacity to detect both known and emerging clinical-genomic patterns in CRC. Conclusions: AI-HOPE-TGFbeta introduces a new paradigm in cancer bioinformatics by enabling natural language-driven, real-time integration of genomic and clinical data specific to TGF-beta pathway alterations in CRC. The platform democratizes complex analyses, supports disparity-focused investigation, and reveals clinically actionable insights in underserved populations, such as H/L EOCRC patients. As a first-of-its-kind system studying TGF-beta, AI-HOPE-TGFbeta holds strong promise for advancing equitable precision oncology and accelerating translational discovery in the CRC TGF-beta pathway.</t>
  </si>
  <si>
    <t>10.3390/ai6070137</t>
  </si>
  <si>
    <t>WOS:001539530500001</t>
  </si>
  <si>
    <t>Taylor, N; Ghose, U; Rohanian, O; Nouriborji, M; Kormilitzin, A; Clifton, DA; Nevado-Holgado, A</t>
  </si>
  <si>
    <t>Taylor, Niall; Ghose, Upamanyu; Rohanian, Omid; Nouriborji, Mohammadmahdi; Kormilitzin, Andrey; Clifton, David A.; Nevado-Holgado, Alejo</t>
  </si>
  <si>
    <t>Efficiency at scale: Investigating the performance of diminutive language models in clinical tasks</t>
  </si>
  <si>
    <t>Large language models; Artificial intelligence; PEFT; Fine-tuning; NLP</t>
  </si>
  <si>
    <t>The entry of large language models (LLMs) into research and commercial spaces has led to a trend of ever- larger models, with initial promises of generalisability. This was followed by a widespread desire to downsize and create specialised models without the need for complete fine-tuning, using Parameter Efficient Fine-tuning (PEFT) methods. We present an investigation into the suitability of different PEFT methods to clinical decision- making tasks, across a range of model sizes, including extremely small models with as few as 25 million parameters. Our analysis shows that the performance of most PEFT approaches varies significantly from one task to another, with the exception of LoRA, which maintains relatively high performance across all model sizes and tasks, typically approaching or matching full fine-tuned performance. The effectiveness of PEFT methods in the clinical domain is evident, particularly for specialised models which can operate on low-cost, in-house computing infrastructure. The advantages of these models, in terms of speed and reduced training costs, dramatically outweighs any performance gain from large foundation LLMs. Furthermore, we highlight how domain-specific pre-training interacts with PEFT methods and model size, finding the domain pre-training to be particularly important in smaller models and discuss how these factors interplay to provide the best efficiency-performance trade-off. Full code available at: https://github.com/nlpie-research/efficient-ml.</t>
  </si>
  <si>
    <t>10.1016/j.artmed.2024.103002</t>
  </si>
  <si>
    <t>WOS:001348741900001</t>
  </si>
  <si>
    <t>Kitsiou, A; Pantelelis, M; Mazarakis, PA; Mavroeidi, AG; Simou, S; Tzortzaki, E; Stavridis, S; Koutzamanis, G; Kalloniatis, C</t>
  </si>
  <si>
    <t>Kitsiou, Angeliki; Pantelelis, Michail; Mazarakis, Panagis-Angelos; Mavroeidi, Aikaterini-Georgia; Simou, Stavros; Tzortzaki, Eleni; Stavridis, Stavros; Koutzamanis, Giannis; Kalloniatis, Christos</t>
  </si>
  <si>
    <t>Self-Adaptive Privacy in Cloud Computing Environments: Developing an Integrated Framework and a Beta Tool for Social Media Platforms</t>
  </si>
  <si>
    <t>self-adaptive; privacy; framework; tool; architecture; large language model</t>
  </si>
  <si>
    <t>This study addresses the growing complexity of privacy protection in cloud computing environments (CCEs) by introducing a comprehensive socio-technical framework for self-adaptive privacy, complemented by an AI-driven beta tool designed for social media platforms. The framework's three-stage structure-social, technical, and infrastructural-integrates context-aware privacy controls, dynamic risk assessments, and scalable implementation strategies. Key benefits include enhanced user-centric privacy management through customizable group settings and adaptive controls that respect diverse social identities. The beta tool operationalizes these features via a profile store for structured preference management and a recommendation engine that delivers real-time, AI-powered privacy suggestions tailored to individual contexts. Additionally, the tool's safety scoring system (0-100) empowers developers and guides them in designing effective privacy solutions and mitigating risks. By bridging social context awareness with technical and infrastructural innovation, this framework significantly improves privacy adaptability, regulatory compliance, and user empowerment in CCEs. It provides a robust foundation for developing scalable and responsive privacy solutions tailored to evolving user needs.</t>
  </si>
  <si>
    <t>10.3390/electronics14071412</t>
  </si>
  <si>
    <t>WOS:001465739000001</t>
  </si>
  <si>
    <t>Mustar, A; Lamprier, S; Piwowarski, B</t>
  </si>
  <si>
    <t>Mustar, Agnes; Lamprier, Sylvain; Piwowarski, Benjamin</t>
  </si>
  <si>
    <t>On the Study of Transformers for Query Suggestion</t>
  </si>
  <si>
    <t>User modeling; query prediction; query suggestion; transformers; bert; bart; hierachical model</t>
  </si>
  <si>
    <t>When conducting a search task, users may find it difficult to articulate their need, even more so when the task is complex. To help them complete their search, search engine usually provide query suggestions. A good query suggestion system requires to model user behavior during the search session. In this article, we study multiple Transformer architectures applied to the query suggestion task and compare them with recurrent neural network (RNN)-based models. We experiment Transformer models with different tokenizers, with different Encoders (large pretrained models or fully trained ones), and with two kinds of architectures (flat or hierarchic). We study the performance and the behaviors of these various models, and observe that Transformer-based models outperform RNN-based ones. We show that while the hierarchical architectures exhibit very good performances for query suggestion, the flat models are more suitable for complex and long search tasks. Finally, we investigate the flat models behavior and demonstrate that they indeed learn to recover the hierarchy of a search session.</t>
  </si>
  <si>
    <t>10.1145/3470562</t>
  </si>
  <si>
    <t>WOS:000770678900018</t>
  </si>
  <si>
    <t>Ngangmeni, J; Rawat, DB</t>
  </si>
  <si>
    <t>Ngangmeni, Joed; Rawat, Danda B.</t>
  </si>
  <si>
    <t>Swamped with Too Many Articles? GraphRAG Makes Getting Started Easy</t>
  </si>
  <si>
    <t>GraphRAG; LightRAG; retrieval-augmented generation; graph; large language model; LLM; RAG</t>
  </si>
  <si>
    <t>Background: Both early researchers, such as new graduate students, and experienced researchers face the challenge of sifting through vast amounts of literature to find their needle in a haystack. This process can be time-consuming, tedious, or frustratingly unproductive. Methods: Using only abstracts and titles of research articles, we compare three retrieval methods-Bibliographic Indexing/Databasing (BI/D), Retrieval-Augmented Generation (RAG), and Graph Retrieval-Augmented Generation (GraphRAG)-which reportedly offer promising solutions to these common challenges. We assess their performance using two sets of Large Language Model (LLM)-generated queries: one set of queries with context and the other set without context. Our study evaluates six sub-models-four from Light Retrieval-Augmented Generation (LightRAG) and two from Microsoft's Graph Retrieval-Augmented Generation (MGRAG). We examine these sub-models across four key criteria-comprehensiveness, diversity, empowerment, and directness-as well as the overall combination of these factors. Results: After three separate experiments, we observe that MGRAG has a slight advantage over LightRAG, na &amp; iuml;ve RAG, and BI/D for answering queries that require a semantic understanding of our data pool. The results (displayed in grouped bar charts) provide clear and accessible comparisons to help researchers quickly make informed decisions on which method best suits their needs. Conclusions: Supplementing BI/D with RAG or GraphRAG pipelines would positively impact the way both beginners and experienced researchers find and parse through volumes of potentially relevant information.</t>
  </si>
  <si>
    <t>10.3390/ai6030047</t>
  </si>
  <si>
    <t>WOS:001453531900001</t>
  </si>
  <si>
    <t>Ungureanu, V</t>
  </si>
  <si>
    <t>Ungureanu, Valeriu</t>
  </si>
  <si>
    <t>The 3x2A Strategy for Societal Adaptation in the GenAI Era: A Framework for Human-AI Synergy</t>
  </si>
  <si>
    <t>COMPUTER SCIENCE JOURNAL OF MOLDOVA</t>
  </si>
  <si>
    <t>Generative AI; human-AI co-evolution; automa-tion and augmentation; alliance and alignment; adaptation and accountability; meta-skills; AI governance; societal transformation</t>
  </si>
  <si>
    <t>This paper introduces the 3x2A Strategy, a conceptual framework for societal adaptation to Generative AI (GenAI) and large language models (LLMs). It maps six strategic dimensions- Automation, Augmentation, Alliance, Alignment, Adaptation, and Accountability-critical for fostering human-AI synergy. We apply the framework to education, healthcare, and scientific research, illustrating its role in guiding responsible integration and governance. The 3x2A Strategy contributes to foundational discourse on AI alignment and sociotechnical transformation, offering a structured approach to aligning GenAI advancements with societal needs, institutional structures, and long-term resilience.</t>
  </si>
  <si>
    <t>1561-4042</t>
  </si>
  <si>
    <t>10.56415/csjm.v33.14</t>
  </si>
  <si>
    <t>WOS:001660673600001</t>
  </si>
  <si>
    <t>Zhang, QY; Qin, C; Zhang, YF; Bao, FX; Zhang, CM; Liu, PD</t>
  </si>
  <si>
    <t>Zhang, Qiuyue; Qin, Chao; Zhang, Yunfeng; Bao, Fangxun; Zhang, Caiming; Liu, Peide</t>
  </si>
  <si>
    <t>Transformer-based attention network for stock movement prediction</t>
  </si>
  <si>
    <t>Stock movement prediction; Deep learning; Transformer; Attention</t>
  </si>
  <si>
    <t>Stock movement prediction is an important field of study that can help market traders make better trading decisions and earn more profit. The fusion of text from social media platforms such as Twitter and actual stock prices is an effective but difficult approach for stock movement prediction. Although some previous methods have explored this approach, there are still difficulties with the temporal dependence of financial data and insufficient effectiveness of fusing text and stock prices. To solve these problems, we propose the novel Transformer Encoder-based Attention Network (TEANet) framework, which is based on precise description through small-sample feature engineering and uses a small sample of 5 calendar days to capture the temporal dependence of financial data. In addition, this deep learning framework uses the Transformer model and multiple attention mechanisms to achieve feature extraction and effective analysis of financial data to achieve accurate prediction. Extensive experiments on four datasets demonstrate the effectiveness of our framework. Further simulations show that an actual trading strategy based on our proposed model can significantly increase profit and has practical application value.</t>
  </si>
  <si>
    <t>SEP 15</t>
  </si>
  <si>
    <t>10.1016/j.eswa.2022.117239</t>
  </si>
  <si>
    <t>APR 2022</t>
  </si>
  <si>
    <t>WOS:000830170300005</t>
  </si>
  <si>
    <t>Wen, BB; Yao, JH; Feng, SB; Xu, CJ; Tsvetkov, Y; Howe, B; Wang, LL</t>
  </si>
  <si>
    <t>Wen, Bingbing; Yao, Jihan; Feng, Shangbin; Xu, Chenjun; Tsvetkov, Yulia; Howe, Bill; Wang, Lucy Lu</t>
  </si>
  <si>
    <t>Know Your Limits: A Survey of Abstention in Large Language Models</t>
  </si>
  <si>
    <t>TRANSACTIONS OF THE ASSOCIATION FOR COMPUTATIONAL LINGUISTICS</t>
  </si>
  <si>
    <t>Abstention, the refusal of large languagemodels (LLMs) to provide an answer, isincreasingly recognized for its potential tomitigate hallucinations and enhance safety inLLM systems. In this survey, we introduce aframework to examine abstention from threeperspectives: the query, the model, and hu-man values. We organize the literature onabstention methods, benchmarks, and evalua-tion metrics using this framework, and discussmerits and limitations of prior work. We fur-ther identify and motivate areas for futureresearch, such as whether abstention can beachieved as a meta-capability that transcendsspecific tasks or domains, and opportunities tooptimize abstention abilities in specific con-texts. In doing so, we aim to broaden the scopeand impact of abstention methodologies in AI systems.</t>
  </si>
  <si>
    <t>2307-387X</t>
  </si>
  <si>
    <t>JUN 27</t>
  </si>
  <si>
    <t>10.1162/tacl_a_00754</t>
  </si>
  <si>
    <t>WOS:001521531200002</t>
  </si>
  <si>
    <t>Naqvi, SMR; Ghufran, M; Varnier, C; Nicod, JM; Zerhouni, N</t>
  </si>
  <si>
    <t>Naqvi, Syed Meesam Raza; Ghufran, Mohammad; Varnier, Christophe; Nicod, Jean-Marc; Zerhouni, Noureddine</t>
  </si>
  <si>
    <t>Enhancing semantic search using ontologies: A hybrid information retrieval approach for industrial text</t>
  </si>
  <si>
    <t>Industry 4.0; Industrial information integration; Machine documentation; Multi-modal learning; Semantic search; Large Language Models (LLMs)</t>
  </si>
  <si>
    <t>INTERNET; THINGS</t>
  </si>
  <si>
    <t>Despite the increased focus on data in Industry 4.0, textual data has received little attention in the production and engineering management literature. Data sources such as maintenance records and machine documentation usually are not used to help maintenance decision-making. Available studies mainly focus on categorizing maintenance records or extracting meta-data, such as time of failure, maintenance cost, etc. One of the main reasons behind this underutilization is the complexity and unstructured nature of the industrial text. In this study, we propose a novel hybrid information retrieval approach for industrial text using multi-modal learning. Maintenance operators can use the proposed system to query maintenance records and find similar solutions to a given problem. The proposed system utilizes heterogeneous (multi-modal) data, a combination of maintenance records, and machine ontology to enhance semantic search results. We used the state-of-the-art Large Language Models (LLMs); BERT (Bidirectional Encoder Representations from Transformers) for textual similarity. For similarity among ontology labels, we used a modified version of Wu-Palmer's similarity. A hybrid weighted similarity is proposed, incorporating text and ontology similarities to enhance semantic search results. The proposed approach was validated using an open-source dataset of real maintenance records from excavators collected over ten years from different mining sites. A retrieval comparison using only text and multi-modal data is performed to estimate the proposed system's effectiveness. Quantitative and qualitative analysis of results indicates a performance improvement of 8% using the proposed hybrid similarity approach compared to only text-based retrieval. To the best of our knowledge, this is the first study to combine LLMs and machine ontology for semantic search in maintenance records.</t>
  </si>
  <si>
    <t>10.1016/j.jii.2025.100835</t>
  </si>
  <si>
    <t>WOS:001455333200001</t>
  </si>
  <si>
    <t>Murugan, M; Yuan, B; Venner, E; Ballantyne, CM; Robinson, KM; Coons, JC; Wang, LW; Empey, PE; Gibbs, RA</t>
  </si>
  <si>
    <t>Murugan, Mullai; Yuan, Bo; Venner, Eric; Ballantyne, Christie M.; Robinson, Katherine M.; Coons, James C.; Wang, Liwen; Empey, Philip E.; Gibbs, Richard A.</t>
  </si>
  <si>
    <t>Empowering personalized pharmacogenomics with generative AI solutions</t>
  </si>
  <si>
    <t>generative AI; pharmacogenomic testing; AI assistant; retrieval-augmented generation; large language models; OpenAI GPT-4</t>
  </si>
  <si>
    <t>Objective This study evaluates an AI assistant developed using OpenAI's GPT-4 for interpreting pharmacogenomic (PGx) testing results, aiming to improve decision-making and knowledge sharing in clinical genetics and to enhance patient care with equitable access.Materials and Methods The AI assistant employs retrieval-augmented generation (RAG), which combines retrieval and generative techniques, by harnessing a knowledge base (KB) that comprises data from the Clinical Pharmacogenetics Implementation Consortium (CPIC). It uses context-aware GPT-4 to generate tailored responses to user queries from this KB, further refined through prompt engineering and guardrails.Results Evaluated against a specialized PGx question catalog, the AI assistant showed high efficacy in addressing user queries. Compared with OpenAI's ChatGPT 3.5, it demonstrated better performance, especially in provider-specific queries requiring specialized data and citations. Key areas for improvement include enhancing accuracy, relevancy, and representative language in responses.Discussion The integration of context-aware GPT-4 with RAG significantly enhanced the AI assistant's utility. RAG's ability to incorporate domain-specific CPIC data, including recent literature, proved beneficial. Challenges persist, such as the need for specialized genetic/PGx models to improve accuracy and relevancy and addressing ethical, regulatory, and safety concerns.Conclusion This study underscores generative AI's potential for transforming healthcare provider support and patient accessibility to complex pharmacogenomic information. While careful implementation of large language models like GPT-4 is necessary, it is clear that they can substantially improve understanding of pharmacogenomic data. With further development, these tools could augment healthcare expertise, provider productivity, and the delivery of equitable, patient-centered healthcare services.</t>
  </si>
  <si>
    <t>10.1093/jamia/ocae039</t>
  </si>
  <si>
    <t>WOS:001179493300001</t>
  </si>
  <si>
    <t>Hasan, E; Epping, G; Lorenzo-Luaces, L; Bollen, J; Trueblood, JS</t>
  </si>
  <si>
    <t>Hasan, Eeshan; Epping, Gunnar; Lorenzo-Luaces, Lorenzo; Bollen, Johan; Trueblood, Jennifer Sue</t>
  </si>
  <si>
    <t>One-shot intervention reduces online engagement with distorted content</t>
  </si>
  <si>
    <t>social media; mental health; depression; cognitive behavioral therapy; large language models</t>
  </si>
  <si>
    <t>SOCIAL MEDIA; EMOTIONAL CONTAGION; PRIMARY-CARE; DEPRESSION; PHQ-9; RUMINATION; MOOD; METAANALYSIS; THERAPY; MEMORY</t>
  </si>
  <si>
    <t>Depression is one of the leading causes of disability worldwide. Individuals with depression often experience unrealistic and overly negative thoughts, i.e. cognitive distortions, that cause maladaptive behaviors and feelings. Now that a majority of the US population uses social media platforms, concerns have been raised that they may serve as a vector for the spread of distorted ideas and thinking amid a global mental health epidemic. Here, we study how individuals (n=838) interact with distorted content on social media platforms using a simulated environment similar to Twitter (now X). We find that individuals with higher depression symptoms tend to prefer distorted content more than those with fewer symptoms. However, a simple one-shot intervention can teach individuals to recognize and drastically reduce interactions with distorted content across the entire depression scale. This suggests that distorted thinking on social media may disproportionally affect individuals with depression, but simple awareness training can mitigate this effect. Our findings have important implicasstions for understanding the role of social media in propagating distorted thinking and potential paths to reduce the societal cost of mental health disorders.</t>
  </si>
  <si>
    <t>pgaf068</t>
  </si>
  <si>
    <t>10.1093/pnasnexus/pgaf068</t>
  </si>
  <si>
    <t>WOS:001446407600001</t>
  </si>
  <si>
    <t>Lim, H; Choi, D; Choi, D; Nam, S; Hong, H</t>
  </si>
  <si>
    <t>Lim, Hyunseung; Choi, Dasom; Choi, Daeun; Nam, Sooyohn; Hong, Hwajung</t>
  </si>
  <si>
    <t>Feed-O-Meter: Investigating AI-generated mentee personas as interactive agents for scaffolding design feedback practice</t>
  </si>
  <si>
    <t>Design education; Design feedback; Human-computer interaction; Large language model; AI-generated agent</t>
  </si>
  <si>
    <t>INTELLIGENT TUTORING SYSTEMS; PEER FEEDBACK; THINKING; TYPOLOGY; REVIEWS; QUALITY</t>
  </si>
  <si>
    <t>Effective feedback, including critique and evaluation, helps designers develop design concepts and refine their ideas, supporting informed decision-making throughout the iterative design process. However, in studio-based design courses, students often struggle to provide feedback due to a lack of confidence and fear of being judged, which limits their ability to develop essential feedback-giving skills. Recent advances in large language models (LLMs) suggest that role-playing with AI agents can allow learners to engage in multi-turn feedback without the anxiety of external judgment or the time constraints of real-world settings. Yet prior studies have raised concerns that LLMs struggle to behave like real people in role-play scenarios, diminishing the educational benefits of these interactions. Therefore, designing AI-based agents that effectively support learners in practicing and developing intellectual reasoning skills requires more than merely assigning the target persona's personality and role to the agent. By addressing these issues, we present Feed-O-Meter, a novel system that employs carefully designed LLM-based agents to create an environment in which students can practice giving design feedback. The system enables users to role-play as mentors, providing feedback to an AI mentee and allowing them to reflect on how that feedback impacts the AI mentee's idea development process. A user study (N=24) indicated that Feed-O-Meter increased participants' engagement and motivation through role-switching and helped them adjust feedback to be more comprehensible for an AI mentee. Based on these findings, we discuss future directions for designing systems to foster feedback skills in design education.</t>
  </si>
  <si>
    <t>10.1016/j.ijhcs.2025.103687</t>
  </si>
  <si>
    <t>WOS:001633421400001</t>
  </si>
  <si>
    <t>Ji, X; Zhang, L; Zhang, WY; Peng, F; Mao, YF; Liao, XC; Zhang, K</t>
  </si>
  <si>
    <t>Ji, Xin; Zhang, Le; Zhang, Wenya; Peng, Fang; Mao, Yifan; Liao, Xingchuang; Zhang, Kui</t>
  </si>
  <si>
    <t>LEMAD: LLM-Empowered Multi-Agent System for Anomaly Detection in Power Grid Services</t>
  </si>
  <si>
    <t>large language models; multi-agent systems; anomaly detection; intelligent O&amp;M; power grid; AIOps</t>
  </si>
  <si>
    <t>With the accelerated digital transformation of the power industry, critical infrastructures such as power grids are increasingly migrating to cloud-native architectures, leading to unprecedented growth in service scale and complexity. Traditional operation and maintenance (O&amp;M) methods struggle to meet the demands for real-time monitoring, accuracy, and scalability in such environments. This paper proposes a novel service performance anomaly detection system based on large language models (LLMs) and multi-agent systems (MAS). By integrating the semantic understanding capabilities of LLMs with the distributed collaboration advantages of MAS, we construct a high-precision and robust anomaly detection framework. The system adopts a hierarchical architecture, where lower-layer agents are responsible for tasks such as log parsing and metric monitoring, while an upper-layer coordinating agent performs multimodal feature fusion and global anomaly decision-making. Additionally, the LLM enhances the semantic analysis and causal reasoning capabilities for logs. Experiments conducted on real-world data from the State Grid Corporation of China, covering 1289 service combinations, demonstrate that our proposed system significantly outperforms traditional methods in terms of the F1-score across four platforms, including customer services and grid resources (achieving up to a 10.3% improvement). Notably, the system excels in composite anomaly detection and root cause analysis. This study provides an industrial-grade, scalable, and interpretable solution for intelligent power grid O&amp;M, offering a valuable reference for the practical implementation of AIOps in critical infrastructures. Evaluated on real-world data from the State Grid Corporation of China (SGCC), our system achieves a maximum F1-score of 88.78%, with a precision of 92.16% and recall of 85.63%, outperforming five baseline methods.</t>
  </si>
  <si>
    <t>JUL 28</t>
  </si>
  <si>
    <t>10.3390/electronics14153008</t>
  </si>
  <si>
    <t>WOS:001550687500001</t>
  </si>
  <si>
    <t>Campos, M; Farinhas, A; Zerva, C; Figueiredo, MAT; Martins, AFT</t>
  </si>
  <si>
    <t>Campos, Margarida; Farinhas, Antonio; Zerva, Chrysoula; Figueiredo, Mario A. T.; Martins, Andre F. T.</t>
  </si>
  <si>
    <t>Conformal Prediction for Natural Language Processing: A Survey</t>
  </si>
  <si>
    <t>The rapid proliferation of large language models and natural language processing (NLP) applications creates a crucial need for uncertainty quantification to mitigate risks such as Hallucinations and to enhance decision-making reliability in critical applications. Conformal prediction is emerging as a theoretically sound and practically useful framework, combining flexibility with strong statistical guarantees. Its model-agnostic and distribution-free nature makes it particularly promising to address the current shortcomings of NLP systems that stem from the absence of uncertainty quantification. This paper provides a comprehensive survey of conformal prediction techniques, their guarantees, and existing applications in NLP, pointing to directions for future research and open challenges.</t>
  </si>
  <si>
    <t>NOV 18</t>
  </si>
  <si>
    <t>10.1162/tacl_a_00715</t>
  </si>
  <si>
    <t>WOS:001361348300002</t>
  </si>
  <si>
    <t>Gomez, C; Yin, JJ; Huang, CM; Unberath, M</t>
  </si>
  <si>
    <t>Gomez, Catalina; Yin, Junjie; Huang, Chien-Ming; Unberath, Mathias</t>
  </si>
  <si>
    <t>How large language model-powered conversational agents influence decision making in domestic medical triage contexts</t>
  </si>
  <si>
    <t>human-AI interaction; decision-making; empirical studies; LLMs; triage</t>
  </si>
  <si>
    <t>Introduction Effective delivery of healthcare depends on timely and accurate triage decisions, directing patients to appropriate care pathways and reducing unnecessary visits. Artificial Intelligence (AI) solutions, particularly those based on Large Language Models (LLMs), may enable non-experts to make better triage decisions at home, thus easing the healthcare system's load. We investigate how LLM-powered conversational agents influence non-experts in making triage decisions, further studying different persona profiles embedded via prompting.Methods We designed a randomized experiment where participants first assessed patient symptom vignettes independently, then consulted one of the two agent profiles-rational or empathic-for advice, and finally revised their triage ratings. We used linear models to quantify the effect of the agent profile and confidence on the weight of advice. We examined changes in confidence and accuracy of triage decisions, along with participants' perceptions of the agents.Results In a study with 49 layperson participants, we found that persona profiles can be differentiated in LLM-powered conversational agents. However, these profiles did not significantly affect the weight of advice. Notably, less confident participants were more influenced by LLM advice, leading to larger adjustments to initial decisions. AI guidance improved alignment with correct triage levels and boosted confidence in participants' decisions.Discussion While LLM advice improves triage recommendations accuracy, confidence plays an important role in its adoption. Our findings raise design considerations for human-AI interfaces, highlighting two key aspects: encouraging appropriate alignment with LLMs' advice and ensuring that people are not easily swayed in situations of uncertainty.</t>
  </si>
  <si>
    <t>OCT 18</t>
  </si>
  <si>
    <t>10.3389/fcomp.2024.1427463</t>
  </si>
  <si>
    <t>WOS:001345292900001</t>
  </si>
  <si>
    <t>Rjoub, G; Elmekki, H; Islam, S; Bentahar, J; Dssouli, R</t>
  </si>
  <si>
    <t>Rjoub, Gaith; Elmekki, Hanae; Islam, Saidul; Bentahar, Jamal; Dssouli, Rachida</t>
  </si>
  <si>
    <t>A hybrid swarm intelligence approach for optimizing Multimodal Large Language Models deployment in edge-cloud-based Federated Learning environments</t>
  </si>
  <si>
    <t>COMPUTER COMMUNICATIONS</t>
  </si>
  <si>
    <t>Federated Learning; Large Multimodal Models; Swarm intelligence; Particle Swarm Optimization; Ant Colony Optimization; Edge-cloud computing; Resource optimization; Unmanned Vehicle System</t>
  </si>
  <si>
    <t>The combination of Federated Learning (FL), Multimodal Large Language Models (MLLMs), and edge-cloud computing enables distributed and real-time data processing while preserving privacy across edge devices and cloud infrastructure. However, the deployment of MLLMs in FL environments with resource-constrained edge devices presents significant challenges, including resource management, communication overhead, and non-IID data. To address these challenges, we propose a novel hybrid framework wherein MLLMs are deployed on edge devices equipped with sufficient resources and battery life, while the majority of training occurs in the cloud. To identify suitable edge devices for deployment, we employ Particle Swarm Optimization (PSO), and Ant Colony Optimization (ACO) is utilized to optimize the transmission of model updates between edge and cloud nodes. This proposed swarm intelligence-based framework aims to enhance the efficiency of MLLM training by conducting extensive training in the cloud and fine-tuning at the edge, thereby reducing energy consumption and communication costs. The framework is particularly applicable in Unmanned Vehicle System (UVS)-based edge-cloud computing environments, where efficient resource management and real-time decision-making are critical for autonomous operations. The autonomous nature of UVS requires efficient resource management and a reliable communication system. The proposed swarm intelligence-based framework aims to satisfy these requirements through optimized edge device selection, while minimizing communication overhead. Our experimental results show that the proposed method significantly improves system performance, achieving an accuracy of 92%, reducing communication cost by 30%, and enhancing client participation compared to traditional FL methods. These results make the proposed approach highly suitable for large-scale edge-cloud computing systems.</t>
  </si>
  <si>
    <t>0140-3664</t>
  </si>
  <si>
    <t>1873-703X</t>
  </si>
  <si>
    <t>MAY 1</t>
  </si>
  <si>
    <t>10.1016/j.comcom.2025.108152</t>
  </si>
  <si>
    <t>WOS:001465189800001</t>
  </si>
  <si>
    <t>Qu, W; Chen, C; Lu, W; Wei, YY; Li, T</t>
  </si>
  <si>
    <t>Qu, Wei; Chen, Cong; Lu, Wei; Wei, Yingying; Li, Tao</t>
  </si>
  <si>
    <t>CM-MRAG: A multimodal retrieval-augmented framework for content moderation</t>
  </si>
  <si>
    <t>Retrieval-augmented generation; Context moderation; Large language model; AI-generated content; User-generated content</t>
  </si>
  <si>
    <t>Large Language Models (LLMs) have catalyzed a transformative paradigm shift in the auditing of User-Generated Content (UGC) and AI-Generated Content (AIGC), advancing content moderation systems from rule-based paradigms to cognition-driven architectures. Despite their promising capabilities, current LLM-based moderation frameworks predominantly rely on fine-tuning approaches, which encounter three critical limitations: (1) the heterogeneity and continuous evolution of safety standards across platforms and jurisdictions; (2) the prohibitive cost and limited accessibility of high-quality, domain-specific annotated datasets; and (3) the susceptibility to hallucinations coupled with insufficient decision traceability, undermining moderation reliability and auditability. To address these challenges comprehensively, this study introduces CM-MRAG, a general-purpose multimodal moderation framework that integrates fine-tuned multimodal LLMs with a flexible retrieval module. A base model is trained to detect harmful patterns in multimodal content, and the MRAG component is subsequently employed to enhance reasoning through relevant examples. This design enables rapid adaptation to new safety requirements without repeated fine-tuning. The approach reduces data and computational demands and improves reliability by mitigating hallucinations. Experimental results demonstrate that CM-MRAG reaches 97.92 % accuracy on in-distribution data and 93.07% on out-of-distribution data, outperforming strong baselines such as Llama-Guard (93.20 %) and LlavaGuard-B (91.64 %). The ablation studies further indicate that scaling the MRAG repository consistently boosts accuracy, from 94.17% to 99.17%. In practice, CM-MRAG can be integrated into a wide range of applications, including social media platforms, online learning environments, and digital marketplaces. By maintaining reliable performance and low latency while adapting to evolving content patterns, it provides a practical solution for strengthening content security across diverse digital ecosystems. The implementation is available at https://github.com/clsyc/CMRAG.</t>
  </si>
  <si>
    <t>10.1016/j.eswa.2025.130768</t>
  </si>
  <si>
    <t>WOS:001642984300001</t>
  </si>
  <si>
    <t>Picó, JFI; Catta-Preta, M; Omeñaca, AT; Vidal, M; Fierro, JMMI</t>
  </si>
  <si>
    <t>i Pico, Jan Ferrer; Catta-Preta, Michelle; Omenaca, Alex Trejo; Vidal, Marc; i Fierro, Josep Maria Monguet</t>
  </si>
  <si>
    <t>The Time Machine: Future Scenario Generation Through Generative AI Tools</t>
  </si>
  <si>
    <t>scenarios; futures; generative AI; large language models (LLMs); prompt engineering</t>
  </si>
  <si>
    <t>Contemporary society faces unprecedented challenges-from rapid technological evolution to climate change and demographic tensions-compelling organisations to anticipate the future for informed decision-making. This case study aimed to design a digital system for end-users called the Time Machine, which enables a generative artificial intelligence (GAI) system to produce prospective future scenarios based on the input information automatically, proposing hypotheses and prioritising trends to streamline and make the formulation of future scenarios more accessible. The system's design, development, and testing progressed through three versions of prompts for the OpenAI GPT-4 LLM, with six trials conducted involving 222 participants. This iterative approach allowed for gradual adjustment of instructions given to the machine and encouraged refinement. Results from the six trials demonstrated that the Time Machine is an effective tool for generating future scenarios that promote debate and stimulate new ideas in multidisciplinary teams. Our trials proved that GAI-generated scenarios could foster discussions on +70% of generated scenarios with appropriate prompting, and more than half included new ideas. In conclusion, large language models (LLMs) of GAI, with suitable prompt engineering and architecture, have the potential to generate useful future scenarios for organisations, transforming future intelligence into a more accessible and operational resource. However, critical use of these scenarios is essential.</t>
  </si>
  <si>
    <t>10.3390/fi17010048</t>
  </si>
  <si>
    <t>WOS:001404080100001</t>
  </si>
  <si>
    <t>Mineo, R; Salanitri, FP; Bellitto, G; Kavasidis, I; De Filippo, O; Millesimo, M; De Ferrari, GM; Aldinucci, M; Giordano, D; Palazzo, S; D'Ascenzo, F; Spampinato, C</t>
  </si>
  <si>
    <t>Mineo, Raffaele; Salanitri, F. Proietto; Bellitto, G.; Kavasidis, I.; De Filippo, O.; Millesimo, M.; De Ferrari, G. M.; Aldinucci, M.; Giordano, D.; Palazzo, S.; D'Ascenzo, F.; Spampinato, C.</t>
  </si>
  <si>
    <t>A Convolutional-Transformer Model for FFR and iFR Assessment From Coronary Angiography</t>
  </si>
  <si>
    <t>Feature extraction; Angiography; Transformers; Visualization; Three-dimensional displays; Solid modeling; Analytical models; Attention methods; coronary angiography; coronary stenosis quantification</t>
  </si>
  <si>
    <t>FRACTIONAL FLOW RESERVE; WAVE-FREE RATIO; QUANTIFICATION; ATTENTION; STENOSIS</t>
  </si>
  <si>
    <t>The quantification of stenosis severity from X-ray catheter angiography is a challenging task. Indeed, this requires to fully understand the lesion's geometry by analyzing dynamics of the contrast material, only relying on visual observation by clinicians. To support decision making for cardiac intervention, we propose a hybrid CNN-Transformer model for the assessment of angiography-based non-invasive fractional flow-reserve (FFR) and instantaneous wave-free ratio (iFR) of intermediate coronary stenosis. Our approach predicts whether a coronary artery stenosis is hemodynamically significant and provides direct FFR and iFR estimates. This is achieved through a combination of regression and classification branches that forces the model to focus on the cut-off region of FFR (around 0.8 FFR value), which is highly critical for decision-making. We also propose a spatio-temporal factorization mechanisms that redesigns the transformer's self-attention mechanism to capture both local spatial and temporal interactions between vessel geometry, blood flow dynamics, and lesion morphology. The proposed method achieves state-of-the-art performance on a dataset of 778 exams from 389 patients. Unlike existing methods, our approach employs a single angiography view and does not require knowledge of the key frame; supervision at training time is provided by a classification loss (based on a threshold of the FFR/iFR values) and a regression loss for direct estimation. Finally, the analysis of model interpretability and calibration shows that, in spite of the complexity of angiographic imaging data, our method can robustly identify the location of the stenosis and correlate prediction uncertainty to the provided output scores.</t>
  </si>
  <si>
    <t>10.1109/TMI.2024.3383283</t>
  </si>
  <si>
    <t>WOS:001285367200024</t>
  </si>
  <si>
    <t>Khoboko, PW; Marivate, V; Sefara, J</t>
  </si>
  <si>
    <t>Khoboko, Pitso Walter; Marivate, Vukosi; Sefara, Joseph</t>
  </si>
  <si>
    <t>Optimizing translation for low-resource languages: Efficient fine-tuning with custom prompt engineering in large language models</t>
  </si>
  <si>
    <t>Large language model (LLM); PEFT; Mistral 7B; Prompt Engineering; In-Context-Learning (ICL); En-Zul (English-to-Zulu); En-Xh (English-to-Xhosa); BLUE-score; F1score; G -Eva (mean cosine-similarity score)</t>
  </si>
  <si>
    <t>Training large language models (LLMs) can be prohibitively expensive. However, the emergence of new Parameter-Efficient Fine-Tuning (PEFT) strategies provides a cost-effective approach to unlocking the potential of LLMs across a variety of natural language processing (NLP) tasks. In this study, we selected the Mistral 7B language model as our primary LLM due to its superior performance, which surpasses that of LLAMA 2 13B across multiple benchmarks. By leveraging PEFT methods, we aimed to significantly reduce the cost of fine-tuning while maintaining high levels of performance. Despite their advancements, LLMs often struggle with translation tasks for low-resource languages, particularly morphologically rich African languages. To address this, we employed customized prompt engineering techniques to enhance LLM translation capabilities for these languages. Our experimentation focused on fine-tuning the Mistral 7B model to identify the best-performing ensemble using a custom prompt strategy. The results obtained from the fine-tuned Mistral 7B model were compared against several models: Serengeti, Gemma, Google Translate, and No Language Left Behind (NLLB). Specifically, Serengeti and Gemma were fine-tuned using the same custom prompt strategy as the Mistral model, while Google Translate and NLLB Gemma, which are pre-trained to handle English-to-Zulu and English-to-Xhosa translations, were evaluated directly on the test data set. This comparative analysis allowed us to assess the efficacy of the fine-tuned Mistral 7B model against both custom-tuned and pre-trained translation models. LLMs have traditionally struggled to produce high-quality translations, especially for low-resource languages. Our experiments revealed that the key to improving translation performance lies in using the correct prompt during fine-tuning. We used the Mistral 7B model to develop a custom prompt that significantly enhanced translation quality for English-to-Zulu and English-to-Xhosa language pairs. After fine-tuning the Mistral 7B model for 30 GPU days, we compared its performance to the No Language Left Behind (NLLB) model and Google Translator API on the same test dataset. While NLLB achieved the highest scores across BLEU, G-Eval (cosine similarity), and Chrf++ (F1-score), our results demonstrated that Mistral 7B, with the custom prompt, still performed competitively. Additionally, we showed that our prompt template can improve the translation accuracy of other models, such as Gemma and Serengeti, when applied to high-quality bilingual datasets. This demonstrates that our custom prompt strategy is adaptable across different model architectures, bilingual settings, and is highly effective in accelerating learning for low-resource language translation.</t>
  </si>
  <si>
    <t>10.1016/j.mlwa.2025.100649</t>
  </si>
  <si>
    <t>WOS:001482171900001</t>
  </si>
  <si>
    <t>Chen, Y; Kirshner, SN; Ovchinnikov, A; Andiappan, M; Jenkin, T</t>
  </si>
  <si>
    <t>Chen, Yang; Kirshner, Samuel N.; Ovchinnikov, Anton; Andiappan, Meena; Jenkin, Tracy</t>
  </si>
  <si>
    <t>A Manager and an AI Walk into a Bar: Does ChatGPT Make Biased Decisions Like We Do?</t>
  </si>
  <si>
    <t>M&amp;SOM-MANUFACTURING &amp; SERVICE OPERATIONS MANAGEMENT</t>
  </si>
  <si>
    <t>large language models; decision biases; ChatGPT; behavioral operations management</t>
  </si>
  <si>
    <t>MARKDOWN</t>
  </si>
  <si>
    <t>Problem definition: Large language models (LLMs) are being increasingly leveraged in business and consumer decision-making processes. Because LLMs learn from human data and feedback, which can be biased, determining whether LLMs exhibit human-like behavioral decision biases (e.g., neglect, risk aversion, confirmation bias, etc.) is crucial prior to implementing LLMs into decision-making contexts and workflows. To understand this, we examine 18 common human biases that are important in operations management (OM) using the dominant LLM, ChatGPT. Methodology/results: We perform experiments where GPT-3.5 and GPT-4 act as participants to test these biases using vignettes adapted from the literature (standard context) and variants reframed in inventory and general OM contexts. In almost half of the experiments, Generative Pre-trained Transformer (GPT) mirrors human biases, diverging from prototypical human responses in the remaining experiments. We also observe that GPT models have a notable level of consistency between the standard and OM-specific experiments as well as across temporal versions of the GPT-3.5 model. Our comparative analysis between GPT-3.5 and GPT-4 reveals a dual-edged progression of GPT's decision making, wherein GPT-4 advances in decision-making accuracy for problems with well-defined mathematical solutions while simultaneously displaying increased behavioral biases for preference-based problems. Managerial implications: First, our results highlight that managers will obtain the greatest benefits from deploying GPT to workflows leveraging established formulas. Second, that GPT displayed a high level of response consistency across the standard, inventory, and non-inventory operational contexts provides optimism that LLMs can offer reliable support even when details of the decision and problem contexts change. Third, although selecting between models, like GPT-3.5 and GPT-4, represents a trade-off in cost and performance, our results suggest that managers should invest in higherperforming models, particularly for solving problems with objective solutions.</t>
  </si>
  <si>
    <t>1523-4614</t>
  </si>
  <si>
    <t>1526-5498</t>
  </si>
  <si>
    <t>10.1287/msom.2023.0279</t>
  </si>
  <si>
    <t>WOS:001415069900001</t>
  </si>
  <si>
    <t>Kpodo, J; Nejadhashemi, AP</t>
  </si>
  <si>
    <t>Kpodo, Josue; Nejadhashemi, A. Pouyan</t>
  </si>
  <si>
    <t>Navigating challenges/opportunities in developing smart agricultural extension platforms: Multi-media data mining techniques</t>
  </si>
  <si>
    <t>Agriculture extension; Artificial intelligence; Multi-media data mining; Decision-making; Large language models</t>
  </si>
  <si>
    <t>SENTIMENT ANALYSIS; EMOTION RECOGNITION; ARTIFICIAL-INTELLIGENCE; AUDIO CLASSIFICATION; IMAGE RETRIEVAL; EVENT DETECTION; VIDEO ANALYSIS; ALGORITHMS; HYBRID; SYSTEMS</t>
  </si>
  <si>
    <t>Agricultural Extension (AE) research faces significant challenges in producing relevant and practical knowledge due to rapid advancements in artificial intelligence (AI). AE struggles to keep pace with these advancements, complicating the development of actionable information. One major challenge is the absence of intelligent platforms that enable efficient information retrieval and quick decision-making. Investigations have shown a shortage of AI-assisted solutions that effectively use AE materials across various media formats while preserving scientific accuracy and contextual relevance. Although mainstream AI systems can potentially reduce decisionmaking risks, their usage remains limited. This limitation arises primarily from the lack of standardized datasets and concerns regarding user data privacy. For AE datasets to be standardized, they must satisfy four key criteria: inclusion of critical domain-specific knowledge, expert curation, consistent structure, and acceptance by peers. Addressing data privacy issues involves adhering to open-access principles and enforcing strict data encryption and anonymization standards. To address these gaps, a conceptual framework is introduced. This framework extends beyond typical user-oriented platforms and comprises five core modules. It features a neurosymbolic pipeline integrating large language models with physically based agricultural modeling software, further enhanced by Reinforcement Learning from Human Feedback. Notable aspects of the framework include a dedicated human-in-the-loop process and a governance structure consisting of three primary bodies focused on data standardization, ethics and security, and accountability and transparency. Overall, this work represents a significant advancement in agricultural knowledge systems, potentially transforming how AE services deliver critical information to farmers and other stakeholders. (c) 2024 The Authors. Publishing services by Elsevier B.V. on behalf of KeAi Communications Co., Ltd. This is an open access article under the CC BY license (http://creativecommons.org/licenses/by/4.0/).</t>
  </si>
  <si>
    <t>10.1016/j.aiia.2025.04.001</t>
  </si>
  <si>
    <t>WOS:001491506400001</t>
  </si>
  <si>
    <t>Li, YY; Ni, ZW; Xiao, BQ</t>
  </si>
  <si>
    <t>Li, Yanying; Ni, Zaiwen; Xiao, Binqing</t>
  </si>
  <si>
    <t>Domain Knowledge-Enhanced Process Mining for Anomaly Detection in Commercial Bank Business Processes</t>
  </si>
  <si>
    <t>process mining; domain knowledge; business process management; anomaly detection; commercial banking; large language models</t>
  </si>
  <si>
    <t>FINANCIAL SERVICES; PROCESS MODELS; DISCOVERY</t>
  </si>
  <si>
    <t>Process anomaly detection in financial services systems is crucial for operational compliance and risk management. However, traditional process mining techniques frequently neglect the detection of significant low-frequency abnormalities due to their dependence on frequency and the inadequate incorporation of domain-specific knowledge. Therefore, we develop an enhanced process mining algorithm by incorporating a domain-specific follow-relationship matrix derived from standard operating procedures (SOPs). We empirically evaluated the effectiveness of the proposed algorithm based on real-world event logs from a corporate account-opening process conducted from January to December 2022 in a Chinese commercial bank. Additionally, we employed large language models (LLMs) for root cause analysis and process optimization recommendations. The empirical results demonstrate that the E-Heuristic Miner significantly outperforms traditional machine learning methods and process mining algorithms in process anomaly detection. Furthermore, the integration of LLMs provides promising capabilities in semantic reasoning and offers explainable optimization suggestions, enhancing decision-making support in complex financial scenarios. Our study significantly improves the precision of process anomaly detection in financial contexts by incorporating banking-specific domain knowledge into process mining algorithms. Meanwhile, it extends theoretical boundaries and the practical applicability of process mining in intelligent, semantic-aware financial service management.</t>
  </si>
  <si>
    <t>JUL 4</t>
  </si>
  <si>
    <t>10.3390/systems13070545</t>
  </si>
  <si>
    <t>WOS:001541915800001</t>
  </si>
  <si>
    <t>Haldar, S; Pierce, M; Capretz, LF</t>
  </si>
  <si>
    <t>Haldar, Susmita; Pierce, Mary; Capretz, Luiz Fernando</t>
  </si>
  <si>
    <t>Exploring the Integration of Generative AI Tools in Software Testing Education: A Case Study on ChatGPT and Copilot for Preparatory Testing Artifacts in Postgraduate Learning</t>
  </si>
  <si>
    <t>Software testing; Education; Generative AI; Industries; Chatbots; Software engineering; Sentiment analysis; Large language models; Accuracy; Systematic literature review; Capstone project; ChatGPT; generative AI; software testing education; Microsoft Copilot; sentiment analysis</t>
  </si>
  <si>
    <t>Software testing education is important for building qualified testing professionals. To ensure that software testing graduates are ready for real-world challenges, it is necessary to integrate modern tools and technologies into the curriculum. With the emergence of Large Language Models (LLMs), their potential use in software engineering has become a focus, but their application in software testing education remains largely unexplored. This study, conducted in the Capstone Project course of a postgraduate software testing program, was carried out over two semesters with two distinct groups of students. A custom-built Travel Application limited to a web platform was used in the first semester. In the second semester, a new set of students worked with an open-source application, offering a larger-scale, multi-platform experience across web, desktop, and mobile platforms. Students initially created preparatory testing artifacts manually as a group deliverable. Following this, they were assigned an individual assignment to generate the same artifacts using LLM tools such as ChatGPT 3.5 in the first semester and Microsoft Copilot in the second. This process directly compared manually created artifacts and those generated using LLMs, leveraging AI for faster outputs. After completion, they responded to a set of assigned questions. The students' responses were assessed using an integrated methodology, including quantitative and qualitative assessments, sentiment analysis to understand emotions, and a thematic approach to extract deeper insights. The findings revealed that while LLMs can assist and augment manual testing efforts, they cannot entirely replace the need for manual testing. By incorporating innovative technology into the curriculum, this study highlights how Generative AI can support active learning, connect theoretical concepts with practical applications, and align educational practices with industry needs.</t>
  </si>
  <si>
    <t>10.1109/ACCESS.2025.3545882</t>
  </si>
  <si>
    <t>WOS:001447533700042</t>
  </si>
  <si>
    <t>Chen, JY; Liu, LY; Zhou, F</t>
  </si>
  <si>
    <t>Chen, Junyi; Liu, Leyuan; Zhou, Fan</t>
  </si>
  <si>
    <t>Do not wait: Preemptive rumor detection with cooperative LLMs and accessible social context</t>
  </si>
  <si>
    <t>Natural language processing; Text mining; Rumor detection; Large language models; Social network</t>
  </si>
  <si>
    <t>INFORMATION; NETWORKS</t>
  </si>
  <si>
    <t>Concerning the dissemination of rumors via tweets, current methods for detecting rumors - both content-based and graph-based - do not adequately address the need for preemptive action to suppress rumors before public exposure. Although the advancement of large language models (LLMs) indicates a positive trend, their application in rumor detection remains either overly simplistic or excessively complex. Motivated by these, we put forward EvidenceRD, which employs an efficient yet effective cooperative strategy of three types of LLMs to mine informative evidence that augments content context behind tweets warranting a fact check. This is then integrated with a credibility network, an automatically generated social context based on the social homophily theory, to depict potential credibility relationships between authors of corresponding tweets. Extensive experiments across four public datasets confirm the efficacy of the proposed EvidenceRD. Specifically, EvidenceRD outperforms state-of-the-art baselines across various categories, achieving an improvement in general detection performance ranging from 3% to 16%. This superiority is achieved by exclusively utilizing pre-public information, a constraint not imposed on the comparative baselines. Besides, As EvidenceRD considers both evidence and the social context behind a tweet, it not only offers enhanced explainability through its multi-perspective evidence presented in natural language but also demonstrates greater robustness and transferability across different scenarios. Additional efficiency analysis demonstrates that the above-enhanced characteristics brought by EvidenceRD are cost-effective in terms of both financial and computational expenses. To summarize, compared to existing studies, this work theoretically presents a generally effective and efficient paradigm for utilizing LLMs in the context of rumor detection and demonstrates how integrating accessible social context can effectively detect rumors. Practically, the proposed method can accurately detect rumors before they emerge publicly with several notable metrics improvements and aid human decision-making on them from multiple dimensions.</t>
  </si>
  <si>
    <t>10.1016/j.ipm.2024.103995</t>
  </si>
  <si>
    <t>WOS:001374279300001</t>
  </si>
  <si>
    <t>An, JF; Huang, DF; Lin, C; Tai, MZ</t>
  </si>
  <si>
    <t>An, Jiafu; Huang, Difang; Lin, Chen; Tai, Mingzhu</t>
  </si>
  <si>
    <t>Measuring gender and racial biases in large language models: Intersectional evidence from automated resume evaluation</t>
  </si>
  <si>
    <t>DISCRIMINATION; ALLOCATION; RACE</t>
  </si>
  <si>
    <t>In traditional decision-making processes, social biases of human decision makers can lead to unequal economic outcomes for underrepresented social groups, such as women and racial/ethnic minorities (1-4). Recently, the growing popularity of large language model (LLM)-based AI signals a potential shift from human to AI-based decision-making. How would this transition affect the distributional outcomes across social groups? Here, we investigate the gender and racial biases of a number of commonly used LLMs, including OpenAI's GPT-3.5 Turbo and GPT-4o, Google's Gemini 1.5 Flash, Anthropic AI's Claude 3.5 Sonnet, and Meta's Llama 3-70b, in a high-stakes decision-making setting of assessing entry-level job candidates from diverse social groups. Instructing the models to score similar to 361,000 resumes with randomized social identities, we find that the LLMs award higher assessment scores for female candidates with similar work experience, education, and skills, but lower scores for black male candidates with comparable qualifications. These biases may result in similar to 1-3 percentage-point differences in hiring probabilities for otherwise similar candidates at a certain threshold and are consistent across various job positions and subsamples. Meanwhile, many models are biased against black male candidates. Our results indicate that LLM-based AI systems demonstrate significant biases, varying in terms of the directions and magnitudes across different social groups. Further research is needed to comprehend the root causes of these outcomes and develop strategies to minimize the remaining biases in AI systems. As AI-based decision-making tools are increasingly employed across diverse domains, our findings underscore the necessity of understanding and addressing the potential unequal outcomes to ensure equitable outcomes across social groups.</t>
  </si>
  <si>
    <t>pgaf089</t>
  </si>
  <si>
    <t>10.1093/pnasnexus/pgaf089</t>
  </si>
  <si>
    <t>WOS:001482371700001</t>
  </si>
  <si>
    <t>Hou, Y; Patel, J; Dai, LY; Zhang, EMY; Liu, Y; Zhan, ZF; Gangwani, P; Zhang, R</t>
  </si>
  <si>
    <t>Hou, Yu; Patel, Jay; Dai, Liya; Zhang, Emily; Liu, Yang; Zhan, Zaifu; Gangwani, Pooja; Zhang, Rui</t>
  </si>
  <si>
    <t>Benchmarking of Large Language Models for the Dental Admission Test</t>
  </si>
  <si>
    <t>HEALTH DATA SCIENCE</t>
  </si>
  <si>
    <t>BLOOMS TAXONOMY</t>
  </si>
  <si>
    <t>Background: Large language models (LLMs) have shown promise in educational applications, but their performance on high-stakes admissions tests, such as the Dental Admission Test (DAT), remains unclear. Understanding the capabilities and limitations of these models is critical for determining their suitability in test preparation. Methods: This study evaluated the ability of 16 LLMs, including general-purpose models (e.g., GPT-3.5, GPT-4, GPT-4o, GPT-o1, Google's Bard, mistral-large, and Claude), domain-specific fine-tuned models (e.g., DentalGPT, MedGPT, and BioGPT), and open-source models (e.g., Llama2-7B, Llama2-13B, Llama2-70B, Llama3-8B, and Llama3-70B), to answer questions from a sample DAT. Quantitative analysis was performed to assess model accuracy in different sections, and qualitative thematic analysis by subject matter experts examined specific challenges encountered by the models. Results: GPT-4o and GPT-o1 outperformed others in text-based questions assessing knowledge and comprehension, with GPT-o1 achieving perfect scores in the natural sciences (NS) and reading comprehension (RC) sections. Open-source models such as Llama3-70B also performed competitively in RC tasks. However, all models, including GPT-4o, struggled substantially with perceptual ability (PA) items, highlighting a persistent limitation in handling image-based tasks requiring visual-spatial reasoning. Fine-tuned medical models (e.g., DentalGPT, MedGPT, and BioGPT) demonstrated moderate success in text-based tasks but underperformed in areas requiring critical thinking and reasoning. Thematic analysis identified key challenges, including difficulties with stepwise problem-solving, transferring knowledge, comprehending intricate questions, and hallucinations, particularly on advanced items. Conclusions: While LLMs show potential for reinforcing factual knowledge and supporting learners, their limitations in handling higher-order cognitive tasks and image-based reasoning underscore the need for judicious integration with instructor-led guidance and targeted practice. This study provides valuable insights into the capabilities and limitations of current LLMs in preparing prospective dental students and highlights pathways for future innovations to improve performance across all cognitive skills assessed by the DAT.</t>
  </si>
  <si>
    <t>2765-8783</t>
  </si>
  <si>
    <t>10.34133/hds.0250</t>
  </si>
  <si>
    <t>Computer Science; Health Care Sciences &amp; Services</t>
  </si>
  <si>
    <t>WOS:001547513100002</t>
  </si>
  <si>
    <t>Niederhaus, M; Migenda, N; Weller, J; Kohlhase, M; Schenck, W</t>
  </si>
  <si>
    <t>Niederhaus, Marvin; Migenda, Nico; Weller, Julian; Kohlhase, Martin; Schenck, Wolfram</t>
  </si>
  <si>
    <t>Integrating Graph Retrieval-Augmented Generation into Prescriptive Recommender Systems</t>
  </si>
  <si>
    <t>prescriptive analytics; prescriptive platforms; advanced data analytics; retrieval-augmented generation; graph-based retrieval-augmented generation; large language models; generative AI; genAI; recommender system</t>
  </si>
  <si>
    <t>Making time-critical decisions with serious consequences is a daily aspect of work environments. To support the process of finding optimal actions, data-driven approaches are increasingly being used. The most advanced form of data-driven analytics is prescriptive analytics, which prescribes actionable recommendations for users. However, the produced recommendations rely on complex models and optimization techniques that are difficult to understand or justify to non-expert users. Currently, there is a lack of platforms that offer easy integration of domain-specific prescriptive analytics workflows into production environments. In particular, there is no centralized environment and standardized approach for implementing such prescriptive workflows. To address these challenges, large language models (LLMs) can be leveraged to improve interpretability by translating complex recommendations into clear, context-specific explanations, enabling non-experts to grasp the rationale behind the suggested actions. Nevertheless, we acknowledge the inherent black-box nature of LLMs, which may introduce limitations in transparency. To mitigate these limitations and to provide interpretable recommendations based on real user knowledge, a knowledge graph is integrated. In this paper, we present and validate a prescriptive analytics platform that integrates ontology-based graph retrieval-augmented generation (GraphRAG) to enhance decision making by delivering actionable and context-aware recommendations. For this purpose, a knowledge graph is created through a fully automated workflow based on an ontology, which serves as the backbone of the prescriptive platform. Data sources for the knowledge graph are standardized and classified according to the ontology by employing a zero-shot classifier. For user-friendly presentation, we critically examine the usability of GraphRAG in prescriptive analytics platforms. We validate our prescriptive platform in a customer clinic with industry experts in our IoT-Factory, a dedicated research environment.</t>
  </si>
  <si>
    <t>OCT 15</t>
  </si>
  <si>
    <t>10.3390/bdcc9100261</t>
  </si>
  <si>
    <t>WOS:001601794100001</t>
  </si>
  <si>
    <t>Maazallahi, A; Asadpour, M; Bazmi, P</t>
  </si>
  <si>
    <t>Maazallahi, Abbas; Asadpour, Masoud; Bazmi, Parisa</t>
  </si>
  <si>
    <t>Advancing emotion recognition in social media: A novel integration of heterogeneous neural networks with fine-tuned language models</t>
  </si>
  <si>
    <t>Heterogeneous neural network; Fine-tuned language models; Emotion classification; Social media analysis</t>
  </si>
  <si>
    <t>Social media platforms have emerged as crucial sources for emotion analysis, but the issue of non-compliance in labeling by fine-tuned large language models (LLMs) can significantly impact the accuracy of emotion classification. This study addresses this challenge by introducing a novel compliance-driven training set that systematically harmonizes label discrepancies across multiple LLMs, thereby enhancing classification accuracy by over 5% on the non-compliance set. Integrating this compliance set with a Heterogeneous Neural Network (HNN) architecture, we propose a robust framework for emotion classification. Our approach is validated on three diverse datasets, GoEmotion, Friends, and TEC, demonstrating substantial improvements in accuracy, F1 score, and recall over baseline models. These results confirm the effectiveness of our compliance-driven strategy and establish a new benchmark for emotion recognition in social media content. The proposed framework offers a versatile and scalable solution applicable across various languages and platforms, ensuring broad utility in advanced emotion classification tasks.</t>
  </si>
  <si>
    <t>10.1016/j.ipm.2024.103974</t>
  </si>
  <si>
    <t>WOS:001366995400001</t>
  </si>
  <si>
    <t>Shah, CR; Bender, EM</t>
  </si>
  <si>
    <t>Shah, Chirag; Bender, Emily m.</t>
  </si>
  <si>
    <t>Envisioning Information Access Systems: What Makes for Good Tools and a Healthy Web?</t>
  </si>
  <si>
    <t>Information access systems; large language models; information ecosys- tem</t>
  </si>
  <si>
    <t>RELEVANCE; RETRIEVAL; SCIENCE; BIAS</t>
  </si>
  <si>
    <t>We observe a recent trend toward applying large language models (LLMs) in search and positioning them as effective information access systems. While the interfaces may look appealing and the apparent breadth of applicability is exciting, we are concerned that the field is rushing ahead with a technology without sufficient study of the uses it is meant to serve, how it would be used, and what its use would mean. We argue that it is important to reassert the central research focus of the field of information retrieval, because information access is not merely an application to be solved by the so-called 'AI' techniques du jour. Rather, it is a key human activity, with impacts on both individuals and society. As information scientists, we should be asking what do people and society want and need from information access systems and how do we design and build systems to meet those needs? With that goal, in this conceptual article we investigate fundamental questions concerning information access from user and societal viewpoints. We revisit foundational work related to information behavior, information seeking, information retrieval, information filtering, and information access to resurface what we know about these fundamental questions and what may be missing. We then provide our conceptual framing about how we could fill this gap, focusing on methods as well as experimental and evaluation frameworks. We consider the Web as an information ecosystem and explore the ways in which synthetic media, produced by LLMs and otherwise, endangers that ecosystem. The primary goal of this conceptual article is to shed light on what we still do not know about the potential impacts of LLM-based information access systems, how to advance our understanding of user behaviors, and where the next generations of students, scholars, and developers could fruitfully invest their energies.</t>
  </si>
  <si>
    <t>10.1145/3649468</t>
  </si>
  <si>
    <t>WOS:001315176600001</t>
  </si>
  <si>
    <t>Song, SH; Yang, CC; Xu, L; Shang, HB; Li, Z; Chang, YH</t>
  </si>
  <si>
    <t>Song, Sihan; Yang, Chuncheng; Xu, Li; Shang, Haibin; Li, Zhuo; Chang, Yinghui</t>
  </si>
  <si>
    <t>TravelRAG: A Tourist Attraction Retrieval Framework Based on Multi-Layer Knowledge Graph</t>
  </si>
  <si>
    <t>tourism knowledge graph; retrieval-augmented generation; document intelligence; explainability; GeoAI</t>
  </si>
  <si>
    <t>A novel framework called TravelRAG is introduced in this paper, which is built upon a large language model (LLM) and integrates Retrieval-Augmented Generation (RAG) with knowledge graphs to create a retrieval system framework designed for the tourism domain. This framework seeks to address the challenges LLMs face in providing precise and contextually appropriate responses to domain-specific queries in the tourism field. TravelRAG extracts information related to tourist attractions from User-Generated Content (UGC) on social media platforms and organizes it into a multi-layer knowledge graph. The travel knowledge graph serves as the core retrieval source for the LLM, enhancing the accuracy of information retrieval and significantly reducing the generation of erroneous or fabricated responses, often termed as hallucinations. As a result, the accuracy of the LLM's output is enhanced. Comparative analyses with traditional RAG pipelines indicate that TravelRAG significantly boosts both the retrieval efficiency and accuracy, while also greatly reducing the computational cost of model fine-tuning. The experimental results show that TravelRAG not only outperforms traditional methods in terms of retrieval accuracy but also better meets user needs for content generation.</t>
  </si>
  <si>
    <t>10.3390/ijgi13110414</t>
  </si>
  <si>
    <t>WOS:001365442100001</t>
  </si>
  <si>
    <t>Hu, YQ; Ye, DD; Kang, JW; Wu, MQ; Yu, R</t>
  </si>
  <si>
    <t>Hu, Yaqi; Ye, Dongdong; Kang, Jiawen; Wu, Maoqiang; Yu, Rong</t>
  </si>
  <si>
    <t>A Cloud-Edge Collaborative Architecture for Multimodal LLM-Based Advanced Driver Assistance Systems in IoT Networks</t>
  </si>
  <si>
    <t>Cloud computing; Quality of service; Collaboration; Adaptation models; Energy consumption; Heuristic algorithms; Optimization; Internet of Things; Few shot learning; Data models; Advanced driver assistance systems (ADASs); DDPG; diffusion model; edge computing; Internet of Things (IoT) networks; multimodal large language models (MLLMs); task offloading</t>
  </si>
  <si>
    <t>Advanced driver assistance systems (ADASs) enhance driving safety and convenience by providing auxiliary functions. However, traditional rule-based or learning-based ADAS lack the capability for commonsense-based environmental understanding and multisensor data fusion, which leads to limitations in complex dynamic environments. Multimodal large language models (MLLMs) can effectively integrate data from different modalities and possess strong environmental perception and commonsense reasoning abilities, offering more intelligent driver assistance services within Internet of Things (IoT) networks. In this article, we propose a cloud-edge collaborative ADAS based on MLLMs, utilizing IoT networks by deploying a smaller model, CogVLM2, at the edge and a larger model, ChatGPT-4o, in the cloud to achieve collaborative driver assistance services. Specifically, we first reannotate the BDD-X dataset and use it to fine-tune CogVLM2 with LoRA, while applying few-shot learning to ChatGPT-4o to enhance their understanding and decision-making capabilities in traffic scenarios. We then formulate service latency, energy consumption, and Quality-of-Service (QoS) models for the cloud-edge collaborative ADAS in IoT networks, optimizing the combination of these models. Finally, we design an improved DDPG-based task offloading algorithm by introducing a multistep reward mechanism and using a diffusion model to generate noise, aiming to determine the optimal execution location (i.e., cloud, edge, or local) for each task. Experimental results show that both CogVLM2 and ChatGPT-4o can achieve basic ADAS functionality. After fine-tuning and few-shot learning, their task success rates were significantly improved. Moreover, compared to other mainstream deep reinforcement learning-based task offloading algorithms, the improved DDPG task offloading algorithm demonstrates better performance in latency, energy consumption, and QoS within IoT networks.</t>
  </si>
  <si>
    <t>10.1109/JIOT.2024.3509628</t>
  </si>
  <si>
    <t>WOS:001484711600007</t>
  </si>
  <si>
    <t>De Siano, GD; Fasolino, AR; Sperlí, G; Vignali, A</t>
  </si>
  <si>
    <t>De Siano, Gabriele Dario; Fasolino, Anna Rita; Sperli, Giancarlo; Vignali, Andrea</t>
  </si>
  <si>
    <t>Translating code with Large Language Models and human-in-the-loop feedback</t>
  </si>
  <si>
    <t>Large Language Model; Human-centered AI; Code translation; Software engineering</t>
  </si>
  <si>
    <t>Context: In recent years, the code translation task has arisen as one of the major software issues in maintaining software quality during migration over complex infrastructure. This task involves human subjects with different background knowledge and could introduce errors due to the semantic gap between the programming languages and the complexity of the task. Generative Artificial Intelligence (AI) showed good capabilities in code generation, albeit this is highly dependent on the human factor. Objective: This paper investigates, from the human perspective, the use of three Generative AI tools (ChatGPT, Google Bard, and GitHub Copilot) in the context of translation tasks from code written in query languages to code written in framework-specific code languages, specifically focused on SQL dialects and PySpark. This translation is especially crucial during the migration from centralized architectures to cloud-based architectures. Methods: We evaluate the usefulness of these tools, the quality of the generated code, and their impact on performance. The models are tested with queries of various type in three different SQL dialects considering three usage scenarios of increasing complexity. It involves 15 participants with diverse programming backgrounds, who aim to solve tasks by interacting multiple times with the tools and manually changing the code. Results: The findings show a positive performance, demonstrating their reliability in generating coherent translations, achieving 100% precision in most tasks with a slight decrease in more complex scenarios, and producing well-documented code, with a response time of under 2 min, with Google Bard responding 50% faster than the others. Conclusion: In conclusion, this paper establishes a methodology and both quantitative and qualitative metrics for evaluating how generative AI tools streamline code translation, shifting the emphasis from production to refinement. It underscores the importance of continuously improving these tools to integrate them into developers' workflows and to provide guidelines for intelligent use.</t>
  </si>
  <si>
    <t>10.1016/j.infsof.2025.107785</t>
  </si>
  <si>
    <t>WOS:001508454100002</t>
  </si>
  <si>
    <t>Peng, Y; Hossain, MS</t>
  </si>
  <si>
    <t>Peng, Ya; Hossain, M. Shamim</t>
  </si>
  <si>
    <t>Cognitive Computing-Enabled Personalized Consumer Electronics Recommendations Using Economic Policy Uncertainty</t>
  </si>
  <si>
    <t>IEEE CONSUMER ELECTRONICS MAGAZINE</t>
  </si>
  <si>
    <t>Consumer electronics; Economics; Recommender systems; Cognitive systems; Uncertainty; Training; Computational modeling</t>
  </si>
  <si>
    <t>This article explores the fusion of economic policy uncertainty (EPU) metrics with cognitive computing to enhance personalized consumer electronics products and user recommendations. Leveraging advanced AI techniques, i.e., large Language models (LLMs), we aim to dynamically adapt recommendation systems to changing economic conditions to enhance user experience. Challenges such as uncertain economic policies and complex feature engineering are addressed with innovative methodologies. We investigate the potential of EPU-driven cognitive computing in improving consumer decision-making and suggest future research directions, including the integration of domain-specific knowledge. By bridging economic uncertainty, cognitive computing paradigm (i.e., LLMs), and personalized recommendations in the consumer electronics domain, this research contributes to theoretical understanding and practical applications, aiming to refine recommendation systems amid economic uncertainty.</t>
  </si>
  <si>
    <t>2162-2248</t>
  </si>
  <si>
    <t>2162-2256</t>
  </si>
  <si>
    <t>10.1109/MCE.2024.3416903</t>
  </si>
  <si>
    <t>WOS:001422950100001</t>
  </si>
  <si>
    <t>Likha, OV; Kumar, SS; Mohan, N; Sikha, OK</t>
  </si>
  <si>
    <t>Likha, O. V.; Kumar, S. Sachin; Mohan, Neethu; Sikha, O. K.</t>
  </si>
  <si>
    <t>Fake News and Offensive Content Detection in Malayalam Using Machine Learning, Deep Learning, and Transformer Based Methods With XAI</t>
  </si>
  <si>
    <t>Fake news; Transformers; Data models; Adaptation models; Deep learning; Context modeling; Syntactics; Semantics; Predictive models; Explainable AI; Anchor; deep learning; explainable AI; fake news detection; LIME; machine learning; occlusion; offensive language detection; transformer models; mBERT; IndicBERT; XLM-RoBERTa; MuRIL</t>
  </si>
  <si>
    <t>BIDIRECTIONAL LSTM; NEURAL-NETWORK</t>
  </si>
  <si>
    <t>Digital platforms have become one of the most powerful sources for spreading news and other information with much ease compared to traditional methods. However, this also made it easier to spread fake news and offensive content. A necessary strategy is required to detect fake news and offensive content to maintain the integrity of information and foster a safer online environment. The present study focuses on advancing the fake news and offensive content detection in Malayalam language, integrating transformer models with explainability techniques to render transparency and ensure high accuracy. We used multilingual transformer models such as mBERT, IndicBERT, XLM-RoBERTa, and MuRIL for classification tasks. Furthermore, comprehensive experiments with hyperparameter tuning are conducted on deep learning methods (CNN, LSTM, BiLSTM, GRU, BiGRU, CNN-LSTM, CNN-GRU) and traditional ML methods (SVM, LR, RF, DT, XGBoost, CATBoost, AdaBoost). The approach integrates TF-IDF and FastText embeddings for the representations, which is compared to BERT, IndicBERT, XLNet, mBERT, XLM-RoBERTa, and MuRIL. All models were evaluated using 10-fold cross-validation to ensure robustness and generalization of results. It is observed from the experiments that the XLM-RoBERTa model gave a better result with an F1 Score of 99.17% for the Fake news dataset and the mBERT model gave a better result with an F1 score of 95.95% for the offensive dataset. Furthermore, the present work utilizes explainable AI (XAI) approaches using LIME, Anchor, and Occlusion, to gain insights into the model decision making process. For the first time, an occlusion-based XAI method is proposed for fake news and offensive detection tasks. Also, the present work is the first in its kind to use Anchor and Occlusion based XAI for fake news and offensive content detection in Malayalam. The results showed that all three explainability methods occlusion, LIME and Anchor effectively captured the key words relevant for detecting both fake news and offensive content, with a high degree of overlap in the terms identified across models. This consistency demonstrates their strong adaptability and suitability for handling the complex linguistic and code-mixed characteristics of the Malayalam text.</t>
  </si>
  <si>
    <t>10.1109/ACCESS.2025.3623172</t>
  </si>
  <si>
    <t>WOS:001612982900036</t>
  </si>
  <si>
    <t>Oprea, SV; Bâra, A</t>
  </si>
  <si>
    <t>Extracting Emotions from Customer Reviews Using Text Mining, Large Language Models and Fine-Tuning Strategies</t>
  </si>
  <si>
    <t>emotions; large language models; fine-tuned model; customer reviews; training strategies; UX</t>
  </si>
  <si>
    <t>SENTIMENT</t>
  </si>
  <si>
    <t>User-generated content, such as product and app reviews, offers more than just sentiment. It provides a rich spectrum of emotional expression that reveals users' experiences, frustrations and expectations. Traditional sentiment analysis, which typically classifies text as positive or negative, lacks the nuance needed to fully understand the emotional drivers behind customer feedback. In this research, we focus on fine-grained emotion classification using core emotions. By identifying specific emotions rather than sentiment polarity, we enable more actionable insights for e-commerce and app development, supporting strategies such as feature refinement, marketing personalization and proactive customer engagement. We leverage the Hugging Face Emotions dataset and adopt a two-phase modeling approach. In the first phase, we use a pre-trained DistilBERT model as a feature extractor and evaluate multiple classical classifiers (Logistic Regression, Support Vector Classifier, Random Forest) to establish performance baselines. In the second phase, we fine-tune the DistilBERT model end-to-end using the Hugging Face Trainer API, optimizing classification performance through task-specific adaptation. Training is tracked using the Weights &amp; Biases (wandb) API. Comparative analysis highlights the substantial performance gains from fine-tuning, particularly in capturing informal or noisy language typical in user reviews. The final fine-tuned model is applied to a dataset of customers' reviews, identifying the dominant emotions expressed. Our results demonstrate the practical value of emotion-aware analytics in uncovering the underlying why behind user sentiment, enabling more empathetic decision-making across product design, customer support and user experience (UX) strategy.</t>
  </si>
  <si>
    <t>10.3390/jtaer20030221</t>
  </si>
  <si>
    <t>WOS:001580200400001</t>
  </si>
  <si>
    <t>Rizinski, M; Peshov, H; Mishev, K; Jovanovik, M; Trajanov, D</t>
  </si>
  <si>
    <t>Rizinski, Maryan; Peshov, Hristijan; Mishev, Kostadin; Jovanovik, Milos; Trajanov, Dimitar</t>
  </si>
  <si>
    <t>Sentiment Analysis in Finance: From Transformers Back to eXplainable Lexicons (XLex)</t>
  </si>
  <si>
    <t>Sentiment analysis; Transformers; Finance; Dictionaries; Computational modeling; Analytical models; Task analysis; Machine learning; Natural language processing; Text categorization; natural language processing; text classification; sentiment analysis; finance; lexicons; lexicon learning; transformers; SHAP; explainability</t>
  </si>
  <si>
    <t>SOCIAL MEDIA; TEXTUAL ANALYSIS; BIG DATA</t>
  </si>
  <si>
    <t>Lexicon-based sentiment analysis in finance leverages specialized, manually annotated lexicons created by human experts to extract sentiment from financial texts effectively. Although lexicon-based methods are simple to implement and fast to operate on textual data, they require considerable manual annotation efforts to create, maintain, and update the lexicons. These methods are also considered inferior to the deep learning-based approaches, such as transformer models, which have become dominant in various natural language processing (NLP) tasks due to their remarkable performance. However, their efficacy comes at a cost: these models require extensive data and computational resources for both training and testing. Additionally, they involve significant prediction times, making them unsuitable for real-time production environments or systems with limited processing capabilities. In this paper, we introduce a novel methodology named eXplainable Lexicons (XLex) that combines the advantages of both lexicon-based methods and transformer models. We propose an approach that utilizes transformers and SHapley Additive exPlanations (SHAP) for explainability to automatically learn financial lexicons. Our study presents four main contributions. Firstly, we demonstrate that transformer-aided explainable lexicons can enhance the vocabulary coverage of the benchmark Loughran-McDonald (LM) lexicon. This enhancement leads to a significant reduction in the need for human involvement in the process of annotating, maintaining, and updating the lexicons. Secondly, we show that the resulting lexicon outperforms the standard LM lexicon in sentiment analysis of financial datasets. Our experiments show that XLex outperforms LM when applied to general financial texts, resulting in enhanced word coverage and an overall increase in classification accuracy by 0.431. Furthermore, by employing XLex to extend LM, we create a combined dictionary, XLex+LM, which achieves an even higher accuracy improvement of 0.450. Thirdly, we illustrate that the lexicon-based approach is significantly more efficient in terms of model speed and size compared to transformers. Lastly, the proposed XLex approach is inherently more interpretable than transformer models. This interpretability is advantageous as lexicon models rely on predefined rules, unlike transformers, which have complex inner workings. The interpretability of the models allows for better understanding and insights into the results of sentiment analysis, making the XLex approach a valuable tool for financial decision-making.</t>
  </si>
  <si>
    <t>10.1109/ACCESS.2024.3349970</t>
  </si>
  <si>
    <t>WOS:001143417600001</t>
  </si>
  <si>
    <t>Ham, JS; Huang, J; Jiang, P; Moon, J; Kwon, Y; Saripalli, S; Kim, C</t>
  </si>
  <si>
    <t>Ham, Je-Seok; Huang, Jia; Jiang, Peng; Moon, Jinyoung; Kwon, Yongjin; Saripalli, Srikanth; Kim, Changick</t>
  </si>
  <si>
    <t>Multimodal understanding with GPT-4o to enhance generalizable pedestrian behavior prediction</t>
  </si>
  <si>
    <t>Pedestrian behavior prediction; Multimodal large language models (MLLM); Zero-shot learning; Video understanding</t>
  </si>
  <si>
    <t>Pedestrian behavior prediction is one of the most critical tasks in urban driving scenarios, playing a key role in ensuring road safety. Traditional learning-based methods have relied on vision models for pedestrian behavior prediction. However, fully understanding pedestrians' behaviors in advance is very challenging due to the complex driving environments and the multifaceted interactions between pedestrians and road elements. Additionally, these methods often show a limited understanding of driving environments not included in the training. The emergence of Multimodal Large Language Models (MLLMs) provides an innovative approach to addressing these challenges through advanced reasoning capabilities. This paper presents OmniPredict, the first study to apply GPT-4o(mni), a state-of-the-art MLLM, for pedestrian behavior prediction in urban driving scenarios. We assessed the model using the JAAD and WiDEVIEW datasets, which are widely used for pedestrian behavior analysis. Our method utilized multiple contextual modalities and achieved 67% accuracy in a zero-shot setting without any task-specific training, surpassing the performance of the latest MLLM baselines by 10%. Furthermore, when incorporating additional contextual information, the experimental results demonstrated a significant increase in prediction accuracy across four behavior types (crossing, occlusion, action, and look). We also validated the model s generalization ability by comparing its responses across various road environment scenarios. OmniPredict exhibits strong generalization capabilities, demonstrating robust decision-making in diverse and unseen driving rare scenarios. These findings highlight the potential of MLLMs to enhance pedestrian behavior prediction, paving the way for safer and more informed decision-making in road environments.</t>
  </si>
  <si>
    <t>10.1016/j.compeleceng.2025.110741</t>
  </si>
  <si>
    <t>WOS:001602261600003</t>
  </si>
  <si>
    <t>Dyachenko, Y; Humenna, O; Soloviov, O; Skarga-Bandurova, I; Nenkov, N</t>
  </si>
  <si>
    <t>Dyachenko, Yuriy; Humenna, Oleksandra; Soloviov, Oleg; Skarga-Bandurova, Inna; Nenkov, Nayden</t>
  </si>
  <si>
    <t>LLM services in the management of social communications</t>
  </si>
  <si>
    <t>dual-process theory; management of social communications; LLM services; behavioral economics; decision-making</t>
  </si>
  <si>
    <t>This paper proposes enhancing social communication management with a behavioral economics approach through artificial intelligence instruments. The research aims to explore the influence of social communication on citizens' behavior using large language model services and assess its effectiveness. The paper builds on Daniel Kahneman's dual-process theory, highlighting the intuitive system (System 1) and the rational system (System 2) in decision-making. The author introduces a third system, System 3, representing rooted in identity socially conditioned behavior influenced by societal norms and self-awareness. On this theoretical basis, the paper emphasizes automating communication management through large language model services, freeing up citizens' potential for self-determination and self-organization. By leveraging these services, messages can be crafted to support social transformation while respecting historical, cultural, and political contexts. Based on the preconditions and restrictions described above, we use GPT-4 model to generate messages based on these narratives. The experiment will use an observational study design with virtual persons. To compare the impact of original and modified messages according to the addressee's mentality, we used the Claude 3.5 Sonnet model. We can see that the potential activity of respondents after perceiving the changed message does not change much, and the original message is perceived. Modifying messages by LLM services crafted to support social transformation while respecting historical, cultural, and political contexts cause attitudes to become substantially more negative (2.5 units downward shift in median); the intentions showed a slight positive increase (0.2 units upward change in median).</t>
  </si>
  <si>
    <t>10.3389/frai.2025.1474017</t>
  </si>
  <si>
    <t>WOS:001453657700001</t>
  </si>
  <si>
    <t>Yang, J; Shu, LQ; Duan, HL; Li, HM</t>
  </si>
  <si>
    <t>Yang, Jian; Shu, Liqi; Duan, Huilong; Li, Haomin</t>
  </si>
  <si>
    <t>RDguru: A Conversational Intelligent Agent for Rare Diseases</t>
  </si>
  <si>
    <t>deep Q-network; Conversational AI; large language model; large language model; knowledge Q&amp;A; medical consultation; rare diseases; rare diseases; medical consultation; rare diseases</t>
  </si>
  <si>
    <t>Large language models (LLMs) hold significant promise in clinical practice, yet their real-world adoption is constrained by their propensity to produce erroneous and occasionally harmful outputs, particularly in the intricate domain of rare diseases (RDs). This study introduces RDguru, a conversational intelligent agent leveraging the LangChain framework and powered by GPT-3.5-turbo. RDguru offers a comprehensive suite of functionalities, encompassing evidence-traceable knowledge Q&amp;A and professional medical consultations for differential diagnosis (DDX), integrating authoritative knowledge sources and reliable tools. A novel multi-source fusion diagnostic model, rooted in deep Q-network, amalgamates three diagnostic recommendation strategies (GPT-4, PheLR, and phenotype matching) to enhance diagnostic recall during medical consultations. Through tailored tools and advanced algorithms for retrieval-augmented generation, RDguru excels in knowledge Q&amp;A, automated phenotype annotation, and RD DDX. A multi-aspect Q&amp;A analysis demonstrates RDguru outperforms ChatGPT in generating descriptions aligned with authoritative knowledge, quantified by ROUGE scores, GPT-4-based automatic rating, and RAGAs evaluation metrics. Testing on 238 published RD cases reveals that RDguru's top 5 multi-source fusion diagnoses recapture 63.87% of actual diagnoses, marking a 5.47% improvement over the state-of-the-art diagnostic method PheLR. Furthermore, RDguru's consultation strategy proves effective in eliciting diagnostically beneficial phenotypes and refining the prioritization of genuine diagnoses through multi-round phenotype-orient questioning. Evaluations against established benchmarks and real-world patient data demonstrate RDguru's efficacy and reliability, highlighting its potential to enhance clinical decision-making in the realm of RDs.</t>
  </si>
  <si>
    <t>10.1109/JBHI.2024.3464555</t>
  </si>
  <si>
    <t>WOS:001566981400037</t>
  </si>
  <si>
    <t>Han, MX; Li, JX; Chen, Y; Xu, LW; Tao, LL</t>
  </si>
  <si>
    <t>Han, Mingxing; Li, Jiaxuan; Chen, Yu; Xu, Liwei; Tao, Lingling</t>
  </si>
  <si>
    <t>EC-Fake: A fake news detection model based on external knowledge and contrast-driven feature augmentation</t>
  </si>
  <si>
    <t>Fake news detection; Fake news; Feature fusion; Multi-modal detection</t>
  </si>
  <si>
    <t>Fake news has spurt with the rapid development of Internet technology and social media, causing a number of serious negative impacts on individuals and society. Aiming at the shortcomings of existing multi-modal fake news detection on cross-modal feature fusion and external knowledge features, we proposed a multi-modal fake news detection model based on external knowledge and contrast-driven feature augmentation named EC-Fake. EC-Fake employs a Semantic Information Decoupling (SID) module to separate the foreground subject and background context of news images. SID can be utilized to guide multi-level feature fusion and key feature augmentation. This enables EC-Fake to reduce uncertainty in image features and allocate more attention to foreground and background features. Then, we used Large Language Models (LLMs) to extract external knowledge from news and fused it with multi-modal features, thereby effectively improving the interpretability and accuracy of EC-Fake. The accuracy on three public datasets is improved by 1.9 %, 1.6 %, and 2.7 % over the stateof-the-art model, respectively. EC-Fake can provide technical support to social media platforms and government regulators in detecting fake news.</t>
  </si>
  <si>
    <t>NOV 7</t>
  </si>
  <si>
    <t>10.1016/j.neucom.2025.131214</t>
  </si>
  <si>
    <t>WOS:001583993700002</t>
  </si>
  <si>
    <t>Kaur, J; Roy, C</t>
  </si>
  <si>
    <t>Kaur, Jasleen; Roy, Chanchal</t>
  </si>
  <si>
    <t>Hybrid approach for multilevel multi-class requirement classification: Impact of stop-word removal and data augmentation☆</t>
  </si>
  <si>
    <t>Software requirements; Transformer models; Hybrid stacked model; Text augmentation; Stop</t>
  </si>
  <si>
    <t>Requirement classification in software engineering is essential for effective development. Automating this process reduces human effort and enhances decision-making. Previous studies experimented with machine learning and deep learning models to classify requirements. This novel research fills that gap by evaluating transformer-based models and a proposed Hybrid Stacked Model for multilevel, multi-class classification task. To address the limitations of existing software requirement datasets (imbalanced dataset, insufficient granularity, real world examples), we combined instances from the PROMISE_exp dataset, PURE corpus, and 20 manually collected software requirement specifications (SRS) documents using a Boolean keyword search to create a multilevel, multi-class dataset. These 3072 combined requirements are organized into a two-level hierarchy: Level 1 (functional (FR)/non-functional (NFR)); Level 2 (FRs: core functional (CFR)/derived functional (DFR)/system integration (SI)/external dependency (ED); NFRs: product (PR)/organizational (OR)/external (ER)). We applied BERT-based context-aware text augmentation to address class imbalance by expanding the dataset to 3343 instances. This study also investigates the effects of domain-specific stopword removal and text augmentation on model performance. Results show that text augmentation boosts accuracy by 0.2-3.76% across all models. Stopword removal enhances precision and recall by reducing noise, but it slightly lowers overall accuracy due to the loss of some semantic cues. The proposed Hybrid Stacked Model outperformed all pre-trained transformer models, achieving the highest accuracy of 96.77% at Level 1 and 83.06% at Level 2. A statistical t-test confirms the significance of these improvements. These findings emphasize the importance of hybrid models and domain-specific data preprocessing in enhancing requirement classification, with practical implications for automating early-stage software engineering tasks.</t>
  </si>
  <si>
    <t>10.1016/j.jss.2025.112594</t>
  </si>
  <si>
    <t>WOS:001633342100002</t>
  </si>
  <si>
    <t>Ding, HY; Dong, WL; Mao, QR</t>
  </si>
  <si>
    <t>Ding, Hanyu; Dong, Wenlong; Mao, Qirong</t>
  </si>
  <si>
    <t>Keyword Mamba: Spoken keyword spotting with state space models</t>
  </si>
  <si>
    <t>Keyword spotting; Speech command recognition; Mamba; State space model; Temporal domain</t>
  </si>
  <si>
    <t>Keyword spotting (KWS) is an essential task in speech processing. It is widely used in voice assistants and smart devices. Deep learning models like CNNs, RNNs, and Transformers have performed well in KWS. However, they often struggle to handle long-term patterns and stay efficient at the same time. In this work, we present Keyword Mamba, a new architecture for KWS. It uses a neural state space model (SSM) called Mamba. We apply Mamba along the time axis and also explore how it can replace the self-attention part in Transformer models. We test our model on the Google Speech Commands datasets. The results show that Keyword Mamba reaches strong accuracy with fewer parameters and lower computational cost. To our knowledge, this is the first time a state space model has been used for KWS. These results suggest that Mamba has strong potential in speech-related tasks.</t>
  </si>
  <si>
    <t>10.1016/j.csl.2025.101909</t>
  </si>
  <si>
    <t>WOS:001635112000001</t>
  </si>
  <si>
    <t>Kraisnikovic, C; Harb, R; Plass, M; Al Zoughbi, W; Holzinger, A; Müller, H</t>
  </si>
  <si>
    <t>Kraisnikovic, Ceca; Harb, Robert; Plass, Markus; Al Zoughbi, Wael; Holzinger, Andreas; Mueller, Heimo</t>
  </si>
  <si>
    <t>Fine-tuning language model embeddings to reveal domain knowledge: An explainable artificial intelligence perspective on medical decision making</t>
  </si>
  <si>
    <t>Pathology reports; Large language models in pathology; Bidirectional Encoder Representations from Transformers model; Language model for German; Domain-language adaptation; Fine-tuning; Analysis of embeddings; Pathology-specific tasks; Digital pathology; Interpretable medical decision scores</t>
  </si>
  <si>
    <t>Integrating large language models (LLMs) to retrieve targeted medical knowledge from electronic health records enables significant advancements in medical research. However, recognizing the challenges associated with using LLMs in healthcare is essential for successful implementation. One challenge is that medical records combine unstructured textual information with highly sensitive personal data. This, in turn, highlights the need for explainable Artificial Intelligence (XAI) methods to understand better how LLMs function in the medical domain. In this study, we propose a novel XAI tool to accelerate data-driven cancer research. We apply the Bidirectional Encoder Representations from Transformers (BERT) model to German language pathology reports examining the effects of domain-specific language adaptation and fine-tuning. We demonstrate our model on a real-world pathology dataset, analyzing the contextual representations of diagnostic reports. By illustrating decisions made by fine-tuned models, we provide decision values that can be applied in medical research. To address interpretability, we conduct a performance evaluation of the classifications generated by our fine-tuned model, as assessed by an expert pathologist. In domains such as medicine, inspection of the medical knowledge map in conjunction with expert evaluation reveals valuable information about how contextual representations of key disease features are categorized. This ultimately benefits data structuring and labeling and paves the way for even more advanced approaches to XAI, combining text with other input modalities, such as images which are then applicable to various engineering problems.</t>
  </si>
  <si>
    <t>10.1016/j.engappai.2024.109561</t>
  </si>
  <si>
    <t>WOS:001360856200001</t>
  </si>
  <si>
    <t>Aiello, M</t>
  </si>
  <si>
    <t>Aiello, Marco</t>
  </si>
  <si>
    <t>A Paradigm Shift in Service Research: The Case of Service Composition</t>
  </si>
  <si>
    <t>Artificial intelligence; Service computing; Semantics; Natural languages; Safety; Planning; Automation; Training; Scalability; Chatbots; Service composition; LLM; philosophy of science</t>
  </si>
  <si>
    <t>Recent advancements in artificial intelligence, particularly in machine learning and neural networks, have significantly influenced various domains, including service computing. Large Language Models (LLMs) are at the forefront of this transformation, introducing new paradigms for automation and decision-making. This paper examines the evolving impact of LLMs on service composition, a fundamental problem in service computing. By analyzing shifts in research approaches, methodologies, and system architectures, we highlight how LLM-driven automation challenges traditional composition techniques. The discussion provides insights into emerging opportunities, limitations, and research directions, emphasizing the need to rethink service composition in the era of AI-driven automation.</t>
  </si>
  <si>
    <t>10.1109/TSC.2025.3552345</t>
  </si>
  <si>
    <t>WOS:001506706500006</t>
  </si>
  <si>
    <t>Lughbi, H; Mars, M; Almotairi, K</t>
  </si>
  <si>
    <t>Lughbi, Huda; Mars, Mourad; Almotairi, Khaled</t>
  </si>
  <si>
    <t>CybAttT: A Dataset of Cyberattack News Tweets for Enhanced Threat Intelligence</t>
  </si>
  <si>
    <t>DATA</t>
  </si>
  <si>
    <t>cyberattacks; dataset; labeling; tweets; classification; machine learning; large language models</t>
  </si>
  <si>
    <t>The continuous developments in information technologies have resulted in a significant rise in security concerns, including cybercrimes, unauthorized access, and cyberattacks. Recently, researchers have increasingly turned to social media platforms like X to investigate cyberattacks. Analyzing and collecting news about cyberattacks from tweets can efficiently provide crucial insights into the attacks themselves, including their impacts, occurrence regions, and potential mitigation strategies. However, there is a shortage of labeled datasets related to cyberattacks. This paper describes CybAttT, a dataset of 36,071 English cyberattack-related tweets. These tweets are manually labeled into three classes: high-risk news, normal news, and not news. Our final overall Inner Annotation agreement was 0.99 (Fleiss kappa), which represents high agreement. To ensure dataset reliability and accuracy, we conducted rigorous experiments using different supervised machine learning algorithms and various fine-tuned language models to assess its quality and suitability for its intended purpose. A high F1-score of 87.6% achieved using the CybAttT dataset not only demonstrates the potential of our approach but also validates the high quality and thoroughness of its annotations. We have made our CybAttT dataset accessible to the public for research purposes.</t>
  </si>
  <si>
    <t>2306-5729</t>
  </si>
  <si>
    <t>10.3390/data9030039</t>
  </si>
  <si>
    <t>WOS:001191603300001</t>
  </si>
  <si>
    <t>Khan, HU; Naz, A; Alarfaj, FK; Almusallam, N</t>
  </si>
  <si>
    <t>Khan, Hikmat Ullah; Naz, Anam; Alarfaj, Fawaz Khaled; Almusallam, Naif</t>
  </si>
  <si>
    <t>Analyzing student mental health with RoBERTa-Large: a sentiment analysis and data analytics approach</t>
  </si>
  <si>
    <t>large language model; mental health; academic performance; natural language processing; sentiment analysis</t>
  </si>
  <si>
    <t>SOCIAL MEDIA; DISORDERS</t>
  </si>
  <si>
    <t>The mental health of students plays an important role in their overall wellbeing and academic performance. Growing pressure from academics, co-curricular activities such as sports and personal challenges highlight the need for modern methods of monitoring mental health. Traditional approaches, such as self-reported surveys and psychological evaluations, can be time-consuming and subject to bias. With advancement in artificial intelligence (AI), particularly in natural language processing (NLP), sentiment analysis has emerged as an effective technique for identifying mental health patterns in textual data. However, analyzing students' mental health remains a challenging task due to the intensity of emotional expressions, linguistic variations, and context-dependent sentiments. In this study, our primary objective was to investigate the mental health of students by conducting sentiment analysis using advanced deep learning models. To accomplish this task, state-of-the-art Large Language Model (LLM) approaches, such as RoBERTa (a robustly optimized BERT approach), RoBERTa-Large, and ELECTRA, were used for empirical analysis. RoBERTa-Large, an expanded architecture derived from Google's BERT, captures complex patterns and performs more effectively on various NLP tasks. Among the applied algorithms, RoBERTa-Large achieved the highest accuracy of 97%, while ELECTRA yielded 91% accuracy on a multi-classification task with seven diverse mental health status labels. These results demonstrate the potential of LLM-based approaches for predicting students' mental health, particularly in relation to the effects of academic and physical activities.</t>
  </si>
  <si>
    <t>10.3389/fdata.2025.1615788</t>
  </si>
  <si>
    <t>WOS:001604848100001</t>
  </si>
  <si>
    <t>Dorbani, A; Yasser, S; Lin, J; Mhedhbi, A</t>
  </si>
  <si>
    <t>Dorbani, Anas; Yasser, Sunny; Lin, Jimmy; Mhedhbi, Amine</t>
  </si>
  <si>
    <t>Beyond Quacking: Deep Integration of Language Models and RAG into DuckDB</t>
  </si>
  <si>
    <t>Knowledge-intensive analytical applications retrieve context from both structured tabular data and unstructured free text documents for effective decision-making. Large language models (LLMs) have significantly simplified the prototyping of such retrieval and reasoning data pipelines. However, implementing them efficiently remains challenging and demands significant effort. Developers must often orchestrate heterogeneous systems, manage data movement, and handle low-level concerns such as LLM context management. To address these challenges, we introduce FlockMTL: an extension for DBMSs that integrates LLM capabilities and enables retrieval-augmented generation (RAG) within SQL. FlockMTL provides LLM-powered scalar and aggregate functions, enabling chained predictions over tuples. It further provides data fusion functions to support hybrid search. Drawing inspiration from the relational model, FlockMTL incorporates: (i) seamless optimizations such as batching and meta-prompting; and (ii) resource independence through novel SQL DDL abstractions: PROMPT and MODEL, introduced as first-class schema objects alongside TABLE.</t>
  </si>
  <si>
    <t>10.14778/3750601.3750685</t>
  </si>
  <si>
    <t>WOS:001607044000024</t>
  </si>
  <si>
    <t>Sánchez, PM; Celdrán, AH; Bovet, G; Pérez, GM</t>
  </si>
  <si>
    <t>Sanchez, Pedro Miguel; Celdran, Alberto Huertas; Bovet, Gerome; Perez, Gregorio Martinez</t>
  </si>
  <si>
    <t>Single-board device individual authentication based on hardware performance and autoencoder transformer models</t>
  </si>
  <si>
    <t>Device behavior fingerprinting; Device authentication; Transformer; Behavioral data; Hardware fingerprinting; Autoencoder</t>
  </si>
  <si>
    <t>The proliferation of the Internet of Things (IoT) has led to the emergence of crowdsensing applications, where a multitude of interconnected devices collaboratively collect and analyze data. Ensuring the authenticity and integrity of the data collected by these devices is crucial for reliable decision-making and maintaining trust in the system. Traditional authentication methods are often vulnerable to attacks or can be easily duplicated, posing challenges to securing crowdsensing applications. Besides, current solutions leveraging device behavior are mostly focused on device identification, which is a simpler task than authentication. To address these issues, an individual IoT device authentication framework based on hardware behavior fingerprinting and Transformer autoencoders is proposed in this work. To support the design, a threat model details the security problems faced when performing hardware-based authentication in IoT. This solution leverages the inherent imperfections and variations in IoT device hardware to differentiate between devices with identical specifications. By monitoring and analyzing the behavior of key hardware components, such as the CPU, GPU, RAM, and Storage on devices, unique fingerprints for each device are created. The performance samples are considered as time series data and used to train outlier detection transformer models, one per device and aiming to model its normal data distribution. Then, the framework is validated within a spectrum crowdsensing system leveraging Raspberry Pi devices. After a pool of experiments, the model from each device is able to individually authenticate it between the 45 devices employed for validation. An average True Positive Rate (TPR) of 0.74 +/- 0.13 and an average maximum False Positive Rate (FPR) of 0.06 +/- 0.09 demonstrate the effectiveness of this approach in enhancing authentication, security, and trust in crowdsensing applications.</t>
  </si>
  <si>
    <t>10.1016/j.cose.2023.103596</t>
  </si>
  <si>
    <t>WOS:001121109800001</t>
  </si>
  <si>
    <t>Zhang, EZ; Zhong, R; Du, XB; Wahib, M; Munetomo, M</t>
  </si>
  <si>
    <t>Zhang, Enzhi; Zhong, Rui; Du, Xingbang; Wahib, Mohamed; Munetomo, Masaharu</t>
  </si>
  <si>
    <t>Vision transformer-based meta loss landscape exploration with actor-critic method</t>
  </si>
  <si>
    <t>Loss landscape; Transformer; Overfitting; Reinforcement learning; Actor-critic</t>
  </si>
  <si>
    <t>Detecting and mitigating overfitting in deep neural networks remains a critical challenge in modern machine learning. This paper investigates innovative approaches to address these challenges, particularly focusing on vision transformer-based models. By leveraging meta-learning techniques and reinforcement learning frameworks, we introduce transformer-based loss landscape exploration (TLLE), which utilizes the validation loss landscape to guide gradient descent optimization. Unlike conventional methods, TLLE employs the actor-critic algorithm to learn the mapping from model weights to future values, facilitating efficient sample collection and precise value predictions. Experimental results demonstrate the superior performance of TLLE-enhanced transformer models in image classification and segmentation tasks, showcasing the efficacy of our approach in optimizing deep learning models for image analysis.</t>
  </si>
  <si>
    <t>10.1007/s11227-024-06867-3</t>
  </si>
  <si>
    <t>WOS:001385224600002</t>
  </si>
  <si>
    <t>Thara, S; Poornachandran, P</t>
  </si>
  <si>
    <t>Thara, S.; Poornachandran, Prabaharan</t>
  </si>
  <si>
    <t>Transformer Based Language Identification for Malayalam-English Code-Mixed Text</t>
  </si>
  <si>
    <t>Natural language processing; language identification; bidirectional encoder representations from transformers (BERT); text mining; corpus preparation; deep learning; code-mixed</t>
  </si>
  <si>
    <t>Social media users have the proclivity to write majority of the data for under resourced languages in code-mixed format. Code-mixing is defined as mixing of two or more languages in a single sentence. Research in code-mixed text helps apprehend security threats, prevalent on social media platforms. In such instances, language identification is an imperative task of code-mixed text. The focus of this paper is to carry out a word-level language identification (WLLI) of Malayalam-English code-mixed data, from social media platforms like YouTube. This study was centered around BERT, a transformer model, along with its variants - CamemBERT, DistilBERT - for intuitive perception of the language at the word-level. The propounded approach entails tagging Malayalam-English code-mixed data set with six labels: Malayalam (mal), English (eng), acronyms (acr), universal (univ), mixed (mix) and undefined (undef). Newly developed corpus of Malayalam-English was deployed for appraisal of the effectiveness of state-of-the-art models like BERT. Evaluation of the proffered approach, accomplished with other code-mixed language such as Hindi-English, notched a 9% increase in the F1-score.</t>
  </si>
  <si>
    <t>10.1109/ACCESS.2021.3104106</t>
  </si>
  <si>
    <t>WOS:000692179000001</t>
  </si>
  <si>
    <t>de Zarzà, I; de Curtò, J; Roig, G; Manzoni, P; Calafate, CT</t>
  </si>
  <si>
    <t>de Zarza, I.; de Curto, J.; Roig, Gemma; Manzoni, Pietro; Calafate, Carlos T.</t>
  </si>
  <si>
    <t>Emergent Cooperation and Strategy Adaptation in Multi-Agent Systems: An Extended Coevolutionary Theory with LLMs</t>
  </si>
  <si>
    <t>multi-agent systems; human-computer interaction; large language models; cooperative games; game theory</t>
  </si>
  <si>
    <t>The increasing complexity of Multi-Agent Systems (MASs), coupled with the emergence of Artificial Intelligence (AI) and Large Language Models (LLMs), have highlighted significant gaps in our understanding of the behavior and interactions of diverse entities within dynamic environments. Traditional game theory approaches have often been employed in this context, but their utility is limited by the static and homogenous nature of their models. With the transformative influence of AI and LLMs on business and society, a more dynamic and nuanced theoretical framework is necessary to guide the design and management of MASs. In response to this pressing need, we propose an Extended Coevolutionary (EC) Theory in this paper. This alternative framework incorporates key aspects of coevolutionary dynamics, adaptive learning, and LLM-based strategy recommendations to model and analyze the strategic interactions among heterogeneous agents in MASs. It goes beyond game theory by acknowledging and addressing the diverse interactions (economic transactions, social relationships, information exchange) and the variability in risk aversion, social preferences, and learning capabilities among entities. To validate the effectiveness of the EC framework, we developed a simulation environment that enabled us to explore the emergence of cooperation and defection patterns in MASs. The results demonstrated the potential of our framework to promote cooperative behavior and maintain robustness in the face of disruptions. The dynamics and evolution of the Multi-Agent System over time were also visualized using advanced techniques. Our findings underscore the potential of harnessing LLMs to facilitate cooperation, enhance social welfare, and promote resilient strategies in multi-agent environments. Moreover, the proposed EC framework offers valuable insights into the interplay between strategic decision making, adaptive learning, and LLM-informed guidance in complex, evolving systems. This research not only responds to the current challenges faced in modeling MASs, but also paves the way for future research in this rapidly developing field.</t>
  </si>
  <si>
    <t>10.3390/electronics12122722</t>
  </si>
  <si>
    <t>WOS:001016969200001</t>
  </si>
  <si>
    <t>Maimaitijiang, E; Aihaiti, M; Mamatjan, Y</t>
  </si>
  <si>
    <t>Maimaitijiang, Ehesan; Aihaiti, Muyesaier; Mamatjan, Yasin</t>
  </si>
  <si>
    <t>An Explainable AI Framework for Online Diabetes Risk Prediction with a Personalized Chatbot Assistant</t>
  </si>
  <si>
    <t>explainable AI (XAI); large language model (LLM); chatbot; recommender system; diabetes risk prediction</t>
  </si>
  <si>
    <t>Background and Objective: Diabetes is a prevalent chronic disease that presents considerable health risks, making prompt diagnosis and treatment essential to avert complications. Traditional Artificial Intelligence (AI) models for diabetes prediction often operate as black boxes. A major issue caused by this is that black boxes lack interpretability, which impacts their effectiveness in clinical use cases. We introduce a novel online recommendation framework using explainable AI (XAI) to predict type II diabetes risk and provide clear, actionable analyses with a personalized chatbot assistant. Methods: To make the model, we chose the CatBoost classifier and SHapley Additive exPlanations (SHAP) due to their ability to provide accurate predictions. Using those tools, we analyzed 16 individual risk factors from a dataset of 520 patients. We applied the Synthetic Minority Over-sampling Technique (SMOTE) to reduce the effect of data imbalance. We also developed an interactive interface that allows users to input data, visualize personalized risk profiles, and understand the driving factors behind predictions. Finally, large language models (LLMs) were integrated into the interface for patient-specific recommendations for improving health and lifestyle through a personalized chatbot assistant. Results: The model demonstrated great predictive performance, with an Area Under the ROC Curve (AUC) of 0.99, a Cohen Kappa score of 0.978, and an F1 score of 0.99. For the minority class, SMOTE application improved performance metrics, resulting in an AUC of 0.98 and an F1 score of 0.91 for female patients. Conclusions: This study proposes an explainable AI framework for predicting diabetes risk online and providing patient-specific advice through a personalized chatbot assistant. This will help to facilitate better decision-making and improved management of diabetes risk.</t>
  </si>
  <si>
    <t>10.3390/electronics14183738</t>
  </si>
  <si>
    <t>WOS:001579783100001</t>
  </si>
  <si>
    <t>Ansith, S; Ananth, A; Raj, ED; Kala, S</t>
  </si>
  <si>
    <t>Ansith, S.; Ananth, A.; Raj, Ebin Deni; Kala, S.</t>
  </si>
  <si>
    <t>Swin-RSIC: remote sensing image classification using a modified swin transformer with explainability</t>
  </si>
  <si>
    <t>Remote sensing; Land use classification; Swin transformer; Cross domain classification; Interpretable deep learning; Model transparency</t>
  </si>
  <si>
    <t>DOMAIN ADAPTATION; SCENE CLASSIFICATION; SEGMENTATION; ALIGNMENT; NETWORK</t>
  </si>
  <si>
    <t>Remote sensing imagery plays a vital role in numerous societal applications, offering exceptionally high spatial resolution that enables the extraction of fine-grained features from each pixel. A modified Swin (Shifted Window) Transformer model, termed the Swin Transformer for Remote Sensing Image Classification (Swin-RSIC), is proposed for the effective analysis of very high resolution remote sensing imagery. Swin-RSIC incorporates a sparse attention mechanism to efficiently capture long-range dependencies while optimising parameter efficiency and memory usage. The proposed Swin-RSIC model has been validated on four major land use datasets, achieving a peak accuracy of 98.06%. Additionally, it demonstrates strong performance in cross domain classification, with an accuracy of 88.18% without relying on domain adaptation techniques. To enhance model interpretability, Class Activation Mapping (CAM) techniques, Local Interpretable Model-agnostic Explanations (LIME) and insertion deletion methods were employed. These methods offer visual insights into the key regions that influence the predictions of the proposed model, thereby improving transparency in decision-making. Results from the CAM methods indicate that the proposed model produces more precise and comprehensive feature activations across critical land regions. LIME visualisations highlight the ability of the model to focus on relevant spatial features. Insertion and deletion experiments validate the model robustness by demonstrating its ability to effectively retain and utilise essential features while maintaining high classification confidence. The combination of high classification accuracy and enhanced interpretability underscores the effectiveness of the modified Swin transformer model in both land use and cross-domain remote sensing image classification.</t>
  </si>
  <si>
    <t>APR 7</t>
  </si>
  <si>
    <t>10.1007/s12145-025-01878-x</t>
  </si>
  <si>
    <t>WOS:001464007500002</t>
  </si>
  <si>
    <t>Liu, Z; Li, C; Chen, CY; Wang, JJ; Chen, MZ; Wu, BY; Wang, YW; Hu, J; Wang, Q</t>
  </si>
  <si>
    <t>Liu, Zhe; Li, Cheng; Chen, Chunyang; Wang, Junjie; Chen, Mengzhuo; Wu, Boyu; Wang, Yawen; Hu, Jun; Wang, Qing</t>
  </si>
  <si>
    <t>Seeing is Believing: Vision-Driven Non-Crash Functional Bug Detection for Mobile Apps</t>
  </si>
  <si>
    <t>Computer bugs; Graphical user interfaces; Testing; Visualization; Detectors; Monitoring; Logic; Data mining; Semantics; Annotations; Multimodal large language model; android app; non-crash bugs</t>
  </si>
  <si>
    <t>Mobile app GUI (Graphical User Interface) pages now contain rich visual information, with the visual semantics of each page helping users understand the application logic. However, these complex visual and functional logics present new challenges to software testing. Existing automated GUI testing methods, constrained by the lack of reliable testing oracles, are limited to detecting crash bugs with obvious abnormal signals. Consequently, many non-crash functional bugs, ranging from unexpected behaviors to logical errors, often evade detection by current techniques. While these non-crash functional bugs can exhibit visual cues that serve as potential testing oracles, they often entail a sequence of screenshots, and detecting them necessitates an understanding of the operational logic among GUI page transitions, which is challenging traditional techniques. Considering the remarkable performance of Multimodal Large Language Models (MLLM) in visual and language understanding, this paper proposes VisionDroid, a novel vision-driven, multi-agent collaborative automated GUI testing approach for detecting non-crash functional bugs. It comprises three agents: Explorer, Monitor, and Detector, to guide the exploration, oversee the testing progress, and spot issues. We also address several challenges, i.e., aligning visual and textual information for MLLM input, achieving functionality-oriented exploration, and inferring test oracles for non-crash bugs, to enhance the performance of functionality bug detection. We evaluate VisionDroid on 590 non-crash bugs and compare it with 12 baselines, it can achieve more than 14%-112% and 108%-147% boost in average recall and precision compared with the best baseline. The ablation study further proves the contribution of each module. Moreover, VisionDroid identifies 43 unknown bugs on Google Play, of which 31 have been fixed.</t>
  </si>
  <si>
    <t>10.1109/TSE.2025.3614469</t>
  </si>
  <si>
    <t>WOS:001639031400023</t>
  </si>
  <si>
    <t>Mishra, SK; Chakraborty, S; Saha, S; Bhattacharyya, P</t>
  </si>
  <si>
    <t>Mishra, Santosh Kumar; Chakraborty, Soham; Saha, Sriparna; Bhattacharyya, Pushpak</t>
  </si>
  <si>
    <t>Hi-MetaCap: Configuring Object Relational Transformer in Meta-Learning Environment for Image Captioning in Hindi</t>
  </si>
  <si>
    <t>ACM TRANSACTIONS ON ASIAN AND LOW-RESOURCE LANGUAGE INFORMATION PROCESSING</t>
  </si>
  <si>
    <t>Few shot learning; image captioning; hindi; deep learning</t>
  </si>
  <si>
    <t>This article proposes a meta-learning-based, few-shot image captioning framework based on an ensemble of object-relational transformer models and a self-distillation strategy. Unlike traditional approaches, the proposed framework can train models using non-paired images and captions. In each iteration, multiple base models are trained on distinct data samples, forming an ensemble that generates pseudo-captions with confidence-based weighting. An efficient pseudo-feature generation method based on gradient descent enables learning from non-paired captions. These pseudo-features and pseudo-captions are then used to train the base models in subsequent iterations. The obtained results show that using just 1% of the paired image-caption training data significantly improves performance and generates meaningful captions. The proposed framework demonstrates the potential to reduce reliance on large, paired datasets while maintaining high-quality image captioning performance.1</t>
  </si>
  <si>
    <t>2375-4699</t>
  </si>
  <si>
    <t>2375-4702</t>
  </si>
  <si>
    <t>10.1145/3749642</t>
  </si>
  <si>
    <t>WOS:001576679400009</t>
  </si>
  <si>
    <t>Felman, E; Kerridge, I; Vered, M; Komesaroff, P</t>
  </si>
  <si>
    <t>Felman, E.; Kerridge, I.; Vered, M.; Komesaroff, P.</t>
  </si>
  <si>
    <t>Reflections on the Cloak of Convenience</t>
  </si>
  <si>
    <t>Digital technologies; Artificial intelligence; Ethics</t>
  </si>
  <si>
    <t>FOOD PREPARATION; INTERNET; TIME; PERCEPTION; COOKING; CHOICES</t>
  </si>
  <si>
    <t>A key maxim guiding the introduction of new technologies, including those utilizing artificial intelligence, is that such technologies should carry rewards of convenience: indeed, the more convenient a new technology is considered to be, the more likely it is to be welcomed and adopted. Rudimentary examples from last century include the microwave, washing machine, and dishwasher; more recent innovations from the present century include portable navigation systems, online shopping applications, internet search engines, smart phones, telehealth, automated workplace systems and processes, email and messaging technologies, and-most recently-large language models that are able to undertake multiple complex tasks. Each of these technologies offers a variety of benefits. However, a unifying feature is that all have been considered to enhance convenience, understood as saving time and/or effort. In this paper we explore the provenance and meaning of the-usually unexamined-concept of convenience, identifying an unexpected link with erosion of values and depletion of the diversity and richness of personal experiences. We conclude that the prioritization of convenience as a driver of innovation carries with it risks, which may go unnoticed or be difficult to discern.</t>
  </si>
  <si>
    <t>10.1007/s11673-025-10449-0</t>
  </si>
  <si>
    <t>WOS:001505286300001</t>
  </si>
  <si>
    <t>Selvaraj, SP; Yen, RW; Forcino, R; Elwyn, G</t>
  </si>
  <si>
    <t>Selvaraj, Sai P.; Yen, Renata W.; Forcino, Rachel; Elwyn, Glyn</t>
  </si>
  <si>
    <t>Automating the Observer OPTION-5 measure of shared decision making: Assessing validity by comparing large language models to human ratings</t>
  </si>
  <si>
    <t>Generative AI; LLM; GPT; Option talk; Shared decision-making</t>
  </si>
  <si>
    <t>PROVIDERS INVOLVE PATIENTS; EXTENT</t>
  </si>
  <si>
    <t>Objectives: Observer-based measures of shared decision rely on human raters, it is resource-intensive, limiting routine assessment and improvement. Generative artificial intelligence could increase the speed and accuracy of observer-based evaluation while reducing the burden. This study aimed to assess the performance of large language models (LLMs) from Gemini, GPT, and LLaMA family of models in evaluating the extent of shared decision-making between clinicians and women considering surgery for early-stage breast cancer. Methods: LLM-generated scores were compared with those of trained human raters from a randomized controlled trial using the 5-item Observer OPTION-5 measure. We analyzed 287 anonymized transcripts of breast cancer consultations. A series of prompts were tested across models, assessing correlations with human scores. We also evaluated the ability of LLMs to distinguish high versus low encounters and the impact of inter-rater agreement on performance.(1) Results: The scores for Observer OPTION-5 items generated by the GPT-4o and Gemini-1.5-Pro-002 correlated with human ratings (Pearson r approximate to 0.6, p-value&lt;0.01), representing approximate to 75-80 % of the correlation observed between human raters themselves (r = 0.77). Providing detailed descriptions and examples improved the models' performance. The results also confirm that the models could distinguish high- from low-scoring encounters, with an independent-samples t-test showing a large and significant separation between the two groups (t &gt; 10, p &lt; 0.01). Conclusions: Based on the breast cancer surgery dataset we explored, LLMs can evaluate aspects of clinician-patient dialog using existing measures, providing the basis for the development and fine-tuning of prompts. Future work should focus on generalizability, larger datasets, and improving model performance.</t>
  </si>
  <si>
    <t>10.1016/j.pec.2025.109362</t>
  </si>
  <si>
    <t>WOS:001587068700002</t>
  </si>
  <si>
    <t>Lee, Y; Park, T; Kang, Y; Kim, J; Kang, J</t>
  </si>
  <si>
    <t>Lee, Youngjoon; Park, Taehyun; Kang, Yeongjoon; Kim, Jonghoe; Kang, Joonhyuk</t>
  </si>
  <si>
    <t>ROK Defense M&amp;S in the Age of Hyperscale AI: Concepts, Challenges, and Future Directions</t>
  </si>
  <si>
    <t>Integrating hyperscale AI into national defense M&amp;S (Modeling and Simulation), under the expanding IoMDT (Internet of Military Defense Things) framework, is crucial for boosting strategic and operational readiness. We examine how IoMDT-driven hyperscale AI can provide high accuracy, speed, and the ability to simulate complex, interconnected battlefield scenarios in defense M&amp;S. Countries like the United States and China are leading the adoption of these technologies, with varying levels of success. However, realizing the full potential of hyperscale AI requires overcoming challenges such as closed networks, sparse or long-tail data, complex decision-making processes, and a shortage of experts. Future directions highlight the need to adopt domestic foundation models, expand GPU/NPU investments, leverage large tech services, and employ open source solutions. These efforts will enhance national security, maintain a competitive edge, and spur broader technological and economic growth. With this blueprint, the Republic of Korea can strengthen its defense posture and stay ahead of emerging threats in modern warfare.</t>
  </si>
  <si>
    <t>10.1109/IOTM.001.2400157</t>
  </si>
  <si>
    <t>WOS:001635988900008</t>
  </si>
  <si>
    <t>Thida, M</t>
  </si>
  <si>
    <t>Thida, Myo</t>
  </si>
  <si>
    <t>Automated Analysis of Job Market Demands using Large Language Model</t>
  </si>
  <si>
    <t>ChatGPT; labour market analysis; skills identification; online job adverts; skills demand</t>
  </si>
  <si>
    <t>This paper presents a comprehensive analysis of labor market demands for Myanmar workers in Japan, and Thailand, focusing on opportunities for individuals without higher education degrees. Leveraging ChatGPT's text classification and summarization capabilities, we extracted vital insights from extensive job advertisements and social media groups. The dataset comprises 152 job advertisements from Thailand and 30 from Japan, collected in 2023. Our research provides a valuable snapshot of skill demands and job opportunities, offering insights for informed decision-making by both job seekers and international non-governmental organizations. The innovative approach of using ChatGPT highlights its efficacy in understanding labor market dynamics. These findings serve as a foundation for tailored interventions to bridge employment challenges faced by marginalized Myanmar youths.</t>
  </si>
  <si>
    <t>WOS:001064929600001</t>
  </si>
  <si>
    <t>Rahman, S; Dutta, S; Shi, AG</t>
  </si>
  <si>
    <t>Rahman, Shanto; Dutta, Saikat; Shi, August</t>
  </si>
  <si>
    <t>Understanding and Improving Flaky Test Classification</t>
  </si>
  <si>
    <t>PROCEEDINGS OF THE ACM ON PROGRAMMING LANGUAGES-PACMPL</t>
  </si>
  <si>
    <t>flaky tests; flaky test classification; large language models</t>
  </si>
  <si>
    <t>Regression testing is an essential part of software development, but it suffers from the presence of flaky tests-tests that pass and fail non-deterministically when run on the same code. These unpredictable failures waste developers' time and often hide real bugs. Prior work showed that fine-tuned large language models (LLMs) can classify flaky tests into different categories with very high accuracy. However, we find that prior approaches over-estimated the accuracy of the models due to incorrect experimental design and unrealistic datasets-making the flaky test classification problem seem simpler than it is. In this paper, we first show how prior flaky test classifiers over-estimate the prediction accuracy due to 1) flawed experiment design and 2) mis-representation of the real distribution of flaky (and non-flaky) tests in their datasets. After we fix the experimental design and construct a more realistic dataset (which we name FlakeBench), the prior state-of-the-art model shows a steep drop in F1-score, from 81.82% down to 56.62%. Motivated by these observations, we develop a new training strategy to fine-tune a flaky test classifier, FlakyLens, that improves the classification F1-score to 65.79% (9.17pp higher than the state-of-the-art). We also compare FlakyLens against recent pre-trained LLMs, such as CodeLlama and DeepSeekCoder, on the same classification task. Our results show that FlakyLens consistently outperforms these models, highlighting that general-purpose LLMs still fall short on this specialized task. Using our improved flaky test classifier, we identify the important tokens in the test code that influence the models in making correct or incorrect predictions. By leveraging attribution scores computed per code token in each test, we investigate the tokens that have higher impact on the flaky test classifier's decision-making per flaky test category. To assess the influence of these important tokens, we introduce adversarial perturbation using these important tokens into the tests and observe whether the model's predictions change. Our findings show that, when introducing perturbations using the most important tokens, the classification accuracy can change by as much as-18.37pp. These results highlight that these models still struggle to generalize beyond their training data and rely on identifying category-specific tokens (instead of understanding their semantic context), calling for further research into more robust training methodologies.</t>
  </si>
  <si>
    <t>2475-1421</t>
  </si>
  <si>
    <t>OOPSLA2</t>
  </si>
  <si>
    <t>OOPLA2</t>
  </si>
  <si>
    <t>10.1145/3763098</t>
  </si>
  <si>
    <t>WOS:001632924600001</t>
  </si>
  <si>
    <t>Cho, H; Yoo, S; Kim, B; Jang, S; Sunwoo, L; Kim, S; Lee, D; Kim, S; Nam, S; Chung, JH</t>
  </si>
  <si>
    <t>Cho, Hyeongmin; Yoo, Sooyoung; Kim, Borham; Jang, Sowon; Sunwoo, Leonard; Kim, Sanghwan; Lee, Donghyoung; Kim, Seok; Nam, Sejin; Chung, Jin-Haeng</t>
  </si>
  <si>
    <t>Extracting lung cancer staging descriptors from pathology reports: A generative language model approach</t>
  </si>
  <si>
    <t>Deep learning; Natural language processing; Large language model; Information extraction; Pathology report; Tumor-node classification</t>
  </si>
  <si>
    <t>CLASSIFICATION; EDITION</t>
  </si>
  <si>
    <t>Background: In oncology, electronic health records contain textual key information for the diagnosis, staging, and treatment planning of patients with cancer. However, text data processing requires a lot of time and effort, which limits the utilization of these data. Recent advances in natural language processing (NLP) technology, including large language models, can be applied to cancer research. Particularly, extracting the information required for the pathological stage from surgical pathology reports can be utilized to update cancer staging according to the latest cancer staging guidelines. Objectives: This study has two main objectives. The first objective is to evaluate the performance of extracting information from text-based surgical pathology reports and determining pathological stages based on the extracted information using fine-tuned generative language models (GLMs) for patients with lung cancer. The second objective is to determine the feasibility of utilizing relatively small GLMs for information extraction in a resource-constrained computing environment. Methods: Lung cancer surgical pathology reports were collected from the Common Data Model database of Seoul National University Bundang Hospital (SNUBH), a tertiary hospital in Korea. We selected 42 descriptors necessary for tumor-node (TN) classification based on these reports and created a gold standard with validation by two clinical experts. The pathology reports and gold standard were used to generate prompt-response pairs for training and evaluating GLMs which then were used to extract information required for staging from pathology reports. Results: We evaluated the information extraction performance of six trained models as well as their performance in TN classification using the extracted information. The Deductive Mistral-7B model, which was pre-trained with the deductive dataset, showed the best performance overall, with an exact match ratio of 92.24% in the information extraction problem and an accuracy of 0.9876 (predicting T and N classification concurrently) in classification. Conclusion: This study demonstrated that training GLMs with deductive datasets can improve information extraction performance, and GLMs with a relatively small number of parameters at approximately seven billion can achieve high performance in this problem. The proposed GLM-based information extraction method is expected to be useful in clinical decision-making support, lung cancer staging and research.</t>
  </si>
  <si>
    <t>10.1016/j.jbi.2024.104720</t>
  </si>
  <si>
    <t>WOS:001312772300001</t>
  </si>
  <si>
    <t>Edirisinghe, D; Nimalsiri, W; Hennayake, M; Meedeniya, D; Lim, G</t>
  </si>
  <si>
    <t>Edirisinghe, Dasith; Nimalsiri, Wimukthi; Hennayake, Mahela; Meedeniya, Dulani; Lim, Gilbert</t>
  </si>
  <si>
    <t>Chest X-Ray Report Generation Using Abnormality Guided Vision Language Model</t>
  </si>
  <si>
    <t>Visualization; Feature extraction; Radiology; Medical diagnostic imaging; Accuracy; Transformers; X-ray imaging; Large language models; Computational modeling; Convolutional neural networks; Artificial intelligence; abnormality classification; chest X-ray reporting; computer vision; deep learning; multi-modal; vision-language model</t>
  </si>
  <si>
    <t>Automated radiology report generation is essential for assisting radiologists in managing the growing volume of chest radiographs. Unlike conventional image captioning models, radiology report generation must prioritize abnormality-specific feature extraction over generic image features. However, existing models lack an inherent mechanism to extract clinically significant abnormality features directly from radiographs without relying on external knowledge bases or auxiliary models. Additionally, most existing approaches use a single vision encoder, limiting their ability to capture complementary visual cues essential for accurate abnormality identification. To address these limitations, we introduce META-CXR (Multimodal Expert Tokens-based VLM for Abnormality-Guided Chest X-ray Reporting), a vision-language model (VLM) designed to enhance both abnormality classification and radiology report generation. META-CXR employs a multi-encoder visual backbone that combines CNNs, ViTs, and Swin Transformers to extract diverse and complementary visual features. These multi-encoder features serve as a shared representation and are utilized in two key components of the architecture: the META-Former module, a modified Q-Former designed to fuse heterogeneous encoder outputs into a unified token space for effective report generation, and the Multi-Head Cross Attention Classification (MHCAC) module, which performs multi-class, multi-label abnormality classification, including an explicit uncertain category. The identified abnormalities are then integrated into the language modeling process as soft prompts to ensure clinically coherent and diagnosis-aware report generation using a large language model (LLM). META-CXR achieves state-of-the-art performance, demonstrating an F1-score of 0.699 for cross-domain multi-class, multi-label abnormality classification on the CheXpert dataset. Additionally, it achieves strong natural language generation results, with a BERTScore of 0.426 and a METEOR score of 0.173 on the MIMIC-CXR test set. Ablation studies validate the contributions of the multi-encoder backbone, hierarchical classification via MHCAC, the META-Former fusion strategy, and classification-aware report generation. Furthermore, attention map visualizations improve interpretability by highlighting clinically relevant image regions, offering radiologists transparent insights into model decisions. By addressing key challenges in abnormality-specific feature extraction, uncertainty-aware classification, and diagnosis-driven reporting, META-CXR establishes a new benchmark for vision-language models in radiology AI.</t>
  </si>
  <si>
    <t>10.1109/ACCESS.2025.3606961</t>
  </si>
  <si>
    <t>WOS:001571485600045</t>
  </si>
  <si>
    <t>Filippi, S; Motyl, B</t>
  </si>
  <si>
    <t>Filippi, Stefano; Motyl, Barbara</t>
  </si>
  <si>
    <t>Development of a Tool for Evaluating the Influence of Engineering Students' Perception of Generative AI on University Courses Based on Personality, Perceived Roles in Design Teams, and Course Engagement</t>
  </si>
  <si>
    <t>MULTIMODAL TECHNOLOGIES AND INTERACTION</t>
  </si>
  <si>
    <t>artificial intelligence-AI; Large Language Models-LLMs; engineering design; engineering education; evaluation tools; Gen Z; product innovation; product representation</t>
  </si>
  <si>
    <t>MODERATING ROLE; PRODUCT; REPRESENTATIONS; CREATIVITY; MODEL</t>
  </si>
  <si>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t>
  </si>
  <si>
    <t>2414-4088</t>
  </si>
  <si>
    <t>10.3390/mti8100084</t>
  </si>
  <si>
    <t>WOS:001342904000001</t>
  </si>
  <si>
    <t>Wu, J; Song, YK; Wu, DC</t>
  </si>
  <si>
    <t>Wu, Ji; Song, Yaokang; Wu, Doris Chenguang</t>
  </si>
  <si>
    <t>Does ChatGPT show gender bias in behavior detection?</t>
  </si>
  <si>
    <t>Recent advancements in Large Language Models (LLMs) suggest imminent commercial applications of such AI systems which serve as gateways to interact with technology and the accumulated body of human knowledge. However, whether and how ChatGPT contains bias in behavior detection and thus generates ethical concerns in decision-making deserves explored. This study therefore aims to evaluate and compare the detection accuracy and gender bias between ChatGPT and such traditional ML methods as Na &amp; iuml;ve Bayes, SVM, Random Forest, and XGBoost. The experimental results demonstrate that despite of its lower detection accuracy, ChatGPT exhibits less gender bias. Furthermore, we observed that removing gender label features led to an overall reduction in bias for traditional ML methods, while for ChatGPT, the gender bias decreased when labels were provided. These findings shed new light on fairness enhancement and bias mitigation in management decisions when using ChatGPT for behavior detection.</t>
  </si>
  <si>
    <t>10.1057/s41599-024-04219-3</t>
  </si>
  <si>
    <t>WOS:001381827000001</t>
  </si>
  <si>
    <t>Kirshner, SN</t>
  </si>
  <si>
    <t>Kirshner, Samuel N.</t>
  </si>
  <si>
    <t>GPT and CLT: The impact of ChatGPT's level of abstraction on consumer recommendations</t>
  </si>
  <si>
    <t>ChatGPT; Construal level theory; Consumer recommendations; LLMs; Bard</t>
  </si>
  <si>
    <t>CONSTRUAL-LEVEL; PSYCHOLOGICAL DISTANCE; TEMPORAL DISTANCE; REPRESENTATION; FEASIBILITY; FOREST; CHOICE; TREES; SEE</t>
  </si>
  <si>
    <t>This study explores how ChatGPT interprets information through the lens of Construal Level Theory (CLT). The findings show that ChatGPT exhibits an abstraction bias, generating responses consistent with a high-level construal. This abstraction bias results in ChatGPT prioritising high-level construal features (e.g., desirability) over low-level construal features (e.g., feasibility) in consumer evaluation scenarios. Thus, ChatGPT recommendations differ significantly from traditional results based on human decision-making. Applying CLT concepts to large language models provides essential insights into how consumer behaviour may evolve with the increasing prevalence and capability of AI and offers many promising avenues for future research.</t>
  </si>
  <si>
    <t>10.1016/j.jretconser.2023.103580</t>
  </si>
  <si>
    <t>WOS:001108563800001</t>
  </si>
  <si>
    <t>Liu, YS; Hou, J; Zhao, W</t>
  </si>
  <si>
    <t>Liu, Yishu; Hou, Jia; Zhao, Wei</t>
  </si>
  <si>
    <t>Deep Learning and User Consumption Trends Classification and Analysis Based on Shopping Behavior</t>
  </si>
  <si>
    <t>Behavioral Classification; Consumer Behavior; Deep Learning; Neural Networks; Shopping Patterns; User Profiling</t>
  </si>
  <si>
    <t>Driven by the wave of digitalization, the booming development of the e-commerce industry urgently requires in-depth analysis of user shopping behavior to improve service experience. In view of the limitations of traditional models in dealing with complex shopping scenarios, this study innovatively proposes a deep learning model: the VATA model (a combination of variational autoencoder, transformer, and attention mechanism). Through this model, the authors strive to classify and analyze user shopping behavior more accurately and intelligently. Variational autoencoder (VAE) can learn the potential representation of user personalized historical data, capture the implicit characteristics of shopping behavior, and improve the ability to deal with actual shopping situations. Transformer models can more comprehensively capture the dependencies between shopping behaviors and understand shopping. The overall structure of behavior plays an important role.</t>
  </si>
  <si>
    <t>10.4018/JOEUC.340038</t>
  </si>
  <si>
    <t>WOS:001185409200002</t>
  </si>
  <si>
    <t>Hossain, MM; Hossain, MS; Safran, M; Alfarhood, S; Alfarhood, M; Mridha, MF</t>
  </si>
  <si>
    <t>Hossain, Md. Mithun; Hossain, Md. Shakil; Safran, Mejdl; Alfarhood, Sultan; Alfarhood, Meshal; F. Mridha, M.</t>
  </si>
  <si>
    <t>A Hybrid Attention-Based Transformer Model for Arabic News Classification Using Text Embedding and Deep Learning</t>
  </si>
  <si>
    <t>Deep learning; Accuracy; Analytical models; Text categorization; Transformers; Sentiment analysis; Data models; Tokenization; Predictive models; Syntactics; hybrid transformer; Arabic text classifications; Arabic news classifications</t>
  </si>
  <si>
    <t>SENTIMENT ANALYSIS</t>
  </si>
  <si>
    <t>Efficient classification of Arabic news items has become more crucial for efficient information management and analysis due to the fast growth of online news material. This paper proposes a hybrid Attention-Based Transformer Model (ABTM) for Arabic news categorization that uses deep learning and classical text representations to improve classification accuracy and interpretability. Given the increasing amount of Arabic news materials, robust categorization systems are crucial for properly managing and analyzing this information. To deal with the complexities of the Arabic language and enrich the dataset, we used a thorough preparation pipeline that includes text cleaning, tokenization, lemmatization, and data augmentation approaches. We combined a bespoke attention embedder with classic TF-IDF and Bag-of-Words features to provide a comprehensive feature set that includes both the text's contextual and statistical aspects. We benchmarked our technique using cutting-edge Arabic language models, such as AraBERTv1-base and asafaya/bert-base-arabic. We use (local interpretable model agnostic explanation) text explainer to offer insights into model predictions, improving our findings' interpretability. Our results show that the ABTM strategy considerably enhances classification performance, with high accuracy and reasonable explanations for model decisions. This classification includes a wide range of news categories, including politics, sports, culture, the economy, and a variety of themes, representing the diversity of Arabic news. This study contributes to the field of Arabic natural language processing by offering a novel method that combines deep learning with traditional techniques, thereby advancing the state of Arabic news classification. Enhanced classification accuracy and interpretability facilitate better management and understanding of the rich and growing Arabic news content, supporting informed decision-making and knowledge discovery.</t>
  </si>
  <si>
    <t>10.1109/ACCESS.2024.3522061</t>
  </si>
  <si>
    <t>WOS:001386558700030</t>
  </si>
  <si>
    <t>Start-up activity in the LLM ecosystem</t>
  </si>
  <si>
    <t>The technical and mainstream media's headline coverage of AI invariably centers around the often astounding abilities demonstrated by large language models. That's hardly surprising, since to all intents and purposes that's where the newsworthy magic of generative AI lies. But it takes a village to raise a child: behind the scenes, there's an entire ecosystem that supports the development and deployment of these models and the applications that are built on top of them. Some parts of that ecosystem are dominated by the Big Tech incumbents, but there are also many niches where start-ups are aiming to gain a foothold. We take a look at some components of that ecosystem, with a particular focus on ideas that have led to investment in start-ups over the last year or so.</t>
  </si>
  <si>
    <t>10.1017/S1351324924000032</t>
  </si>
  <si>
    <t>WOS:001221718900004</t>
  </si>
  <si>
    <t>Chen, YR; Cui, WB; Chen, YW; Tan, MN; Zhang, XY; Liu, JR; Li, HR; Zhao, DB; Wang, H</t>
  </si>
  <si>
    <t>Chen, Yaran; Cui, Wenbo; Chen, Yuanwen; Tan, Mining; Zhang, Xinyao; Liu, Jinrui; Li, Haoran; Zhao, Dongbin; Wang, He</t>
  </si>
  <si>
    <t>RoboGPT: An LLM-Based Long-Term Decision-Making Embodied Agent for Instruction Following Tasks</t>
  </si>
  <si>
    <t>Planning; Robots; Navigation; Accuracy; Data collection; Training; Visualization; Data models; Data mining; Chatbots; Daily instruction following tasks; embodied artificial intelligence (AI); embodied planning; large language model (LLM); self-instruction data generation</t>
  </si>
  <si>
    <t>Robotic agents are tasked with mastering common sense and making long-term sequential decisions to execute daily tasks based on natural language instructions. Recent advancements in large language models (LLMs) have catalyzed efforts for complex robotic planning. However, despite their superior generalization and comprehension capabilities, LLM task plans sometimes suffer from issues of accuracy and feasibility. To address these challenges, we propose RoboGPT,(1)(1) For more details, please refer to our project page https://github.com/Cwb0106/RoboGPT. an embodied agent specifically designed to make long-term decisions for instruction following tasks. RoboGPT integrates three key modules: 1) RoboPlanner, an LLM-based planning module equipped with 67k embodied planning data, breaks down tasks into logical subgoals. We compile a new robotic dataset using a template feedback-based self-instruction method to fine-tune the Llama model. RoboPlanner with strong generalization can plan hundreds of instruction following tasks; 2) RoboSkill, customized for each subgoal to improve navigation and manipulation capabilities; and 3) Re-Plan, a module that dynamically adjusts the subgoals based on real-time environmental feedback. By utilizing the precise semantic map generated by RoboSkill, the target objects can be replaced by calculating the similarity between subgoals and the objects present in the environment. Experimental results demonstrate that RoboGPT exceeds the performance of other state-of-the-art (SOTA) methods, particularly LLM-based methods, in terms of task planning rationality for hundreds of unseen daily tasks and even tasks from other domains.</t>
  </si>
  <si>
    <t>10.1109/TCDS.2025.3543364</t>
  </si>
  <si>
    <t>WOS:001592218900012</t>
  </si>
  <si>
    <t>Parker, M; Ghahremani, M; Shiaeles, S</t>
  </si>
  <si>
    <t>Parker, Michael; Ghahremani, Mani; Shiaeles, Stavros</t>
  </si>
  <si>
    <t>Stock Price Prediction Using a Stacked Heterogeneous Ensemble</t>
  </si>
  <si>
    <t>stacked machine learning; stock price forecasting; LSTM; ARIMA; XGBoost; GRU; transformer</t>
  </si>
  <si>
    <t>TIME-SERIES; NETWORK; MOBILE</t>
  </si>
  <si>
    <t>Forecasting stock price ranges remains a significant challenge because of the non-linear nature of financial data. This study proposes and evaluates a stacking ensemble model for range-based volatility forecasting, using open, high, low, and close (OHLC) prices. The model integrates a diverse, heterogeneous set of base learners, such as statistical (ARIMA), machine learning (Random Forest), and deep learning (LSTM, GRU, Transformer) models, with an XGBoost meta-learner. Applied to several major financial indices and a single stock, the proposed framework demonstrates high predictive accuracy, achieving R2 scores between 0.9735 and 0.9905. These results highlight the efficacy of a multi-faceted stacking approach in navigating the complexities of financial forecasting.</t>
  </si>
  <si>
    <t>OCT 28</t>
  </si>
  <si>
    <t>10.3390/ijfs13040201</t>
  </si>
  <si>
    <t>WOS:001646672500001</t>
  </si>
  <si>
    <t>Alsarra, S; Alrashoud, M; Osorio, J; D'Orazio, V; Khan, L; Brandt, PT</t>
  </si>
  <si>
    <t>Alsarra, Sultan; Alrashoud, Mubarak; Osorio, Javier; D'Orazio, Vito; Khan, Latifur; Brandt, Patrick T.</t>
  </si>
  <si>
    <t>Multilingual approaches to extractive question answering in political texts</t>
  </si>
  <si>
    <t>Extractive QA; Multilingual question answering; Political violence; Spanish NLP; Arabic NLP; Domain-specific models; Natural language understanding; Large language models</t>
  </si>
  <si>
    <t>This work contributes to multilingual extractive question answering (QA) by presenting QA-specialized versions of ConfliBERT for English, Spanish, and Arabic, language models designed for analyzing political conflict and violence. A cross-lingual QA framework is proposed, including curated datasets and the Spanish translation of an English QA corpus to mitigate the scarcity of annotated resources for low-resource languages. The models are fine-tuned specifically for extractive QA and benchmarked against general-purpose BERT variants, showing consistent gains across all target languages. By addressing language gaps in high-stakes domains, the study underscores the potential of multilingual QA systems to support both research and decision-making in political contexts.</t>
  </si>
  <si>
    <t>10.1007/s10588-025-09408-2</t>
  </si>
  <si>
    <t>WOS:001604812800001</t>
  </si>
  <si>
    <t>Zhang, YT; Pan, Y; Zhong, TY; Dong, PX; Xie, KN; Liu, YX; Jiang, HQ; Wu, ZH; Liu, ZL; Zhao, W; Zhang, W; Zhao, SJ; Zhang, T; Jiang, X; Shen, DG; Liu, TM; Zhang, X</t>
  </si>
  <si>
    <t>Zhang, Yutong; Pan, Yi; Zhong, Tianyang; Dong, Peixin; Xie, Kangni; Liu, Yuxiao; Jiang, Hanqi; Wu, Zihao; Liu, Zhengliang; Zhao, Wei; Zhang, Wei; Zhao, Shijie; Zhang, Tuo; Jiang, Xi; Shen, Dinggang; Liu, Tianming; Zhang, Xin</t>
  </si>
  <si>
    <t>Potential of multimodal large language models for data mining of medical images and free-text reports</t>
  </si>
  <si>
    <t>Medical images and radiology reports are essential for physicians to diagnose medical conditions. However, the vast diversity and cross-source heterogeneity inherent in these data have posed significant challenges to the generalizability of current data-mining methods for clinical decision-making. Recently, multimodal large language models (MLLMs), especially Gemini-Vision-series (Gemini) and GPT-4-series (GPT-4) models, have revolutionized numerous domains, significantly impacting the medical field. In this study, we conducted a detailed evaluation of the performance of the Gemini series models (including Gemini-1.0-Pro-Vision, Gemini-1.5-Pro, and Gemini-1.5-Flash) and GPT series models (including GPT-4o, GPT-4-Turbo, and GPT-3.5-Turbo) across 14 medical datasets, covering 5 medical imaging categories (dermatology, radiology, dentistry, ophthalmology, and endoscopy) and 3 radiology report datasets. The investigated tasks encompass disease classification, lesion segmentation, anatomical localization, disease diagnosis, report generation, and lesion detection. Moreover, we also validated the performance of the Claude-3-Opus, Yi-Large, Yi-Large-Turbo, and LLaMA 3 models to gain a comprehensive understanding of the MLLM models in the medical field. Our experimental results demonstrated that Gemini-series models excelled in report generation and lesion detection but faces challenges in disease classification and anatomical localization. Conversely, GPT-series models exhibited proficiency in lesion segmentation and anatomical localization but encountered difficulties in disease diagnosis and lesion detection. Additionally, both the Gemini series and GPT series contain models that have demonstrated commendable generation efficiency. While both models hold promise in reducing physician workload, alleviating pressure on limited healthcare resources, and fostering collaboration between clinical practitioners and artificial intelligence technologies, substantial enhancements and comprehensive validations remain imperative before clinical deployment.</t>
  </si>
  <si>
    <t>10.1016/j.metrad.2024.100103</t>
  </si>
  <si>
    <t>WOS:001577798200001</t>
  </si>
  <si>
    <t>Wu, MY; Zhou, H; Yao, R; Ren, SH</t>
  </si>
  <si>
    <t>Wu, Mingyue; Zhou, Hong; Yao, Rao; Ren, Shuhong</t>
  </si>
  <si>
    <t>Life prediction and health assessment of aero-engine gas path using digital twin and deep learning</t>
  </si>
  <si>
    <t>Digital twin (DT); Transformer model (TMR); Remaining useful life (RUL); Deep learning; Health assessment; Aero-engine gas path; Virtual-real interaction</t>
  </si>
  <si>
    <t>SECURITY</t>
  </si>
  <si>
    <t>This study proposes a system for health monitoring and remaining useful life (RUL) prediction of aviation engine gas path that integrates digital twins and deep learning. Addressing the limitations of existing data-driven methods in feature extraction capabilities and dynamic interaction mechanisms, this study designs an improved Transformer model (TMR). By incorporating learnable position encoding, serial multi-head attention mechanisms, and an optimized multi-layer perceptron (MLP) structure, the model significantly enhances its ability to model time-series data and improve prediction accuracy. Based on this, a multi-level virtual-reality interaction mechanism was constructed to achieve real-time linkage between the physical space, health assessment module, and maintenance decision-making scenarios, enhancing the integration capabilities of state perception, information transmission, and collaborative decision-making. At the same time, a three-dimensional visualization interaction framework for digital twin systems was developed to improve the system's observability and interpretability. Experiments were conducted using the NASA CMAPSS dataset, and the results showed that TMR outperformed mainstream models such as LSTM, CNN, and traditional Transformers in terms of RMSE and Score metrics, particularly in complex multi-condition scenarios. Ablation experiments further validated the critical contributions of each component to the overall performance. Finally, this study constructed a digital twin platform prototype, achieving a complete closed-loop process from data collection to condition monitoring, performance prediction, and decision support, providing a high-precision, real-time solution for aviation engine health management with promising engineering application prospects.</t>
  </si>
  <si>
    <t>JUL 25</t>
  </si>
  <si>
    <t>10.1007/s40747-025-02027-z</t>
  </si>
  <si>
    <t>WOS:001537300400005</t>
  </si>
  <si>
    <t>Alani, AA; Al-Azzawi, A</t>
  </si>
  <si>
    <t>Alani, Ali A.; Al-Azzawi, Adil</t>
  </si>
  <si>
    <t>Optimizing web page retrieval performance with advanced query expansion: leveraging ChatGPT and metadata-driven analysis</t>
  </si>
  <si>
    <t>Unsupervised learning; CSE; Web pages reranking; Metadata; LLMs; ChatGPT</t>
  </si>
  <si>
    <t>INFORMATION-RETRIEVAL; RANKING</t>
  </si>
  <si>
    <t>With the rapid expansion of the Internet and the ever-growing volume of data, search engines face increasing difficulties in providing users with the most pertinent content for their queries. The typical search process, where a user inputs a query, and the system returns a list of pages, often falls short in delivering highly relevant results, with existing ranking methods not always aligning with user expectations. This paper addresses these challenges by developing a novel web page retrieval method to help users obtain more relevant content. The proposed method utilizes a Google custom search engine to respond to the user query, collect the search results along with its metadata from the Google dataset, and store it in JSON file via the Google API for the reranking process. This paper proposes a novel query expansion model that leverages the generative abilities of large language models, specifically ChatGPT, for interactive and automated query expansion to enhance the accuracy of the research results. The proposed model uses two metrics, namely cosine similarity and word mover's distance, to assess the similarity between user queries and retrieve results by utilizing document metadata by considering the syntactic and semantic aspects of the text. The proposed method is very effective, and the results show a marked improvement in the search results compared to the results retrieved using the Bing, DuckDuckGo, and Google page rank algorithms.</t>
  </si>
  <si>
    <t>MAR 3</t>
  </si>
  <si>
    <t>10.1007/s11227-025-07008-0</t>
  </si>
  <si>
    <t>WOS:001436275700010</t>
  </si>
  <si>
    <t>Keerthana, G; Gupta, M</t>
  </si>
  <si>
    <t>Keerthana, Garapati; Gupta, Manik</t>
  </si>
  <si>
    <t>TriMedPrompt: A unified prompting framework for realistic and layout-conformant clinical progress note synthesis</t>
  </si>
  <si>
    <t>Synthetic data; Prompt engineering; Knowledge graphs; Case reports; EHR data; Large language models; Progress note generation</t>
  </si>
  <si>
    <t>Clinical progress notes are critical artifacts for modeling patient trajectories, auditing clinical decision-making, and powering downstream applications in clinical natural language processing (NLP). However, public resources such as MIMIC-III provide limited progress notes, constraining the development of robust and generalizable machine learning models. This work proposes a novel hybrid prompting framework - TriMedPrompt - to generate high-quality, structurally and semantically coherent synthetic progress notes using large language models (LLMs). Our approach conditions the LLMs on a triad of complementary biomedical signals: (1) real-world progress notes from MIMIC-III, (2) clinically aligned case reports from the PMC Patients dataset, selected via embedding-based retrieval, and (3) structured disease-centric knowledge from PrimeKG. We design a multi-source, layout-aware prompting pipeline that dynamically integrates structured and unstructured information to produce notes across standard clinical formats (e.g., SOAP, BIRP, PIE, DAP). Through rigorous evaluations-including layout adherence, entity extraction comparisons, semantic similarity analysis, and controlled ablations, we demonstrate that our generated notes achieve a 98.6% semantic entity alignment score with real clinical notes, while maintaining high structural fidelity. Ablation studies further confirm the critical role of combining structured biomedical knowledge and unstructured narrative data in improving note quality. In addition, we illustrate the potential of our synthetic notes in privacy-preserving clinical NLP, offering a safe alternative for model development and benchmarking insensitive healthcare settings. This work establishes a scalable, controllable paradigm for clinical text synthesis, significantly expanding access to realistic, diverse progress notes and laying the foundation for advancing trustworthy clinical NLP research.</t>
  </si>
  <si>
    <t>10.1016/j.jbi.2025.104927</t>
  </si>
  <si>
    <t>WOS:001604847200002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</si>
</sst>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62.13"/>
    <col customWidth="1" min="3" max="7" width="8.0"/>
    <col customWidth="1" min="8" max="8" width="26.63"/>
    <col customWidth="1" min="9" max="9" width="8.0"/>
    <col customWidth="1" min="10" max="10" width="89.63"/>
    <col customWidth="1" min="11" max="63" width="8.0"/>
    <col customWidth="1" min="64" max="64" width="111.75"/>
    <col customWidth="1" min="65"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78</v>
      </c>
      <c r="O2" s="1" t="s">
        <v>74</v>
      </c>
      <c r="P2" s="1" t="s">
        <v>74</v>
      </c>
      <c r="Q2" s="1" t="s">
        <v>74</v>
      </c>
      <c r="R2" s="1" t="s">
        <v>74</v>
      </c>
      <c r="S2" s="1" t="s">
        <v>74</v>
      </c>
      <c r="T2" s="1" t="s">
        <v>79</v>
      </c>
      <c r="U2" s="1" t="s">
        <v>80</v>
      </c>
      <c r="V2" s="1" t="s">
        <v>81</v>
      </c>
      <c r="W2" s="1" t="s">
        <v>74</v>
      </c>
      <c r="X2" s="1" t="s">
        <v>74</v>
      </c>
      <c r="Y2" s="1" t="s">
        <v>74</v>
      </c>
      <c r="Z2" s="1" t="s">
        <v>74</v>
      </c>
      <c r="AA2" s="1" t="s">
        <v>74</v>
      </c>
      <c r="AB2" s="1" t="s">
        <v>74</v>
      </c>
      <c r="AC2" s="1" t="s">
        <v>74</v>
      </c>
      <c r="AD2" s="1" t="s">
        <v>74</v>
      </c>
      <c r="AE2" s="1" t="s">
        <v>74</v>
      </c>
      <c r="AF2" s="1" t="s">
        <v>74</v>
      </c>
      <c r="AG2" s="1" t="s">
        <v>74</v>
      </c>
      <c r="AH2" s="1" t="s">
        <v>74</v>
      </c>
      <c r="AI2" s="1" t="s">
        <v>74</v>
      </c>
      <c r="AJ2" s="1" t="s">
        <v>74</v>
      </c>
      <c r="AK2" s="1" t="s">
        <v>74</v>
      </c>
      <c r="AL2" s="1" t="s">
        <v>74</v>
      </c>
      <c r="AM2" s="1" t="s">
        <v>74</v>
      </c>
      <c r="AN2" s="1" t="s">
        <v>74</v>
      </c>
      <c r="AO2" s="1" t="s">
        <v>82</v>
      </c>
      <c r="AP2" s="1" t="s">
        <v>83</v>
      </c>
      <c r="AQ2" s="1" t="s">
        <v>74</v>
      </c>
      <c r="AR2" s="1" t="s">
        <v>74</v>
      </c>
      <c r="AS2" s="1" t="s">
        <v>74</v>
      </c>
      <c r="AT2" s="1" t="s">
        <v>84</v>
      </c>
      <c r="AU2" s="1">
        <v>2024.0</v>
      </c>
      <c r="AV2" s="1">
        <v>150.0</v>
      </c>
      <c r="AW2" s="1" t="s">
        <v>74</v>
      </c>
      <c r="AX2" s="1" t="s">
        <v>74</v>
      </c>
      <c r="AY2" s="1" t="s">
        <v>74</v>
      </c>
      <c r="AZ2" s="1" t="s">
        <v>74</v>
      </c>
      <c r="BA2" s="1" t="s">
        <v>74</v>
      </c>
      <c r="BB2" s="1">
        <v>95.0</v>
      </c>
      <c r="BC2" s="1">
        <v>105.0</v>
      </c>
      <c r="BD2" s="1" t="s">
        <v>74</v>
      </c>
      <c r="BE2" s="1" t="s">
        <v>85</v>
      </c>
      <c r="BF2" s="2" t="str">
        <f>HYPERLINK("http://dx.doi.org/10.1016/j.tranpol.2024.03.006","http://dx.doi.org/10.1016/j.tranpol.2024.03.006")</f>
        <v>http://dx.doi.org/10.1016/j.tranpol.2024.03.006</v>
      </c>
      <c r="BG2" s="1" t="s">
        <v>74</v>
      </c>
      <c r="BH2" s="1" t="s">
        <v>86</v>
      </c>
      <c r="BI2" s="1" t="s">
        <v>74</v>
      </c>
      <c r="BJ2" s="1" t="s">
        <v>74</v>
      </c>
      <c r="BK2" s="1" t="s">
        <v>74</v>
      </c>
      <c r="BL2" s="1" t="s">
        <v>87</v>
      </c>
      <c r="BM2" s="1" t="s">
        <v>74</v>
      </c>
      <c r="BN2" s="1" t="s">
        <v>74</v>
      </c>
      <c r="BO2" s="1" t="s">
        <v>74</v>
      </c>
      <c r="BP2" s="1" t="s">
        <v>74</v>
      </c>
      <c r="BQ2" s="1" t="s">
        <v>74</v>
      </c>
      <c r="BR2" s="1" t="s">
        <v>74</v>
      </c>
      <c r="BS2" s="1" t="s">
        <v>88</v>
      </c>
      <c r="BT2" s="1" t="str">
        <f>HYPERLINK("https%3A%2F%2Fwww.webofscience.com%2Fwos%2Fwoscc%2Ffull-record%2FWOS:001225808400001","View Full Record in Web of Science")</f>
        <v>View Full Record in Web of Science</v>
      </c>
    </row>
    <row r="3" ht="12.75" customHeight="1">
      <c r="A3" s="1" t="s">
        <v>72</v>
      </c>
      <c r="B3" s="1" t="s">
        <v>89</v>
      </c>
      <c r="C3" s="1" t="s">
        <v>74</v>
      </c>
      <c r="D3" s="1" t="s">
        <v>74</v>
      </c>
      <c r="E3" s="1" t="s">
        <v>74</v>
      </c>
      <c r="F3" s="1" t="s">
        <v>90</v>
      </c>
      <c r="G3" s="1" t="s">
        <v>74</v>
      </c>
      <c r="H3" s="1" t="s">
        <v>74</v>
      </c>
      <c r="I3" s="1" t="s">
        <v>91</v>
      </c>
      <c r="J3" s="1" t="s">
        <v>92</v>
      </c>
      <c r="K3" s="1" t="s">
        <v>74</v>
      </c>
      <c r="L3" s="1" t="s">
        <v>74</v>
      </c>
      <c r="M3" s="1" t="s">
        <v>74</v>
      </c>
      <c r="N3" s="1" t="s">
        <v>78</v>
      </c>
      <c r="O3" s="1" t="s">
        <v>74</v>
      </c>
      <c r="P3" s="1" t="s">
        <v>74</v>
      </c>
      <c r="Q3" s="1" t="s">
        <v>74</v>
      </c>
      <c r="R3" s="1" t="s">
        <v>74</v>
      </c>
      <c r="S3" s="1" t="s">
        <v>74</v>
      </c>
      <c r="T3" s="1" t="s">
        <v>93</v>
      </c>
      <c r="U3" s="1" t="s">
        <v>74</v>
      </c>
      <c r="V3" s="1" t="s">
        <v>94</v>
      </c>
      <c r="W3" s="1" t="s">
        <v>74</v>
      </c>
      <c r="X3" s="1" t="s">
        <v>74</v>
      </c>
      <c r="Y3" s="1" t="s">
        <v>74</v>
      </c>
      <c r="Z3" s="1" t="s">
        <v>74</v>
      </c>
      <c r="AA3" s="1" t="s">
        <v>74</v>
      </c>
      <c r="AB3" s="1" t="s">
        <v>74</v>
      </c>
      <c r="AC3" s="1" t="s">
        <v>74</v>
      </c>
      <c r="AD3" s="1" t="s">
        <v>74</v>
      </c>
      <c r="AE3" s="1" t="s">
        <v>74</v>
      </c>
      <c r="AF3" s="1" t="s">
        <v>74</v>
      </c>
      <c r="AG3" s="1" t="s">
        <v>74</v>
      </c>
      <c r="AH3" s="1" t="s">
        <v>74</v>
      </c>
      <c r="AI3" s="1" t="s">
        <v>74</v>
      </c>
      <c r="AJ3" s="1" t="s">
        <v>74</v>
      </c>
      <c r="AK3" s="1" t="s">
        <v>74</v>
      </c>
      <c r="AL3" s="1" t="s">
        <v>74</v>
      </c>
      <c r="AM3" s="1" t="s">
        <v>74</v>
      </c>
      <c r="AN3" s="1" t="s">
        <v>74</v>
      </c>
      <c r="AO3" s="1" t="s">
        <v>95</v>
      </c>
      <c r="AP3" s="1" t="s">
        <v>96</v>
      </c>
      <c r="AQ3" s="1" t="s">
        <v>74</v>
      </c>
      <c r="AR3" s="1" t="s">
        <v>74</v>
      </c>
      <c r="AS3" s="1" t="s">
        <v>74</v>
      </c>
      <c r="AT3" s="1" t="s">
        <v>84</v>
      </c>
      <c r="AU3" s="1">
        <v>2025.0</v>
      </c>
      <c r="AV3" s="1">
        <v>37.0</v>
      </c>
      <c r="AW3" s="1">
        <v>5.0</v>
      </c>
      <c r="AX3" s="1" t="s">
        <v>74</v>
      </c>
      <c r="AY3" s="1" t="s">
        <v>74</v>
      </c>
      <c r="AZ3" s="1" t="s">
        <v>74</v>
      </c>
      <c r="BA3" s="1" t="s">
        <v>74</v>
      </c>
      <c r="BB3" s="1">
        <v>2550.0</v>
      </c>
      <c r="BC3" s="1">
        <v>2568.0</v>
      </c>
      <c r="BD3" s="1" t="s">
        <v>74</v>
      </c>
      <c r="BE3" s="1" t="s">
        <v>97</v>
      </c>
      <c r="BF3" s="2" t="str">
        <f>HYPERLINK("http://dx.doi.org/10.1109/TKDE.2024.3513320","http://dx.doi.org/10.1109/TKDE.2024.3513320")</f>
        <v>http://dx.doi.org/10.1109/TKDE.2024.3513320</v>
      </c>
      <c r="BG3" s="1" t="s">
        <v>74</v>
      </c>
      <c r="BH3" s="1" t="s">
        <v>74</v>
      </c>
      <c r="BI3" s="1" t="s">
        <v>74</v>
      </c>
      <c r="BJ3" s="1" t="s">
        <v>74</v>
      </c>
      <c r="BK3" s="1" t="s">
        <v>74</v>
      </c>
      <c r="BL3" s="1" t="s">
        <v>98</v>
      </c>
      <c r="BM3" s="1" t="s">
        <v>74</v>
      </c>
      <c r="BN3" s="1" t="s">
        <v>74</v>
      </c>
      <c r="BO3" s="1" t="s">
        <v>74</v>
      </c>
      <c r="BP3" s="1" t="s">
        <v>74</v>
      </c>
      <c r="BQ3" s="1" t="s">
        <v>74</v>
      </c>
      <c r="BR3" s="1" t="s">
        <v>74</v>
      </c>
      <c r="BS3" s="1" t="s">
        <v>99</v>
      </c>
      <c r="BT3" s="1" t="str">
        <f>HYPERLINK("https%3A%2F%2Fwww.webofscience.com%2Fwos%2Fwoscc%2Ffull-record%2FWOS:001459544100008","View Full Record in Web of Science")</f>
        <v>View Full Record in Web of Science</v>
      </c>
    </row>
    <row r="4" ht="12.75" customHeight="1">
      <c r="A4" s="1" t="s">
        <v>72</v>
      </c>
      <c r="B4" s="1" t="s">
        <v>100</v>
      </c>
      <c r="C4" s="1" t="s">
        <v>74</v>
      </c>
      <c r="D4" s="1" t="s">
        <v>74</v>
      </c>
      <c r="E4" s="1" t="s">
        <v>74</v>
      </c>
      <c r="F4" s="1" t="s">
        <v>101</v>
      </c>
      <c r="G4" s="1" t="s">
        <v>74</v>
      </c>
      <c r="H4" s="1" t="s">
        <v>74</v>
      </c>
      <c r="I4" s="1" t="s">
        <v>102</v>
      </c>
      <c r="J4" s="1" t="s">
        <v>103</v>
      </c>
      <c r="K4" s="1" t="s">
        <v>74</v>
      </c>
      <c r="L4" s="1" t="s">
        <v>74</v>
      </c>
      <c r="M4" s="1" t="s">
        <v>74</v>
      </c>
      <c r="N4" s="1" t="s">
        <v>78</v>
      </c>
      <c r="O4" s="1" t="s">
        <v>74</v>
      </c>
      <c r="P4" s="1" t="s">
        <v>74</v>
      </c>
      <c r="Q4" s="1" t="s">
        <v>74</v>
      </c>
      <c r="R4" s="1" t="s">
        <v>74</v>
      </c>
      <c r="S4" s="1" t="s">
        <v>74</v>
      </c>
      <c r="T4" s="1" t="s">
        <v>104</v>
      </c>
      <c r="U4" s="1" t="s">
        <v>105</v>
      </c>
      <c r="V4" s="1" t="s">
        <v>106</v>
      </c>
      <c r="W4" s="1" t="s">
        <v>74</v>
      </c>
      <c r="X4" s="1" t="s">
        <v>74</v>
      </c>
      <c r="Y4" s="1" t="s">
        <v>74</v>
      </c>
      <c r="Z4" s="1" t="s">
        <v>74</v>
      </c>
      <c r="AA4" s="1" t="s">
        <v>74</v>
      </c>
      <c r="AB4" s="1" t="s">
        <v>74</v>
      </c>
      <c r="AC4" s="1" t="s">
        <v>74</v>
      </c>
      <c r="AD4" s="1" t="s">
        <v>74</v>
      </c>
      <c r="AE4" s="1" t="s">
        <v>74</v>
      </c>
      <c r="AF4" s="1" t="s">
        <v>74</v>
      </c>
      <c r="AG4" s="1" t="s">
        <v>74</v>
      </c>
      <c r="AH4" s="1" t="s">
        <v>74</v>
      </c>
      <c r="AI4" s="1" t="s">
        <v>74</v>
      </c>
      <c r="AJ4" s="1" t="s">
        <v>74</v>
      </c>
      <c r="AK4" s="1" t="s">
        <v>74</v>
      </c>
      <c r="AL4" s="1" t="s">
        <v>74</v>
      </c>
      <c r="AM4" s="1" t="s">
        <v>74</v>
      </c>
      <c r="AN4" s="1" t="s">
        <v>74</v>
      </c>
      <c r="AO4" s="1" t="s">
        <v>107</v>
      </c>
      <c r="AP4" s="1" t="s">
        <v>108</v>
      </c>
      <c r="AQ4" s="1" t="s">
        <v>74</v>
      </c>
      <c r="AR4" s="1" t="s">
        <v>74</v>
      </c>
      <c r="AS4" s="1" t="s">
        <v>74</v>
      </c>
      <c r="AT4" s="1" t="s">
        <v>109</v>
      </c>
      <c r="AU4" s="1">
        <v>2025.0</v>
      </c>
      <c r="AV4" s="1">
        <v>158.0</v>
      </c>
      <c r="AW4" s="1" t="s">
        <v>74</v>
      </c>
      <c r="AX4" s="1" t="s">
        <v>110</v>
      </c>
      <c r="AY4" s="1" t="s">
        <v>74</v>
      </c>
      <c r="AZ4" s="1" t="s">
        <v>74</v>
      </c>
      <c r="BA4" s="1" t="s">
        <v>74</v>
      </c>
      <c r="BB4" s="1" t="s">
        <v>74</v>
      </c>
      <c r="BC4" s="1" t="s">
        <v>74</v>
      </c>
      <c r="BD4" s="1">
        <v>111427.0</v>
      </c>
      <c r="BE4" s="1" t="s">
        <v>111</v>
      </c>
      <c r="BF4" s="2" t="str">
        <f>HYPERLINK("http://dx.doi.org/10.1016/j.engappai.2025.111427","http://dx.doi.org/10.1016/j.engappai.2025.111427")</f>
        <v>http://dx.doi.org/10.1016/j.engappai.2025.111427</v>
      </c>
      <c r="BG4" s="1" t="s">
        <v>74</v>
      </c>
      <c r="BH4" s="1" t="s">
        <v>112</v>
      </c>
      <c r="BI4" s="1" t="s">
        <v>74</v>
      </c>
      <c r="BJ4" s="1" t="s">
        <v>74</v>
      </c>
      <c r="BK4" s="1" t="s">
        <v>74</v>
      </c>
      <c r="BL4" s="1" t="s">
        <v>113</v>
      </c>
      <c r="BM4" s="1" t="s">
        <v>74</v>
      </c>
      <c r="BN4" s="1" t="s">
        <v>74</v>
      </c>
      <c r="BO4" s="1" t="s">
        <v>114</v>
      </c>
      <c r="BP4" s="1" t="s">
        <v>74</v>
      </c>
      <c r="BQ4" s="1" t="s">
        <v>74</v>
      </c>
      <c r="BR4" s="1" t="s">
        <v>74</v>
      </c>
      <c r="BS4" s="1" t="s">
        <v>115</v>
      </c>
      <c r="BT4" s="1" t="str">
        <f>HYPERLINK("https%3A%2F%2Fwww.webofscience.com%2Fwos%2Fwoscc%2Ffull-record%2FWOS:001519877700010","View Full Record in Web of Science")</f>
        <v>View Full Record in Web of Science</v>
      </c>
    </row>
    <row r="5" ht="12.75" customHeight="1">
      <c r="A5" s="1" t="s">
        <v>72</v>
      </c>
      <c r="B5" s="1" t="s">
        <v>116</v>
      </c>
      <c r="C5" s="1" t="s">
        <v>74</v>
      </c>
      <c r="D5" s="1" t="s">
        <v>74</v>
      </c>
      <c r="E5" s="1" t="s">
        <v>74</v>
      </c>
      <c r="F5" s="1" t="s">
        <v>117</v>
      </c>
      <c r="G5" s="1" t="s">
        <v>74</v>
      </c>
      <c r="H5" s="1" t="s">
        <v>74</v>
      </c>
      <c r="I5" s="1" t="s">
        <v>118</v>
      </c>
      <c r="J5" s="1" t="s">
        <v>119</v>
      </c>
      <c r="K5" s="1" t="s">
        <v>74</v>
      </c>
      <c r="L5" s="1" t="s">
        <v>74</v>
      </c>
      <c r="M5" s="1" t="s">
        <v>74</v>
      </c>
      <c r="N5" s="1" t="s">
        <v>78</v>
      </c>
      <c r="O5" s="1" t="s">
        <v>74</v>
      </c>
      <c r="P5" s="1" t="s">
        <v>74</v>
      </c>
      <c r="Q5" s="1" t="s">
        <v>74</v>
      </c>
      <c r="R5" s="1" t="s">
        <v>74</v>
      </c>
      <c r="S5" s="1" t="s">
        <v>74</v>
      </c>
      <c r="T5" s="1" t="s">
        <v>120</v>
      </c>
      <c r="U5" s="1" t="s">
        <v>74</v>
      </c>
      <c r="V5" s="1" t="s">
        <v>121</v>
      </c>
      <c r="W5" s="1" t="s">
        <v>74</v>
      </c>
      <c r="X5" s="1" t="s">
        <v>74</v>
      </c>
      <c r="Y5" s="1" t="s">
        <v>74</v>
      </c>
      <c r="Z5" s="1" t="s">
        <v>74</v>
      </c>
      <c r="AA5" s="1" t="s">
        <v>74</v>
      </c>
      <c r="AB5" s="1" t="s">
        <v>74</v>
      </c>
      <c r="AC5" s="1" t="s">
        <v>74</v>
      </c>
      <c r="AD5" s="1" t="s">
        <v>74</v>
      </c>
      <c r="AE5" s="1" t="s">
        <v>74</v>
      </c>
      <c r="AF5" s="1" t="s">
        <v>74</v>
      </c>
      <c r="AG5" s="1" t="s">
        <v>74</v>
      </c>
      <c r="AH5" s="1" t="s">
        <v>74</v>
      </c>
      <c r="AI5" s="1" t="s">
        <v>74</v>
      </c>
      <c r="AJ5" s="1" t="s">
        <v>74</v>
      </c>
      <c r="AK5" s="1" t="s">
        <v>74</v>
      </c>
      <c r="AL5" s="1" t="s">
        <v>74</v>
      </c>
      <c r="AM5" s="1" t="s">
        <v>74</v>
      </c>
      <c r="AN5" s="1" t="s">
        <v>74</v>
      </c>
      <c r="AO5" s="1" t="s">
        <v>122</v>
      </c>
      <c r="AP5" s="1" t="s">
        <v>123</v>
      </c>
      <c r="AQ5" s="1" t="s">
        <v>74</v>
      </c>
      <c r="AR5" s="1" t="s">
        <v>74</v>
      </c>
      <c r="AS5" s="1" t="s">
        <v>74</v>
      </c>
      <c r="AT5" s="1" t="s">
        <v>124</v>
      </c>
      <c r="AU5" s="1">
        <v>2025.0</v>
      </c>
      <c r="AV5" s="1">
        <v>36.0</v>
      </c>
      <c r="AW5" s="1">
        <v>4.0</v>
      </c>
      <c r="AX5" s="1" t="s">
        <v>74</v>
      </c>
      <c r="AY5" s="1" t="s">
        <v>74</v>
      </c>
      <c r="AZ5" s="1" t="s">
        <v>74</v>
      </c>
      <c r="BA5" s="1" t="s">
        <v>74</v>
      </c>
      <c r="BB5" s="1">
        <v>2423.0</v>
      </c>
      <c r="BC5" s="1">
        <v>2438.0</v>
      </c>
      <c r="BD5" s="1" t="s">
        <v>74</v>
      </c>
      <c r="BE5" s="1" t="s">
        <v>125</v>
      </c>
      <c r="BF5" s="2" t="str">
        <f>HYPERLINK("http://dx.doi.org/10.1007/s10845-024-02346-x","http://dx.doi.org/10.1007/s10845-024-02346-x")</f>
        <v>http://dx.doi.org/10.1007/s10845-024-02346-x</v>
      </c>
      <c r="BG5" s="1" t="s">
        <v>74</v>
      </c>
      <c r="BH5" s="1" t="s">
        <v>126</v>
      </c>
      <c r="BI5" s="1" t="s">
        <v>74</v>
      </c>
      <c r="BJ5" s="1" t="s">
        <v>74</v>
      </c>
      <c r="BK5" s="1" t="s">
        <v>74</v>
      </c>
      <c r="BL5" s="1" t="s">
        <v>98</v>
      </c>
      <c r="BM5" s="1" t="s">
        <v>74</v>
      </c>
      <c r="BN5" s="1" t="s">
        <v>74</v>
      </c>
      <c r="BO5" s="1" t="s">
        <v>127</v>
      </c>
      <c r="BP5" s="1" t="s">
        <v>74</v>
      </c>
      <c r="BQ5" s="1" t="s">
        <v>74</v>
      </c>
      <c r="BR5" s="1" t="s">
        <v>74</v>
      </c>
      <c r="BS5" s="1" t="s">
        <v>128</v>
      </c>
      <c r="BT5" s="1" t="str">
        <f>HYPERLINK("https%3A%2F%2Fwww.webofscience.com%2Fwos%2Fwoscc%2Ffull-record%2FWOS:001195648500002","View Full Record in Web of Science")</f>
        <v>View Full Record in Web of Science</v>
      </c>
    </row>
    <row r="6" ht="12.75" customHeight="1">
      <c r="A6" s="1" t="s">
        <v>72</v>
      </c>
      <c r="B6" s="1" t="s">
        <v>129</v>
      </c>
      <c r="C6" s="1" t="s">
        <v>74</v>
      </c>
      <c r="D6" s="1" t="s">
        <v>74</v>
      </c>
      <c r="E6" s="1" t="s">
        <v>74</v>
      </c>
      <c r="F6" s="1" t="s">
        <v>130</v>
      </c>
      <c r="G6" s="1" t="s">
        <v>74</v>
      </c>
      <c r="H6" s="1" t="s">
        <v>131</v>
      </c>
      <c r="I6" s="1" t="s">
        <v>132</v>
      </c>
      <c r="J6" s="1" t="s">
        <v>133</v>
      </c>
      <c r="K6" s="1" t="s">
        <v>74</v>
      </c>
      <c r="L6" s="1" t="s">
        <v>74</v>
      </c>
      <c r="M6" s="1" t="s">
        <v>74</v>
      </c>
      <c r="N6" s="1" t="s">
        <v>78</v>
      </c>
      <c r="O6" s="1" t="s">
        <v>74</v>
      </c>
      <c r="P6" s="1" t="s">
        <v>74</v>
      </c>
      <c r="Q6" s="1" t="s">
        <v>74</v>
      </c>
      <c r="R6" s="1" t="s">
        <v>74</v>
      </c>
      <c r="S6" s="1" t="s">
        <v>74</v>
      </c>
      <c r="T6" s="1" t="s">
        <v>134</v>
      </c>
      <c r="U6" s="1" t="s">
        <v>135</v>
      </c>
      <c r="V6" s="1" t="s">
        <v>136</v>
      </c>
      <c r="W6" s="1" t="s">
        <v>74</v>
      </c>
      <c r="X6" s="1" t="s">
        <v>74</v>
      </c>
      <c r="Y6" s="1" t="s">
        <v>74</v>
      </c>
      <c r="Z6" s="1" t="s">
        <v>74</v>
      </c>
      <c r="AA6" s="1" t="s">
        <v>74</v>
      </c>
      <c r="AB6" s="1" t="s">
        <v>74</v>
      </c>
      <c r="AC6" s="1" t="s">
        <v>74</v>
      </c>
      <c r="AD6" s="1" t="s">
        <v>74</v>
      </c>
      <c r="AE6" s="1" t="s">
        <v>74</v>
      </c>
      <c r="AF6" s="1" t="s">
        <v>74</v>
      </c>
      <c r="AG6" s="1" t="s">
        <v>74</v>
      </c>
      <c r="AH6" s="1" t="s">
        <v>74</v>
      </c>
      <c r="AI6" s="1" t="s">
        <v>74</v>
      </c>
      <c r="AJ6" s="1" t="s">
        <v>74</v>
      </c>
      <c r="AK6" s="1" t="s">
        <v>74</v>
      </c>
      <c r="AL6" s="1" t="s">
        <v>74</v>
      </c>
      <c r="AM6" s="1" t="s">
        <v>74</v>
      </c>
      <c r="AN6" s="1" t="s">
        <v>74</v>
      </c>
      <c r="AO6" s="1" t="s">
        <v>137</v>
      </c>
      <c r="AP6" s="1" t="s">
        <v>138</v>
      </c>
      <c r="AQ6" s="1" t="s">
        <v>74</v>
      </c>
      <c r="AR6" s="1" t="s">
        <v>74</v>
      </c>
      <c r="AS6" s="1" t="s">
        <v>74</v>
      </c>
      <c r="AT6" s="1" t="s">
        <v>139</v>
      </c>
      <c r="AU6" s="1">
        <v>2025.0</v>
      </c>
      <c r="AV6" s="1">
        <v>28.0</v>
      </c>
      <c r="AW6" s="1">
        <v>2.0</v>
      </c>
      <c r="AX6" s="1" t="s">
        <v>74</v>
      </c>
      <c r="AY6" s="1" t="s">
        <v>74</v>
      </c>
      <c r="AZ6" s="1" t="s">
        <v>74</v>
      </c>
      <c r="BA6" s="1" t="s">
        <v>74</v>
      </c>
      <c r="BB6" s="1">
        <v>175.0</v>
      </c>
      <c r="BC6" s="1">
        <v>183.0</v>
      </c>
      <c r="BD6" s="1" t="s">
        <v>74</v>
      </c>
      <c r="BE6" s="1" t="s">
        <v>140</v>
      </c>
      <c r="BF6" s="2" t="str">
        <f>HYPERLINK("http://dx.doi.org/10.1016/j.jval.2024.10.3846","http://dx.doi.org/10.1016/j.jval.2024.10.3846")</f>
        <v>http://dx.doi.org/10.1016/j.jval.2024.10.3846</v>
      </c>
      <c r="BG6" s="1" t="s">
        <v>74</v>
      </c>
      <c r="BH6" s="1" t="s">
        <v>141</v>
      </c>
      <c r="BI6" s="1" t="s">
        <v>74</v>
      </c>
      <c r="BJ6" s="1" t="s">
        <v>74</v>
      </c>
      <c r="BK6" s="1" t="s">
        <v>74</v>
      </c>
      <c r="BL6" s="1" t="s">
        <v>142</v>
      </c>
      <c r="BM6" s="1" t="s">
        <v>74</v>
      </c>
      <c r="BN6" s="1" t="s">
        <v>74</v>
      </c>
      <c r="BO6" s="1" t="s">
        <v>74</v>
      </c>
      <c r="BP6" s="1" t="s">
        <v>74</v>
      </c>
      <c r="BQ6" s="1" t="s">
        <v>74</v>
      </c>
      <c r="BR6" s="1" t="s">
        <v>74</v>
      </c>
      <c r="BS6" s="1" t="s">
        <v>143</v>
      </c>
      <c r="BT6" s="1" t="str">
        <f>HYPERLINK("https%3A%2F%2Fwww.webofscience.com%2Fwos%2Fwoscc%2Ffull-record%2FWOS:001426454400001","View Full Record in Web of Science")</f>
        <v>View Full Record in Web of Science</v>
      </c>
    </row>
    <row r="7" ht="12.75" customHeight="1">
      <c r="A7" s="1" t="s">
        <v>72</v>
      </c>
      <c r="B7" s="1" t="s">
        <v>144</v>
      </c>
      <c r="C7" s="1" t="s">
        <v>74</v>
      </c>
      <c r="D7" s="1" t="s">
        <v>74</v>
      </c>
      <c r="E7" s="1" t="s">
        <v>74</v>
      </c>
      <c r="F7" s="1" t="s">
        <v>145</v>
      </c>
      <c r="G7" s="1" t="s">
        <v>74</v>
      </c>
      <c r="H7" s="1" t="s">
        <v>74</v>
      </c>
      <c r="I7" s="1" t="s">
        <v>146</v>
      </c>
      <c r="J7" s="1" t="s">
        <v>147</v>
      </c>
      <c r="K7" s="1" t="s">
        <v>74</v>
      </c>
      <c r="L7" s="1" t="s">
        <v>74</v>
      </c>
      <c r="M7" s="1" t="s">
        <v>74</v>
      </c>
      <c r="N7" s="1" t="s">
        <v>78</v>
      </c>
      <c r="O7" s="1" t="s">
        <v>74</v>
      </c>
      <c r="P7" s="1" t="s">
        <v>74</v>
      </c>
      <c r="Q7" s="1" t="s">
        <v>74</v>
      </c>
      <c r="R7" s="1" t="s">
        <v>74</v>
      </c>
      <c r="S7" s="1" t="s">
        <v>74</v>
      </c>
      <c r="T7" s="1" t="s">
        <v>148</v>
      </c>
      <c r="U7" s="1" t="s">
        <v>74</v>
      </c>
      <c r="V7" s="1" t="s">
        <v>149</v>
      </c>
      <c r="W7" s="1" t="s">
        <v>74</v>
      </c>
      <c r="X7" s="1" t="s">
        <v>74</v>
      </c>
      <c r="Y7" s="1" t="s">
        <v>74</v>
      </c>
      <c r="Z7" s="1" t="s">
        <v>74</v>
      </c>
      <c r="AA7" s="1" t="s">
        <v>74</v>
      </c>
      <c r="AB7" s="1" t="s">
        <v>74</v>
      </c>
      <c r="AC7" s="1" t="s">
        <v>74</v>
      </c>
      <c r="AD7" s="1" t="s">
        <v>74</v>
      </c>
      <c r="AE7" s="1" t="s">
        <v>74</v>
      </c>
      <c r="AF7" s="1" t="s">
        <v>74</v>
      </c>
      <c r="AG7" s="1" t="s">
        <v>74</v>
      </c>
      <c r="AH7" s="1" t="s">
        <v>74</v>
      </c>
      <c r="AI7" s="1" t="s">
        <v>74</v>
      </c>
      <c r="AJ7" s="1" t="s">
        <v>74</v>
      </c>
      <c r="AK7" s="1" t="s">
        <v>74</v>
      </c>
      <c r="AL7" s="1" t="s">
        <v>74</v>
      </c>
      <c r="AM7" s="1" t="s">
        <v>74</v>
      </c>
      <c r="AN7" s="1" t="s">
        <v>74</v>
      </c>
      <c r="AO7" s="1" t="s">
        <v>150</v>
      </c>
      <c r="AP7" s="1" t="s">
        <v>74</v>
      </c>
      <c r="AQ7" s="1" t="s">
        <v>74</v>
      </c>
      <c r="AR7" s="1" t="s">
        <v>74</v>
      </c>
      <c r="AS7" s="1" t="s">
        <v>74</v>
      </c>
      <c r="AT7" s="1" t="s">
        <v>74</v>
      </c>
      <c r="AU7" s="1">
        <v>2025.0</v>
      </c>
      <c r="AV7" s="1">
        <v>13.0</v>
      </c>
      <c r="AW7" s="1" t="s">
        <v>74</v>
      </c>
      <c r="AX7" s="1" t="s">
        <v>74</v>
      </c>
      <c r="AY7" s="1" t="s">
        <v>74</v>
      </c>
      <c r="AZ7" s="1" t="s">
        <v>74</v>
      </c>
      <c r="BA7" s="1" t="s">
        <v>74</v>
      </c>
      <c r="BB7" s="1">
        <v>182458.0</v>
      </c>
      <c r="BC7" s="1">
        <v>182473.0</v>
      </c>
      <c r="BD7" s="1" t="s">
        <v>74</v>
      </c>
      <c r="BE7" s="1" t="s">
        <v>151</v>
      </c>
      <c r="BF7" s="2" t="str">
        <f>HYPERLINK("http://dx.doi.org/10.1109/ACCESS.2025.3623877","http://dx.doi.org/10.1109/ACCESS.2025.3623877")</f>
        <v>http://dx.doi.org/10.1109/ACCESS.2025.3623877</v>
      </c>
      <c r="BG7" s="1" t="s">
        <v>74</v>
      </c>
      <c r="BH7" s="1" t="s">
        <v>74</v>
      </c>
      <c r="BI7" s="1" t="s">
        <v>74</v>
      </c>
      <c r="BJ7" s="1" t="s">
        <v>74</v>
      </c>
      <c r="BK7" s="1" t="s">
        <v>74</v>
      </c>
      <c r="BL7" s="1" t="s">
        <v>152</v>
      </c>
      <c r="BM7" s="1" t="s">
        <v>74</v>
      </c>
      <c r="BN7" s="1" t="s">
        <v>74</v>
      </c>
      <c r="BO7" s="1" t="s">
        <v>153</v>
      </c>
      <c r="BP7" s="1" t="s">
        <v>74</v>
      </c>
      <c r="BQ7" s="1" t="s">
        <v>74</v>
      </c>
      <c r="BR7" s="1" t="s">
        <v>74</v>
      </c>
      <c r="BS7" s="1" t="s">
        <v>154</v>
      </c>
      <c r="BT7" s="1" t="str">
        <f>HYPERLINK("https%3A%2F%2Fwww.webofscience.com%2Fwos%2Fwoscc%2Ffull-record%2FWOS:001605291400026","View Full Record in Web of Science")</f>
        <v>View Full Record in Web of Science</v>
      </c>
    </row>
    <row r="8" ht="12.75" customHeight="1">
      <c r="A8" s="1" t="s">
        <v>72</v>
      </c>
      <c r="B8" s="1" t="s">
        <v>155</v>
      </c>
      <c r="C8" s="1" t="s">
        <v>74</v>
      </c>
      <c r="D8" s="1" t="s">
        <v>74</v>
      </c>
      <c r="E8" s="1" t="s">
        <v>74</v>
      </c>
      <c r="F8" s="1" t="s">
        <v>156</v>
      </c>
      <c r="G8" s="1" t="s">
        <v>74</v>
      </c>
      <c r="H8" s="1" t="s">
        <v>74</v>
      </c>
      <c r="I8" s="1" t="s">
        <v>157</v>
      </c>
      <c r="J8" s="1" t="s">
        <v>147</v>
      </c>
      <c r="K8" s="1" t="s">
        <v>74</v>
      </c>
      <c r="L8" s="1" t="s">
        <v>74</v>
      </c>
      <c r="M8" s="1" t="s">
        <v>74</v>
      </c>
      <c r="N8" s="1" t="s">
        <v>158</v>
      </c>
      <c r="O8" s="1" t="s">
        <v>74</v>
      </c>
      <c r="P8" s="1" t="s">
        <v>74</v>
      </c>
      <c r="Q8" s="1" t="s">
        <v>74</v>
      </c>
      <c r="R8" s="1" t="s">
        <v>74</v>
      </c>
      <c r="S8" s="1" t="s">
        <v>74</v>
      </c>
      <c r="T8" s="1" t="s">
        <v>159</v>
      </c>
      <c r="U8" s="1" t="s">
        <v>160</v>
      </c>
      <c r="V8" s="1" t="s">
        <v>161</v>
      </c>
      <c r="W8" s="1" t="s">
        <v>74</v>
      </c>
      <c r="X8" s="1" t="s">
        <v>74</v>
      </c>
      <c r="Y8" s="1" t="s">
        <v>74</v>
      </c>
      <c r="Z8" s="1" t="s">
        <v>74</v>
      </c>
      <c r="AA8" s="1" t="s">
        <v>74</v>
      </c>
      <c r="AB8" s="1" t="s">
        <v>74</v>
      </c>
      <c r="AC8" s="1" t="s">
        <v>74</v>
      </c>
      <c r="AD8" s="1" t="s">
        <v>74</v>
      </c>
      <c r="AE8" s="1" t="s">
        <v>74</v>
      </c>
      <c r="AF8" s="1" t="s">
        <v>74</v>
      </c>
      <c r="AG8" s="1" t="s">
        <v>74</v>
      </c>
      <c r="AH8" s="1" t="s">
        <v>74</v>
      </c>
      <c r="AI8" s="1" t="s">
        <v>74</v>
      </c>
      <c r="AJ8" s="1" t="s">
        <v>74</v>
      </c>
      <c r="AK8" s="1" t="s">
        <v>74</v>
      </c>
      <c r="AL8" s="1" t="s">
        <v>74</v>
      </c>
      <c r="AM8" s="1" t="s">
        <v>74</v>
      </c>
      <c r="AN8" s="1" t="s">
        <v>74</v>
      </c>
      <c r="AO8" s="1" t="s">
        <v>150</v>
      </c>
      <c r="AP8" s="1" t="s">
        <v>74</v>
      </c>
      <c r="AQ8" s="1" t="s">
        <v>74</v>
      </c>
      <c r="AR8" s="1" t="s">
        <v>74</v>
      </c>
      <c r="AS8" s="1" t="s">
        <v>74</v>
      </c>
      <c r="AT8" s="1" t="s">
        <v>74</v>
      </c>
      <c r="AU8" s="1">
        <v>2025.0</v>
      </c>
      <c r="AV8" s="1">
        <v>13.0</v>
      </c>
      <c r="AW8" s="1" t="s">
        <v>74</v>
      </c>
      <c r="AX8" s="1" t="s">
        <v>74</v>
      </c>
      <c r="AY8" s="1" t="s">
        <v>74</v>
      </c>
      <c r="AZ8" s="1" t="s">
        <v>74</v>
      </c>
      <c r="BA8" s="1" t="s">
        <v>74</v>
      </c>
      <c r="BB8" s="1">
        <v>209450.0</v>
      </c>
      <c r="BC8" s="1">
        <v>209486.0</v>
      </c>
      <c r="BD8" s="1" t="s">
        <v>74</v>
      </c>
      <c r="BE8" s="1" t="s">
        <v>162</v>
      </c>
      <c r="BF8" s="2" t="str">
        <f>HYPERLINK("http://dx.doi.org/10.1109/ACCESS.2025.3637226","http://dx.doi.org/10.1109/ACCESS.2025.3637226")</f>
        <v>http://dx.doi.org/10.1109/ACCESS.2025.3637226</v>
      </c>
      <c r="BG8" s="1" t="s">
        <v>74</v>
      </c>
      <c r="BH8" s="1" t="s">
        <v>74</v>
      </c>
      <c r="BI8" s="1" t="s">
        <v>74</v>
      </c>
      <c r="BJ8" s="1" t="s">
        <v>74</v>
      </c>
      <c r="BK8" s="1" t="s">
        <v>74</v>
      </c>
      <c r="BL8" s="1" t="s">
        <v>152</v>
      </c>
      <c r="BM8" s="1" t="s">
        <v>74</v>
      </c>
      <c r="BN8" s="1" t="s">
        <v>74</v>
      </c>
      <c r="BO8" s="1" t="s">
        <v>163</v>
      </c>
      <c r="BP8" s="1" t="s">
        <v>74</v>
      </c>
      <c r="BQ8" s="1" t="s">
        <v>74</v>
      </c>
      <c r="BR8" s="1" t="s">
        <v>74</v>
      </c>
      <c r="BS8" s="1" t="s">
        <v>164</v>
      </c>
      <c r="BT8" s="1" t="str">
        <f>HYPERLINK("https%3A%2F%2Fwww.webofscience.com%2Fwos%2Fwoscc%2Ffull-record%2FWOS:001641551600012","View Full Record in Web of Science")</f>
        <v>View Full Record in Web of Science</v>
      </c>
    </row>
    <row r="9" ht="12.75" customHeight="1">
      <c r="A9" s="1" t="s">
        <v>72</v>
      </c>
      <c r="B9" s="1" t="s">
        <v>165</v>
      </c>
      <c r="C9" s="1" t="s">
        <v>74</v>
      </c>
      <c r="D9" s="1" t="s">
        <v>74</v>
      </c>
      <c r="E9" s="1" t="s">
        <v>74</v>
      </c>
      <c r="F9" s="1" t="s">
        <v>166</v>
      </c>
      <c r="G9" s="1" t="s">
        <v>74</v>
      </c>
      <c r="H9" s="1" t="s">
        <v>74</v>
      </c>
      <c r="I9" s="1" t="s">
        <v>167</v>
      </c>
      <c r="J9" s="1" t="s">
        <v>168</v>
      </c>
      <c r="K9" s="1" t="s">
        <v>74</v>
      </c>
      <c r="L9" s="1" t="s">
        <v>74</v>
      </c>
      <c r="M9" s="1" t="s">
        <v>74</v>
      </c>
      <c r="N9" s="1" t="s">
        <v>158</v>
      </c>
      <c r="O9" s="1" t="s">
        <v>74</v>
      </c>
      <c r="P9" s="1" t="s">
        <v>74</v>
      </c>
      <c r="Q9" s="1" t="s">
        <v>74</v>
      </c>
      <c r="R9" s="1" t="s">
        <v>74</v>
      </c>
      <c r="S9" s="1" t="s">
        <v>74</v>
      </c>
      <c r="T9" s="1" t="s">
        <v>169</v>
      </c>
      <c r="U9" s="1" t="s">
        <v>74</v>
      </c>
      <c r="V9" s="1" t="s">
        <v>170</v>
      </c>
      <c r="W9" s="1" t="s">
        <v>74</v>
      </c>
      <c r="X9" s="1" t="s">
        <v>74</v>
      </c>
      <c r="Y9" s="1" t="s">
        <v>74</v>
      </c>
      <c r="Z9" s="1" t="s">
        <v>74</v>
      </c>
      <c r="AA9" s="1" t="s">
        <v>74</v>
      </c>
      <c r="AB9" s="1" t="s">
        <v>74</v>
      </c>
      <c r="AC9" s="1" t="s">
        <v>74</v>
      </c>
      <c r="AD9" s="1" t="s">
        <v>74</v>
      </c>
      <c r="AE9" s="1" t="s">
        <v>74</v>
      </c>
      <c r="AF9" s="1" t="s">
        <v>74</v>
      </c>
      <c r="AG9" s="1" t="s">
        <v>74</v>
      </c>
      <c r="AH9" s="1" t="s">
        <v>74</v>
      </c>
      <c r="AI9" s="1" t="s">
        <v>74</v>
      </c>
      <c r="AJ9" s="1" t="s">
        <v>74</v>
      </c>
      <c r="AK9" s="1" t="s">
        <v>74</v>
      </c>
      <c r="AL9" s="1" t="s">
        <v>74</v>
      </c>
      <c r="AM9" s="1" t="s">
        <v>74</v>
      </c>
      <c r="AN9" s="1" t="s">
        <v>74</v>
      </c>
      <c r="AO9" s="1" t="s">
        <v>171</v>
      </c>
      <c r="AP9" s="1" t="s">
        <v>74</v>
      </c>
      <c r="AQ9" s="1" t="s">
        <v>74</v>
      </c>
      <c r="AR9" s="1" t="s">
        <v>74</v>
      </c>
      <c r="AS9" s="1" t="s">
        <v>74</v>
      </c>
      <c r="AT9" s="1" t="s">
        <v>172</v>
      </c>
      <c r="AU9" s="1">
        <v>2025.0</v>
      </c>
      <c r="AV9" s="1">
        <v>17.0</v>
      </c>
      <c r="AW9" s="1">
        <v>3.0</v>
      </c>
      <c r="AX9" s="1" t="s">
        <v>74</v>
      </c>
      <c r="AY9" s="1" t="s">
        <v>74</v>
      </c>
      <c r="AZ9" s="1" t="s">
        <v>74</v>
      </c>
      <c r="BA9" s="1" t="s">
        <v>74</v>
      </c>
      <c r="BB9" s="1">
        <v>1.0</v>
      </c>
      <c r="BC9" s="1">
        <v>13.0</v>
      </c>
      <c r="BD9" s="1" t="s">
        <v>74</v>
      </c>
      <c r="BE9" s="1" t="s">
        <v>173</v>
      </c>
      <c r="BF9" s="2" t="str">
        <f>HYPERLINK("http://dx.doi.org/10.5335/rbca.v17i3.16310","http://dx.doi.org/10.5335/rbca.v17i3.16310")</f>
        <v>http://dx.doi.org/10.5335/rbca.v17i3.16310</v>
      </c>
      <c r="BG9" s="1" t="s">
        <v>74</v>
      </c>
      <c r="BH9" s="1" t="s">
        <v>74</v>
      </c>
      <c r="BI9" s="1" t="s">
        <v>74</v>
      </c>
      <c r="BJ9" s="1" t="s">
        <v>74</v>
      </c>
      <c r="BK9" s="1" t="s">
        <v>74</v>
      </c>
      <c r="BL9" s="1" t="s">
        <v>174</v>
      </c>
      <c r="BM9" s="1" t="s">
        <v>74</v>
      </c>
      <c r="BN9" s="1" t="s">
        <v>74</v>
      </c>
      <c r="BO9" s="1" t="s">
        <v>163</v>
      </c>
      <c r="BP9" s="1" t="s">
        <v>74</v>
      </c>
      <c r="BQ9" s="1" t="s">
        <v>74</v>
      </c>
      <c r="BR9" s="1" t="s">
        <v>74</v>
      </c>
      <c r="BS9" s="1" t="s">
        <v>175</v>
      </c>
      <c r="BT9" s="1" t="str">
        <f>HYPERLINK("https%3A%2F%2Fwww.webofscience.com%2Fwos%2Fwoscc%2Ffull-record%2FWOS:001644160000001","View Full Record in Web of Science")</f>
        <v>View Full Record in Web of Science</v>
      </c>
    </row>
    <row r="10" ht="12.75" customHeight="1">
      <c r="A10" s="1" t="s">
        <v>72</v>
      </c>
      <c r="B10" s="1" t="s">
        <v>176</v>
      </c>
      <c r="C10" s="1" t="s">
        <v>74</v>
      </c>
      <c r="D10" s="1" t="s">
        <v>74</v>
      </c>
      <c r="E10" s="1" t="s">
        <v>74</v>
      </c>
      <c r="F10" s="1" t="s">
        <v>177</v>
      </c>
      <c r="G10" s="1" t="s">
        <v>74</v>
      </c>
      <c r="H10" s="1" t="s">
        <v>74</v>
      </c>
      <c r="I10" s="1" t="s">
        <v>178</v>
      </c>
      <c r="J10" s="1" t="s">
        <v>147</v>
      </c>
      <c r="K10" s="1" t="s">
        <v>74</v>
      </c>
      <c r="L10" s="1" t="s">
        <v>74</v>
      </c>
      <c r="M10" s="1" t="s">
        <v>74</v>
      </c>
      <c r="N10" s="1" t="s">
        <v>78</v>
      </c>
      <c r="O10" s="1" t="s">
        <v>74</v>
      </c>
      <c r="P10" s="1" t="s">
        <v>74</v>
      </c>
      <c r="Q10" s="1" t="s">
        <v>74</v>
      </c>
      <c r="R10" s="1" t="s">
        <v>74</v>
      </c>
      <c r="S10" s="1" t="s">
        <v>74</v>
      </c>
      <c r="T10" s="1" t="s">
        <v>179</v>
      </c>
      <c r="U10" s="1" t="s">
        <v>74</v>
      </c>
      <c r="V10" s="1" t="s">
        <v>180</v>
      </c>
      <c r="W10" s="1" t="s">
        <v>74</v>
      </c>
      <c r="X10" s="1" t="s">
        <v>74</v>
      </c>
      <c r="Y10" s="1" t="s">
        <v>74</v>
      </c>
      <c r="Z10" s="1" t="s">
        <v>74</v>
      </c>
      <c r="AA10" s="1" t="s">
        <v>74</v>
      </c>
      <c r="AB10" s="1" t="s">
        <v>74</v>
      </c>
      <c r="AC10" s="1" t="s">
        <v>74</v>
      </c>
      <c r="AD10" s="1" t="s">
        <v>74</v>
      </c>
      <c r="AE10" s="1" t="s">
        <v>74</v>
      </c>
      <c r="AF10" s="1" t="s">
        <v>74</v>
      </c>
      <c r="AG10" s="1" t="s">
        <v>74</v>
      </c>
      <c r="AH10" s="1" t="s">
        <v>74</v>
      </c>
      <c r="AI10" s="1" t="s">
        <v>74</v>
      </c>
      <c r="AJ10" s="1" t="s">
        <v>74</v>
      </c>
      <c r="AK10" s="1" t="s">
        <v>74</v>
      </c>
      <c r="AL10" s="1" t="s">
        <v>74</v>
      </c>
      <c r="AM10" s="1" t="s">
        <v>74</v>
      </c>
      <c r="AN10" s="1" t="s">
        <v>74</v>
      </c>
      <c r="AO10" s="1" t="s">
        <v>150</v>
      </c>
      <c r="AP10" s="1" t="s">
        <v>74</v>
      </c>
      <c r="AQ10" s="1" t="s">
        <v>74</v>
      </c>
      <c r="AR10" s="1" t="s">
        <v>74</v>
      </c>
      <c r="AS10" s="1" t="s">
        <v>74</v>
      </c>
      <c r="AT10" s="1" t="s">
        <v>74</v>
      </c>
      <c r="AU10" s="1">
        <v>2024.0</v>
      </c>
      <c r="AV10" s="1">
        <v>12.0</v>
      </c>
      <c r="AW10" s="1" t="s">
        <v>74</v>
      </c>
      <c r="AX10" s="1" t="s">
        <v>74</v>
      </c>
      <c r="AY10" s="1" t="s">
        <v>74</v>
      </c>
      <c r="AZ10" s="1" t="s">
        <v>74</v>
      </c>
      <c r="BA10" s="1" t="s">
        <v>74</v>
      </c>
      <c r="BB10" s="1">
        <v>195188.0</v>
      </c>
      <c r="BC10" s="1">
        <v>195203.0</v>
      </c>
      <c r="BD10" s="1" t="s">
        <v>74</v>
      </c>
      <c r="BE10" s="1" t="s">
        <v>181</v>
      </c>
      <c r="BF10" s="2" t="str">
        <f>HYPERLINK("http://dx.doi.org/10.1109/ACCESS.2024.3519423","http://dx.doi.org/10.1109/ACCESS.2024.3519423")</f>
        <v>http://dx.doi.org/10.1109/ACCESS.2024.3519423</v>
      </c>
      <c r="BG10" s="1" t="s">
        <v>74</v>
      </c>
      <c r="BH10" s="1" t="s">
        <v>74</v>
      </c>
      <c r="BI10" s="1" t="s">
        <v>74</v>
      </c>
      <c r="BJ10" s="1" t="s">
        <v>74</v>
      </c>
      <c r="BK10" s="1" t="s">
        <v>74</v>
      </c>
      <c r="BL10" s="1" t="s">
        <v>152</v>
      </c>
      <c r="BM10" s="1" t="s">
        <v>74</v>
      </c>
      <c r="BN10" s="1" t="s">
        <v>74</v>
      </c>
      <c r="BO10" s="1" t="s">
        <v>153</v>
      </c>
      <c r="BP10" s="1" t="s">
        <v>74</v>
      </c>
      <c r="BQ10" s="1" t="s">
        <v>74</v>
      </c>
      <c r="BR10" s="1" t="s">
        <v>74</v>
      </c>
      <c r="BS10" s="1" t="s">
        <v>182</v>
      </c>
      <c r="BT10" s="1" t="str">
        <f>HYPERLINK("https%3A%2F%2Fwww.webofscience.com%2Fwos%2Fwoscc%2Ffull-record%2FWOS:001385626400050","View Full Record in Web of Science")</f>
        <v>View Full Record in Web of Science</v>
      </c>
    </row>
    <row r="11" ht="12.75" customHeight="1">
      <c r="A11" s="1" t="s">
        <v>72</v>
      </c>
      <c r="B11" s="1" t="s">
        <v>183</v>
      </c>
      <c r="C11" s="1" t="s">
        <v>74</v>
      </c>
      <c r="D11" s="1" t="s">
        <v>74</v>
      </c>
      <c r="E11" s="1" t="s">
        <v>74</v>
      </c>
      <c r="F11" s="1" t="s">
        <v>184</v>
      </c>
      <c r="G11" s="1" t="s">
        <v>74</v>
      </c>
      <c r="H11" s="1" t="s">
        <v>74</v>
      </c>
      <c r="I11" s="1" t="s">
        <v>185</v>
      </c>
      <c r="J11" s="1" t="s">
        <v>186</v>
      </c>
      <c r="K11" s="1" t="s">
        <v>74</v>
      </c>
      <c r="L11" s="1" t="s">
        <v>74</v>
      </c>
      <c r="M11" s="1" t="s">
        <v>74</v>
      </c>
      <c r="N11" s="1" t="s">
        <v>78</v>
      </c>
      <c r="O11" s="1" t="s">
        <v>74</v>
      </c>
      <c r="P11" s="1" t="s">
        <v>74</v>
      </c>
      <c r="Q11" s="1" t="s">
        <v>74</v>
      </c>
      <c r="R11" s="1" t="s">
        <v>74</v>
      </c>
      <c r="S11" s="1" t="s">
        <v>74</v>
      </c>
      <c r="T11" s="1" t="s">
        <v>187</v>
      </c>
      <c r="U11" s="1" t="s">
        <v>74</v>
      </c>
      <c r="V11" s="1" t="s">
        <v>188</v>
      </c>
      <c r="W11" s="1" t="s">
        <v>74</v>
      </c>
      <c r="X11" s="1" t="s">
        <v>74</v>
      </c>
      <c r="Y11" s="1" t="s">
        <v>74</v>
      </c>
      <c r="Z11" s="1" t="s">
        <v>74</v>
      </c>
      <c r="AA11" s="1" t="s">
        <v>74</v>
      </c>
      <c r="AB11" s="1" t="s">
        <v>74</v>
      </c>
      <c r="AC11" s="1" t="s">
        <v>74</v>
      </c>
      <c r="AD11" s="1" t="s">
        <v>74</v>
      </c>
      <c r="AE11" s="1" t="s">
        <v>74</v>
      </c>
      <c r="AF11" s="1" t="s">
        <v>74</v>
      </c>
      <c r="AG11" s="1" t="s">
        <v>74</v>
      </c>
      <c r="AH11" s="1" t="s">
        <v>74</v>
      </c>
      <c r="AI11" s="1" t="s">
        <v>74</v>
      </c>
      <c r="AJ11" s="1" t="s">
        <v>74</v>
      </c>
      <c r="AK11" s="1" t="s">
        <v>74</v>
      </c>
      <c r="AL11" s="1" t="s">
        <v>74</v>
      </c>
      <c r="AM11" s="1" t="s">
        <v>74</v>
      </c>
      <c r="AN11" s="1" t="s">
        <v>74</v>
      </c>
      <c r="AO11" s="1" t="s">
        <v>74</v>
      </c>
      <c r="AP11" s="1" t="s">
        <v>189</v>
      </c>
      <c r="AQ11" s="1" t="s">
        <v>74</v>
      </c>
      <c r="AR11" s="1" t="s">
        <v>74</v>
      </c>
      <c r="AS11" s="1" t="s">
        <v>74</v>
      </c>
      <c r="AT11" s="1" t="s">
        <v>74</v>
      </c>
      <c r="AU11" s="1">
        <v>2025.0</v>
      </c>
      <c r="AV11" s="1">
        <v>21.0</v>
      </c>
      <c r="AW11" s="1">
        <v>12.0</v>
      </c>
      <c r="AX11" s="1" t="s">
        <v>74</v>
      </c>
      <c r="AY11" s="1" t="s">
        <v>74</v>
      </c>
      <c r="AZ11" s="1" t="s">
        <v>74</v>
      </c>
      <c r="BA11" s="1" t="s">
        <v>74</v>
      </c>
      <c r="BB11" s="1">
        <v>84.0</v>
      </c>
      <c r="BC11" s="1">
        <v>93.0</v>
      </c>
      <c r="BD11" s="1" t="s">
        <v>74</v>
      </c>
      <c r="BE11" s="1" t="s">
        <v>190</v>
      </c>
      <c r="BF11" s="2" t="str">
        <f>HYPERLINK("http://dx.doi.org/10.3991/ijoe.v21i12.57173","http://dx.doi.org/10.3991/ijoe.v21i12.57173")</f>
        <v>http://dx.doi.org/10.3991/ijoe.v21i12.57173</v>
      </c>
      <c r="BG11" s="1" t="s">
        <v>74</v>
      </c>
      <c r="BH11" s="1" t="s">
        <v>74</v>
      </c>
      <c r="BI11" s="1" t="s">
        <v>74</v>
      </c>
      <c r="BJ11" s="1" t="s">
        <v>74</v>
      </c>
      <c r="BK11" s="1" t="s">
        <v>74</v>
      </c>
      <c r="BL11" s="1" t="s">
        <v>174</v>
      </c>
      <c r="BM11" s="1" t="s">
        <v>74</v>
      </c>
      <c r="BN11" s="1" t="s">
        <v>74</v>
      </c>
      <c r="BO11" s="1" t="s">
        <v>163</v>
      </c>
      <c r="BP11" s="1" t="s">
        <v>74</v>
      </c>
      <c r="BQ11" s="1" t="s">
        <v>74</v>
      </c>
      <c r="BR11" s="1" t="s">
        <v>74</v>
      </c>
      <c r="BS11" s="1" t="s">
        <v>191</v>
      </c>
      <c r="BT11" s="1" t="str">
        <f>HYPERLINK("https%3A%2F%2Fwww.webofscience.com%2Fwos%2Fwoscc%2Ffull-record%2FWOS:001592432400003","View Full Record in Web of Science")</f>
        <v>View Full Record in Web of Science</v>
      </c>
    </row>
    <row r="12" ht="12.75" customHeight="1">
      <c r="A12" s="1" t="s">
        <v>72</v>
      </c>
      <c r="B12" s="1" t="s">
        <v>192</v>
      </c>
      <c r="C12" s="1" t="s">
        <v>74</v>
      </c>
      <c r="D12" s="1" t="s">
        <v>74</v>
      </c>
      <c r="E12" s="1" t="s">
        <v>74</v>
      </c>
      <c r="F12" s="1" t="s">
        <v>193</v>
      </c>
      <c r="G12" s="1" t="s">
        <v>74</v>
      </c>
      <c r="H12" s="1" t="s">
        <v>74</v>
      </c>
      <c r="I12" s="1" t="s">
        <v>194</v>
      </c>
      <c r="J12" s="1" t="s">
        <v>195</v>
      </c>
      <c r="K12" s="1" t="s">
        <v>74</v>
      </c>
      <c r="L12" s="1" t="s">
        <v>74</v>
      </c>
      <c r="M12" s="1" t="s">
        <v>74</v>
      </c>
      <c r="N12" s="1" t="s">
        <v>78</v>
      </c>
      <c r="O12" s="1" t="s">
        <v>74</v>
      </c>
      <c r="P12" s="1" t="s">
        <v>74</v>
      </c>
      <c r="Q12" s="1" t="s">
        <v>74</v>
      </c>
      <c r="R12" s="1" t="s">
        <v>74</v>
      </c>
      <c r="S12" s="1" t="s">
        <v>74</v>
      </c>
      <c r="T12" s="1" t="s">
        <v>196</v>
      </c>
      <c r="U12" s="1" t="s">
        <v>74</v>
      </c>
      <c r="V12" s="1" t="s">
        <v>197</v>
      </c>
      <c r="W12" s="1" t="s">
        <v>74</v>
      </c>
      <c r="X12" s="1" t="s">
        <v>74</v>
      </c>
      <c r="Y12" s="1" t="s">
        <v>74</v>
      </c>
      <c r="Z12" s="1" t="s">
        <v>74</v>
      </c>
      <c r="AA12" s="1" t="s">
        <v>74</v>
      </c>
      <c r="AB12" s="1" t="s">
        <v>74</v>
      </c>
      <c r="AC12" s="1" t="s">
        <v>74</v>
      </c>
      <c r="AD12" s="1" t="s">
        <v>74</v>
      </c>
      <c r="AE12" s="1" t="s">
        <v>74</v>
      </c>
      <c r="AF12" s="1" t="s">
        <v>74</v>
      </c>
      <c r="AG12" s="1" t="s">
        <v>74</v>
      </c>
      <c r="AH12" s="1" t="s">
        <v>74</v>
      </c>
      <c r="AI12" s="1" t="s">
        <v>74</v>
      </c>
      <c r="AJ12" s="1" t="s">
        <v>74</v>
      </c>
      <c r="AK12" s="1" t="s">
        <v>74</v>
      </c>
      <c r="AL12" s="1" t="s">
        <v>74</v>
      </c>
      <c r="AM12" s="1" t="s">
        <v>74</v>
      </c>
      <c r="AN12" s="1" t="s">
        <v>74</v>
      </c>
      <c r="AO12" s="1" t="s">
        <v>198</v>
      </c>
      <c r="AP12" s="1" t="s">
        <v>199</v>
      </c>
      <c r="AQ12" s="1" t="s">
        <v>74</v>
      </c>
      <c r="AR12" s="1" t="s">
        <v>74</v>
      </c>
      <c r="AS12" s="1" t="s">
        <v>74</v>
      </c>
      <c r="AT12" s="1" t="s">
        <v>200</v>
      </c>
      <c r="AU12" s="1">
        <v>2025.0</v>
      </c>
      <c r="AV12" s="1">
        <v>40.0</v>
      </c>
      <c r="AW12" s="1">
        <v>6.0</v>
      </c>
      <c r="AX12" s="1" t="s">
        <v>74</v>
      </c>
      <c r="AY12" s="1" t="s">
        <v>74</v>
      </c>
      <c r="AZ12" s="1" t="s">
        <v>74</v>
      </c>
      <c r="BA12" s="1" t="s">
        <v>74</v>
      </c>
      <c r="BB12" s="1">
        <v>1275.0</v>
      </c>
      <c r="BC12" s="1">
        <v>1297.0</v>
      </c>
      <c r="BD12" s="1" t="s">
        <v>74</v>
      </c>
      <c r="BE12" s="1" t="s">
        <v>201</v>
      </c>
      <c r="BF12" s="2" t="str">
        <f>HYPERLINK("http://dx.doi.org/10.1007/s10869-025-10035-6","http://dx.doi.org/10.1007/s10869-025-10035-6")</f>
        <v>http://dx.doi.org/10.1007/s10869-025-10035-6</v>
      </c>
      <c r="BG12" s="1" t="s">
        <v>74</v>
      </c>
      <c r="BH12" s="1" t="s">
        <v>112</v>
      </c>
      <c r="BI12" s="1" t="s">
        <v>74</v>
      </c>
      <c r="BJ12" s="1" t="s">
        <v>74</v>
      </c>
      <c r="BK12" s="1" t="s">
        <v>74</v>
      </c>
      <c r="BL12" s="1" t="s">
        <v>202</v>
      </c>
      <c r="BM12" s="1" t="s">
        <v>74</v>
      </c>
      <c r="BN12" s="1" t="s">
        <v>74</v>
      </c>
      <c r="BO12" s="1" t="s">
        <v>114</v>
      </c>
      <c r="BP12" s="1" t="s">
        <v>74</v>
      </c>
      <c r="BQ12" s="1" t="s">
        <v>74</v>
      </c>
      <c r="BR12" s="1" t="s">
        <v>74</v>
      </c>
      <c r="BS12" s="1" t="s">
        <v>203</v>
      </c>
      <c r="BT12" s="1" t="str">
        <f>HYPERLINK("https%3A%2F%2Fwww.webofscience.com%2Fwos%2Fwoscc%2Ffull-record%2FWOS:001512394400001","View Full Record in Web of Science")</f>
        <v>View Full Record in Web of Science</v>
      </c>
    </row>
    <row r="13" ht="12.75" customHeight="1">
      <c r="A13" s="1" t="s">
        <v>72</v>
      </c>
      <c r="B13" s="1" t="s">
        <v>204</v>
      </c>
      <c r="C13" s="1" t="s">
        <v>74</v>
      </c>
      <c r="D13" s="1" t="s">
        <v>74</v>
      </c>
      <c r="E13" s="1" t="s">
        <v>74</v>
      </c>
      <c r="F13" s="1" t="s">
        <v>205</v>
      </c>
      <c r="G13" s="1" t="s">
        <v>74</v>
      </c>
      <c r="H13" s="1" t="s">
        <v>74</v>
      </c>
      <c r="I13" s="1" t="s">
        <v>206</v>
      </c>
      <c r="J13" s="1" t="s">
        <v>207</v>
      </c>
      <c r="K13" s="1" t="s">
        <v>74</v>
      </c>
      <c r="L13" s="1" t="s">
        <v>74</v>
      </c>
      <c r="M13" s="1" t="s">
        <v>74</v>
      </c>
      <c r="N13" s="1" t="s">
        <v>78</v>
      </c>
      <c r="O13" s="1" t="s">
        <v>74</v>
      </c>
      <c r="P13" s="1" t="s">
        <v>74</v>
      </c>
      <c r="Q13" s="1" t="s">
        <v>74</v>
      </c>
      <c r="R13" s="1" t="s">
        <v>74</v>
      </c>
      <c r="S13" s="1" t="s">
        <v>74</v>
      </c>
      <c r="T13" s="1" t="s">
        <v>208</v>
      </c>
      <c r="U13" s="1" t="s">
        <v>209</v>
      </c>
      <c r="V13" s="1" t="s">
        <v>210</v>
      </c>
      <c r="W13" s="1" t="s">
        <v>74</v>
      </c>
      <c r="X13" s="1" t="s">
        <v>74</v>
      </c>
      <c r="Y13" s="1" t="s">
        <v>74</v>
      </c>
      <c r="Z13" s="1" t="s">
        <v>74</v>
      </c>
      <c r="AA13" s="1" t="s">
        <v>74</v>
      </c>
      <c r="AB13" s="1" t="s">
        <v>74</v>
      </c>
      <c r="AC13" s="1" t="s">
        <v>74</v>
      </c>
      <c r="AD13" s="1" t="s">
        <v>74</v>
      </c>
      <c r="AE13" s="1" t="s">
        <v>74</v>
      </c>
      <c r="AF13" s="1" t="s">
        <v>74</v>
      </c>
      <c r="AG13" s="1" t="s">
        <v>74</v>
      </c>
      <c r="AH13" s="1" t="s">
        <v>74</v>
      </c>
      <c r="AI13" s="1" t="s">
        <v>74</v>
      </c>
      <c r="AJ13" s="1" t="s">
        <v>74</v>
      </c>
      <c r="AK13" s="1" t="s">
        <v>74</v>
      </c>
      <c r="AL13" s="1" t="s">
        <v>74</v>
      </c>
      <c r="AM13" s="1" t="s">
        <v>74</v>
      </c>
      <c r="AN13" s="1" t="s">
        <v>74</v>
      </c>
      <c r="AO13" s="1" t="s">
        <v>211</v>
      </c>
      <c r="AP13" s="1" t="s">
        <v>74</v>
      </c>
      <c r="AQ13" s="1" t="s">
        <v>74</v>
      </c>
      <c r="AR13" s="1" t="s">
        <v>74</v>
      </c>
      <c r="AS13" s="1" t="s">
        <v>74</v>
      </c>
      <c r="AT13" s="1" t="s">
        <v>212</v>
      </c>
      <c r="AU13" s="1">
        <v>2025.0</v>
      </c>
      <c r="AV13" s="1">
        <v>12.0</v>
      </c>
      <c r="AW13" s="1">
        <v>1.0</v>
      </c>
      <c r="AX13" s="1" t="s">
        <v>74</v>
      </c>
      <c r="AY13" s="1" t="s">
        <v>74</v>
      </c>
      <c r="AZ13" s="1" t="s">
        <v>74</v>
      </c>
      <c r="BA13" s="1" t="s">
        <v>74</v>
      </c>
      <c r="BB13" s="1" t="s">
        <v>74</v>
      </c>
      <c r="BC13" s="1" t="s">
        <v>74</v>
      </c>
      <c r="BD13" s="1">
        <v>2487219.0</v>
      </c>
      <c r="BE13" s="1" t="s">
        <v>213</v>
      </c>
      <c r="BF13" s="2" t="str">
        <f>HYPERLINK("http://dx.doi.org/10.1080/23311975.2025.2487219","http://dx.doi.org/10.1080/23311975.2025.2487219")</f>
        <v>http://dx.doi.org/10.1080/23311975.2025.2487219</v>
      </c>
      <c r="BG13" s="1" t="s">
        <v>74</v>
      </c>
      <c r="BH13" s="1" t="s">
        <v>74</v>
      </c>
      <c r="BI13" s="1" t="s">
        <v>74</v>
      </c>
      <c r="BJ13" s="1" t="s">
        <v>74</v>
      </c>
      <c r="BK13" s="1" t="s">
        <v>74</v>
      </c>
      <c r="BL13" s="1" t="s">
        <v>214</v>
      </c>
      <c r="BM13" s="1" t="s">
        <v>74</v>
      </c>
      <c r="BN13" s="1" t="s">
        <v>74</v>
      </c>
      <c r="BO13" s="1" t="s">
        <v>153</v>
      </c>
      <c r="BP13" s="1" t="s">
        <v>74</v>
      </c>
      <c r="BQ13" s="1" t="s">
        <v>74</v>
      </c>
      <c r="BR13" s="1" t="s">
        <v>74</v>
      </c>
      <c r="BS13" s="1" t="s">
        <v>215</v>
      </c>
      <c r="BT13" s="1" t="str">
        <f>HYPERLINK("https%3A%2F%2Fwww.webofscience.com%2Fwos%2Fwoscc%2Ffull-record%2FWOS:001464104000001","View Full Record in Web of Science")</f>
        <v>View Full Record in Web of Science</v>
      </c>
    </row>
    <row r="14" ht="12.75" customHeight="1">
      <c r="A14" s="1" t="s">
        <v>72</v>
      </c>
      <c r="B14" s="1" t="s">
        <v>216</v>
      </c>
      <c r="C14" s="1" t="s">
        <v>74</v>
      </c>
      <c r="D14" s="1" t="s">
        <v>74</v>
      </c>
      <c r="E14" s="1" t="s">
        <v>74</v>
      </c>
      <c r="F14" s="1" t="s">
        <v>217</v>
      </c>
      <c r="G14" s="1" t="s">
        <v>74</v>
      </c>
      <c r="H14" s="1" t="s">
        <v>74</v>
      </c>
      <c r="I14" s="1" t="s">
        <v>218</v>
      </c>
      <c r="J14" s="1" t="s">
        <v>219</v>
      </c>
      <c r="K14" s="1" t="s">
        <v>74</v>
      </c>
      <c r="L14" s="1" t="s">
        <v>74</v>
      </c>
      <c r="M14" s="1" t="s">
        <v>74</v>
      </c>
      <c r="N14" s="1" t="s">
        <v>78</v>
      </c>
      <c r="O14" s="1" t="s">
        <v>74</v>
      </c>
      <c r="P14" s="1" t="s">
        <v>74</v>
      </c>
      <c r="Q14" s="1" t="s">
        <v>74</v>
      </c>
      <c r="R14" s="1" t="s">
        <v>74</v>
      </c>
      <c r="S14" s="1" t="s">
        <v>74</v>
      </c>
      <c r="T14" s="1" t="s">
        <v>220</v>
      </c>
      <c r="U14" s="1" t="s">
        <v>221</v>
      </c>
      <c r="V14" s="1" t="s">
        <v>222</v>
      </c>
      <c r="W14" s="1" t="s">
        <v>74</v>
      </c>
      <c r="X14" s="1" t="s">
        <v>74</v>
      </c>
      <c r="Y14" s="1" t="s">
        <v>74</v>
      </c>
      <c r="Z14" s="1" t="s">
        <v>74</v>
      </c>
      <c r="AA14" s="1" t="s">
        <v>74</v>
      </c>
      <c r="AB14" s="1" t="s">
        <v>74</v>
      </c>
      <c r="AC14" s="1" t="s">
        <v>74</v>
      </c>
      <c r="AD14" s="1" t="s">
        <v>74</v>
      </c>
      <c r="AE14" s="1" t="s">
        <v>74</v>
      </c>
      <c r="AF14" s="1" t="s">
        <v>74</v>
      </c>
      <c r="AG14" s="1" t="s">
        <v>74</v>
      </c>
      <c r="AH14" s="1" t="s">
        <v>74</v>
      </c>
      <c r="AI14" s="1" t="s">
        <v>74</v>
      </c>
      <c r="AJ14" s="1" t="s">
        <v>74</v>
      </c>
      <c r="AK14" s="1" t="s">
        <v>74</v>
      </c>
      <c r="AL14" s="1" t="s">
        <v>74</v>
      </c>
      <c r="AM14" s="1" t="s">
        <v>74</v>
      </c>
      <c r="AN14" s="1" t="s">
        <v>74</v>
      </c>
      <c r="AO14" s="1" t="s">
        <v>223</v>
      </c>
      <c r="AP14" s="1" t="s">
        <v>224</v>
      </c>
      <c r="AQ14" s="1" t="s">
        <v>74</v>
      </c>
      <c r="AR14" s="1" t="s">
        <v>74</v>
      </c>
      <c r="AS14" s="1" t="s">
        <v>74</v>
      </c>
      <c r="AT14" s="1" t="s">
        <v>225</v>
      </c>
      <c r="AU14" s="1">
        <v>2024.0</v>
      </c>
      <c r="AV14" s="1">
        <v>27.0</v>
      </c>
      <c r="AW14" s="1">
        <v>4.0</v>
      </c>
      <c r="AX14" s="1" t="s">
        <v>74</v>
      </c>
      <c r="AY14" s="1" t="s">
        <v>74</v>
      </c>
      <c r="AZ14" s="1" t="s">
        <v>74</v>
      </c>
      <c r="BA14" s="1" t="s">
        <v>74</v>
      </c>
      <c r="BB14" s="1" t="s">
        <v>74</v>
      </c>
      <c r="BC14" s="1" t="s">
        <v>74</v>
      </c>
      <c r="BD14" s="1">
        <v>42.0</v>
      </c>
      <c r="BE14" s="1" t="s">
        <v>226</v>
      </c>
      <c r="BF14" s="2" t="str">
        <f>HYPERLINK("http://dx.doi.org/10.1007/s11280-024-01276-1","http://dx.doi.org/10.1007/s11280-024-01276-1")</f>
        <v>http://dx.doi.org/10.1007/s11280-024-01276-1</v>
      </c>
      <c r="BG14" s="1" t="s">
        <v>74</v>
      </c>
      <c r="BH14" s="1" t="s">
        <v>74</v>
      </c>
      <c r="BI14" s="1" t="s">
        <v>74</v>
      </c>
      <c r="BJ14" s="1" t="s">
        <v>74</v>
      </c>
      <c r="BK14" s="1" t="s">
        <v>74</v>
      </c>
      <c r="BL14" s="1" t="s">
        <v>174</v>
      </c>
      <c r="BM14" s="1" t="s">
        <v>74</v>
      </c>
      <c r="BN14" s="1" t="s">
        <v>74</v>
      </c>
      <c r="BO14" s="1" t="s">
        <v>114</v>
      </c>
      <c r="BP14" s="1" t="s">
        <v>74</v>
      </c>
      <c r="BQ14" s="1" t="s">
        <v>74</v>
      </c>
      <c r="BR14" s="1" t="s">
        <v>74</v>
      </c>
      <c r="BS14" s="1" t="s">
        <v>227</v>
      </c>
      <c r="BT14" s="1" t="str">
        <f>HYPERLINK("https%3A%2F%2Fwww.webofscience.com%2Fwos%2Fwoscc%2Ffull-record%2FWOS:001257486100001","View Full Record in Web of Science")</f>
        <v>View Full Record in Web of Science</v>
      </c>
    </row>
    <row r="15" ht="12.75" customHeight="1">
      <c r="A15" s="1" t="s">
        <v>72</v>
      </c>
      <c r="B15" s="1" t="s">
        <v>228</v>
      </c>
      <c r="C15" s="1" t="s">
        <v>74</v>
      </c>
      <c r="D15" s="1" t="s">
        <v>74</v>
      </c>
      <c r="E15" s="1" t="s">
        <v>74</v>
      </c>
      <c r="F15" s="1" t="s">
        <v>229</v>
      </c>
      <c r="G15" s="1" t="s">
        <v>74</v>
      </c>
      <c r="H15" s="1" t="s">
        <v>74</v>
      </c>
      <c r="I15" s="1" t="s">
        <v>230</v>
      </c>
      <c r="J15" s="1" t="s">
        <v>147</v>
      </c>
      <c r="K15" s="1" t="s">
        <v>74</v>
      </c>
      <c r="L15" s="1" t="s">
        <v>74</v>
      </c>
      <c r="M15" s="1" t="s">
        <v>74</v>
      </c>
      <c r="N15" s="1" t="s">
        <v>78</v>
      </c>
      <c r="O15" s="1" t="s">
        <v>74</v>
      </c>
      <c r="P15" s="1" t="s">
        <v>74</v>
      </c>
      <c r="Q15" s="1" t="s">
        <v>74</v>
      </c>
      <c r="R15" s="1" t="s">
        <v>74</v>
      </c>
      <c r="S15" s="1" t="s">
        <v>74</v>
      </c>
      <c r="T15" s="1" t="s">
        <v>231</v>
      </c>
      <c r="U15" s="1" t="s">
        <v>232</v>
      </c>
      <c r="V15" s="1" t="s">
        <v>233</v>
      </c>
      <c r="W15" s="1" t="s">
        <v>74</v>
      </c>
      <c r="X15" s="1" t="s">
        <v>74</v>
      </c>
      <c r="Y15" s="1" t="s">
        <v>74</v>
      </c>
      <c r="Z15" s="1" t="s">
        <v>74</v>
      </c>
      <c r="AA15" s="1" t="s">
        <v>74</v>
      </c>
      <c r="AB15" s="1" t="s">
        <v>74</v>
      </c>
      <c r="AC15" s="1" t="s">
        <v>74</v>
      </c>
      <c r="AD15" s="1" t="s">
        <v>74</v>
      </c>
      <c r="AE15" s="1" t="s">
        <v>74</v>
      </c>
      <c r="AF15" s="1" t="s">
        <v>74</v>
      </c>
      <c r="AG15" s="1" t="s">
        <v>74</v>
      </c>
      <c r="AH15" s="1" t="s">
        <v>74</v>
      </c>
      <c r="AI15" s="1" t="s">
        <v>74</v>
      </c>
      <c r="AJ15" s="1" t="s">
        <v>74</v>
      </c>
      <c r="AK15" s="1" t="s">
        <v>74</v>
      </c>
      <c r="AL15" s="1" t="s">
        <v>74</v>
      </c>
      <c r="AM15" s="1" t="s">
        <v>74</v>
      </c>
      <c r="AN15" s="1" t="s">
        <v>74</v>
      </c>
      <c r="AO15" s="1" t="s">
        <v>150</v>
      </c>
      <c r="AP15" s="1" t="s">
        <v>74</v>
      </c>
      <c r="AQ15" s="1" t="s">
        <v>74</v>
      </c>
      <c r="AR15" s="1" t="s">
        <v>74</v>
      </c>
      <c r="AS15" s="1" t="s">
        <v>74</v>
      </c>
      <c r="AT15" s="1" t="s">
        <v>74</v>
      </c>
      <c r="AU15" s="1">
        <v>2025.0</v>
      </c>
      <c r="AV15" s="1">
        <v>13.0</v>
      </c>
      <c r="AW15" s="1" t="s">
        <v>74</v>
      </c>
      <c r="AX15" s="1" t="s">
        <v>74</v>
      </c>
      <c r="AY15" s="1" t="s">
        <v>74</v>
      </c>
      <c r="AZ15" s="1" t="s">
        <v>74</v>
      </c>
      <c r="BA15" s="1" t="s">
        <v>74</v>
      </c>
      <c r="BB15" s="1">
        <v>187092.0</v>
      </c>
      <c r="BC15" s="1">
        <v>187106.0</v>
      </c>
      <c r="BD15" s="1" t="s">
        <v>74</v>
      </c>
      <c r="BE15" s="1" t="s">
        <v>234</v>
      </c>
      <c r="BF15" s="2" t="str">
        <f>HYPERLINK("http://dx.doi.org/10.1109/ACCESS.2025.3625637","http://dx.doi.org/10.1109/ACCESS.2025.3625637")</f>
        <v>http://dx.doi.org/10.1109/ACCESS.2025.3625637</v>
      </c>
      <c r="BG15" s="1" t="s">
        <v>74</v>
      </c>
      <c r="BH15" s="1" t="s">
        <v>74</v>
      </c>
      <c r="BI15" s="1" t="s">
        <v>74</v>
      </c>
      <c r="BJ15" s="1" t="s">
        <v>74</v>
      </c>
      <c r="BK15" s="1" t="s">
        <v>74</v>
      </c>
      <c r="BL15" s="1" t="s">
        <v>152</v>
      </c>
      <c r="BM15" s="1" t="s">
        <v>74</v>
      </c>
      <c r="BN15" s="1" t="s">
        <v>74</v>
      </c>
      <c r="BO15" s="1" t="s">
        <v>153</v>
      </c>
      <c r="BP15" s="1" t="s">
        <v>74</v>
      </c>
      <c r="BQ15" s="1" t="s">
        <v>74</v>
      </c>
      <c r="BR15" s="1" t="s">
        <v>74</v>
      </c>
      <c r="BS15" s="1" t="s">
        <v>235</v>
      </c>
      <c r="BT15" s="1" t="str">
        <f>HYPERLINK("https%3A%2F%2Fwww.webofscience.com%2Fwos%2Fwoscc%2Ffull-record%2FWOS:001611725700006","View Full Record in Web of Science")</f>
        <v>View Full Record in Web of Science</v>
      </c>
    </row>
    <row r="16" ht="12.75" customHeight="1">
      <c r="A16" s="1" t="s">
        <v>72</v>
      </c>
      <c r="B16" s="1" t="s">
        <v>236</v>
      </c>
      <c r="C16" s="1" t="s">
        <v>74</v>
      </c>
      <c r="D16" s="1" t="s">
        <v>74</v>
      </c>
      <c r="E16" s="1" t="s">
        <v>74</v>
      </c>
      <c r="F16" s="1" t="s">
        <v>237</v>
      </c>
      <c r="G16" s="1" t="s">
        <v>74</v>
      </c>
      <c r="H16" s="1" t="s">
        <v>74</v>
      </c>
      <c r="I16" s="1" t="s">
        <v>238</v>
      </c>
      <c r="J16" s="1" t="s">
        <v>239</v>
      </c>
      <c r="K16" s="1" t="s">
        <v>74</v>
      </c>
      <c r="L16" s="1" t="s">
        <v>74</v>
      </c>
      <c r="M16" s="1" t="s">
        <v>74</v>
      </c>
      <c r="N16" s="1" t="s">
        <v>78</v>
      </c>
      <c r="O16" s="1" t="s">
        <v>74</v>
      </c>
      <c r="P16" s="1" t="s">
        <v>74</v>
      </c>
      <c r="Q16" s="1" t="s">
        <v>74</v>
      </c>
      <c r="R16" s="1" t="s">
        <v>74</v>
      </c>
      <c r="S16" s="1" t="s">
        <v>74</v>
      </c>
      <c r="T16" s="1" t="s">
        <v>240</v>
      </c>
      <c r="U16" s="1" t="s">
        <v>74</v>
      </c>
      <c r="V16" s="1" t="s">
        <v>241</v>
      </c>
      <c r="W16" s="1" t="s">
        <v>74</v>
      </c>
      <c r="X16" s="1" t="s">
        <v>74</v>
      </c>
      <c r="Y16" s="1" t="s">
        <v>74</v>
      </c>
      <c r="Z16" s="1" t="s">
        <v>74</v>
      </c>
      <c r="AA16" s="1" t="s">
        <v>74</v>
      </c>
      <c r="AB16" s="1" t="s">
        <v>74</v>
      </c>
      <c r="AC16" s="1" t="s">
        <v>74</v>
      </c>
      <c r="AD16" s="1" t="s">
        <v>74</v>
      </c>
      <c r="AE16" s="1" t="s">
        <v>74</v>
      </c>
      <c r="AF16" s="1" t="s">
        <v>74</v>
      </c>
      <c r="AG16" s="1" t="s">
        <v>74</v>
      </c>
      <c r="AH16" s="1" t="s">
        <v>74</v>
      </c>
      <c r="AI16" s="1" t="s">
        <v>74</v>
      </c>
      <c r="AJ16" s="1" t="s">
        <v>74</v>
      </c>
      <c r="AK16" s="1" t="s">
        <v>74</v>
      </c>
      <c r="AL16" s="1" t="s">
        <v>74</v>
      </c>
      <c r="AM16" s="1" t="s">
        <v>74</v>
      </c>
      <c r="AN16" s="1" t="s">
        <v>74</v>
      </c>
      <c r="AO16" s="1" t="s">
        <v>74</v>
      </c>
      <c r="AP16" s="1" t="s">
        <v>242</v>
      </c>
      <c r="AQ16" s="1" t="s">
        <v>74</v>
      </c>
      <c r="AR16" s="1" t="s">
        <v>74</v>
      </c>
      <c r="AS16" s="1" t="s">
        <v>74</v>
      </c>
      <c r="AT16" s="1" t="s">
        <v>139</v>
      </c>
      <c r="AU16" s="1">
        <v>2024.0</v>
      </c>
      <c r="AV16" s="1">
        <v>13.0</v>
      </c>
      <c r="AW16" s="1">
        <v>4.0</v>
      </c>
      <c r="AX16" s="1" t="s">
        <v>74</v>
      </c>
      <c r="AY16" s="1" t="s">
        <v>74</v>
      </c>
      <c r="AZ16" s="1" t="s">
        <v>74</v>
      </c>
      <c r="BA16" s="1" t="s">
        <v>74</v>
      </c>
      <c r="BB16" s="1" t="s">
        <v>74</v>
      </c>
      <c r="BC16" s="1" t="s">
        <v>74</v>
      </c>
      <c r="BD16" s="1">
        <v>764.0</v>
      </c>
      <c r="BE16" s="1" t="s">
        <v>243</v>
      </c>
      <c r="BF16" s="2" t="str">
        <f>HYPERLINK("http://dx.doi.org/10.3390/electronics13040764","http://dx.doi.org/10.3390/electronics13040764")</f>
        <v>http://dx.doi.org/10.3390/electronics13040764</v>
      </c>
      <c r="BG16" s="1" t="s">
        <v>74</v>
      </c>
      <c r="BH16" s="1" t="s">
        <v>74</v>
      </c>
      <c r="BI16" s="1" t="s">
        <v>74</v>
      </c>
      <c r="BJ16" s="1" t="s">
        <v>74</v>
      </c>
      <c r="BK16" s="1" t="s">
        <v>74</v>
      </c>
      <c r="BL16" s="1" t="s">
        <v>244</v>
      </c>
      <c r="BM16" s="1" t="s">
        <v>74</v>
      </c>
      <c r="BN16" s="1" t="s">
        <v>74</v>
      </c>
      <c r="BO16" s="1" t="s">
        <v>163</v>
      </c>
      <c r="BP16" s="1" t="s">
        <v>74</v>
      </c>
      <c r="BQ16" s="1" t="s">
        <v>74</v>
      </c>
      <c r="BR16" s="1" t="s">
        <v>74</v>
      </c>
      <c r="BS16" s="1" t="s">
        <v>245</v>
      </c>
      <c r="BT16" s="1" t="str">
        <f>HYPERLINK("https%3A%2F%2Fwww.webofscience.com%2Fwos%2Fwoscc%2Ffull-record%2FWOS:001172384800001","View Full Record in Web of Science")</f>
        <v>View Full Record in Web of Science</v>
      </c>
    </row>
    <row r="17" ht="12.75" customHeight="1">
      <c r="A17" s="1" t="s">
        <v>72</v>
      </c>
      <c r="B17" s="1" t="s">
        <v>246</v>
      </c>
      <c r="C17" s="1" t="s">
        <v>74</v>
      </c>
      <c r="D17" s="1" t="s">
        <v>74</v>
      </c>
      <c r="E17" s="1" t="s">
        <v>74</v>
      </c>
      <c r="F17" s="1" t="s">
        <v>247</v>
      </c>
      <c r="G17" s="1" t="s">
        <v>74</v>
      </c>
      <c r="H17" s="1" t="s">
        <v>74</v>
      </c>
      <c r="I17" s="1" t="s">
        <v>248</v>
      </c>
      <c r="J17" s="1" t="s">
        <v>249</v>
      </c>
      <c r="K17" s="1" t="s">
        <v>74</v>
      </c>
      <c r="L17" s="1" t="s">
        <v>74</v>
      </c>
      <c r="M17" s="1" t="s">
        <v>74</v>
      </c>
      <c r="N17" s="1" t="s">
        <v>158</v>
      </c>
      <c r="O17" s="1" t="s">
        <v>74</v>
      </c>
      <c r="P17" s="1" t="s">
        <v>74</v>
      </c>
      <c r="Q17" s="1" t="s">
        <v>74</v>
      </c>
      <c r="R17" s="1" t="s">
        <v>74</v>
      </c>
      <c r="S17" s="1" t="s">
        <v>74</v>
      </c>
      <c r="T17" s="1" t="s">
        <v>250</v>
      </c>
      <c r="U17" s="1" t="s">
        <v>251</v>
      </c>
      <c r="V17" s="1" t="s">
        <v>252</v>
      </c>
      <c r="W17" s="1" t="s">
        <v>74</v>
      </c>
      <c r="X17" s="1" t="s">
        <v>74</v>
      </c>
      <c r="Y17" s="1" t="s">
        <v>74</v>
      </c>
      <c r="Z17" s="1" t="s">
        <v>74</v>
      </c>
      <c r="AA17" s="1" t="s">
        <v>74</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74</v>
      </c>
      <c r="AP17" s="1" t="s">
        <v>253</v>
      </c>
      <c r="AQ17" s="1" t="s">
        <v>74</v>
      </c>
      <c r="AR17" s="1" t="s">
        <v>74</v>
      </c>
      <c r="AS17" s="1" t="s">
        <v>74</v>
      </c>
      <c r="AT17" s="1" t="s">
        <v>200</v>
      </c>
      <c r="AU17" s="1">
        <v>2025.0</v>
      </c>
      <c r="AV17" s="1">
        <v>28.0</v>
      </c>
      <c r="AW17" s="1" t="s">
        <v>74</v>
      </c>
      <c r="AX17" s="1" t="s">
        <v>74</v>
      </c>
      <c r="AY17" s="1" t="s">
        <v>74</v>
      </c>
      <c r="AZ17" s="1" t="s">
        <v>74</v>
      </c>
      <c r="BA17" s="1" t="s">
        <v>74</v>
      </c>
      <c r="BB17" s="1" t="s">
        <v>74</v>
      </c>
      <c r="BC17" s="1" t="s">
        <v>74</v>
      </c>
      <c r="BD17" s="1">
        <v>200599.0</v>
      </c>
      <c r="BE17" s="1" t="s">
        <v>254</v>
      </c>
      <c r="BF17" s="2" t="str">
        <f>HYPERLINK("http://dx.doi.org/10.1016/j.iswa.2025.200599","http://dx.doi.org/10.1016/j.iswa.2025.200599")</f>
        <v>http://dx.doi.org/10.1016/j.iswa.2025.200599</v>
      </c>
      <c r="BG17" s="1" t="s">
        <v>74</v>
      </c>
      <c r="BH17" s="1" t="s">
        <v>255</v>
      </c>
      <c r="BI17" s="1" t="s">
        <v>74</v>
      </c>
      <c r="BJ17" s="1" t="s">
        <v>74</v>
      </c>
      <c r="BK17" s="1" t="s">
        <v>74</v>
      </c>
      <c r="BL17" s="1" t="s">
        <v>174</v>
      </c>
      <c r="BM17" s="1" t="s">
        <v>74</v>
      </c>
      <c r="BN17" s="1" t="s">
        <v>74</v>
      </c>
      <c r="BO17" s="1" t="s">
        <v>153</v>
      </c>
      <c r="BP17" s="1" t="s">
        <v>74</v>
      </c>
      <c r="BQ17" s="1" t="s">
        <v>74</v>
      </c>
      <c r="BR17" s="1" t="s">
        <v>74</v>
      </c>
      <c r="BS17" s="1" t="s">
        <v>256</v>
      </c>
      <c r="BT17" s="1" t="str">
        <f>HYPERLINK("https%3A%2F%2Fwww.webofscience.com%2Fwos%2Fwoscc%2Ffull-record%2FWOS:001617294600001","View Full Record in Web of Science")</f>
        <v>View Full Record in Web of Science</v>
      </c>
    </row>
    <row r="18" ht="12.75" customHeight="1">
      <c r="A18" s="1" t="s">
        <v>72</v>
      </c>
      <c r="B18" s="1" t="s">
        <v>257</v>
      </c>
      <c r="C18" s="1" t="s">
        <v>74</v>
      </c>
      <c r="D18" s="1" t="s">
        <v>74</v>
      </c>
      <c r="E18" s="1" t="s">
        <v>74</v>
      </c>
      <c r="F18" s="1" t="s">
        <v>258</v>
      </c>
      <c r="G18" s="1" t="s">
        <v>74</v>
      </c>
      <c r="H18" s="1" t="s">
        <v>74</v>
      </c>
      <c r="I18" s="1" t="s">
        <v>259</v>
      </c>
      <c r="J18" s="1" t="s">
        <v>239</v>
      </c>
      <c r="K18" s="1" t="s">
        <v>74</v>
      </c>
      <c r="L18" s="1" t="s">
        <v>74</v>
      </c>
      <c r="M18" s="1" t="s">
        <v>74</v>
      </c>
      <c r="N18" s="1" t="s">
        <v>78</v>
      </c>
      <c r="O18" s="1" t="s">
        <v>74</v>
      </c>
      <c r="P18" s="1" t="s">
        <v>74</v>
      </c>
      <c r="Q18" s="1" t="s">
        <v>74</v>
      </c>
      <c r="R18" s="1" t="s">
        <v>74</v>
      </c>
      <c r="S18" s="1" t="s">
        <v>74</v>
      </c>
      <c r="T18" s="1" t="s">
        <v>260</v>
      </c>
      <c r="U18" s="1" t="s">
        <v>74</v>
      </c>
      <c r="V18" s="1" t="s">
        <v>261</v>
      </c>
      <c r="W18" s="1" t="s">
        <v>74</v>
      </c>
      <c r="X18" s="1" t="s">
        <v>74</v>
      </c>
      <c r="Y18" s="1" t="s">
        <v>74</v>
      </c>
      <c r="Z18" s="1" t="s">
        <v>74</v>
      </c>
      <c r="AA18" s="1" t="s">
        <v>74</v>
      </c>
      <c r="AB18" s="1" t="s">
        <v>74</v>
      </c>
      <c r="AC18" s="1" t="s">
        <v>74</v>
      </c>
      <c r="AD18" s="1" t="s">
        <v>74</v>
      </c>
      <c r="AE18" s="1" t="s">
        <v>74</v>
      </c>
      <c r="AF18" s="1" t="s">
        <v>74</v>
      </c>
      <c r="AG18" s="1" t="s">
        <v>74</v>
      </c>
      <c r="AH18" s="1" t="s">
        <v>74</v>
      </c>
      <c r="AI18" s="1" t="s">
        <v>74</v>
      </c>
      <c r="AJ18" s="1" t="s">
        <v>74</v>
      </c>
      <c r="AK18" s="1" t="s">
        <v>74</v>
      </c>
      <c r="AL18" s="1" t="s">
        <v>74</v>
      </c>
      <c r="AM18" s="1" t="s">
        <v>74</v>
      </c>
      <c r="AN18" s="1" t="s">
        <v>74</v>
      </c>
      <c r="AO18" s="1" t="s">
        <v>74</v>
      </c>
      <c r="AP18" s="1" t="s">
        <v>242</v>
      </c>
      <c r="AQ18" s="1" t="s">
        <v>74</v>
      </c>
      <c r="AR18" s="1" t="s">
        <v>74</v>
      </c>
      <c r="AS18" s="1" t="s">
        <v>74</v>
      </c>
      <c r="AT18" s="1" t="s">
        <v>262</v>
      </c>
      <c r="AU18" s="1">
        <v>2024.0</v>
      </c>
      <c r="AV18" s="1">
        <v>13.0</v>
      </c>
      <c r="AW18" s="1">
        <v>17.0</v>
      </c>
      <c r="AX18" s="1" t="s">
        <v>74</v>
      </c>
      <c r="AY18" s="1" t="s">
        <v>74</v>
      </c>
      <c r="AZ18" s="1" t="s">
        <v>74</v>
      </c>
      <c r="BA18" s="1" t="s">
        <v>74</v>
      </c>
      <c r="BB18" s="1" t="s">
        <v>74</v>
      </c>
      <c r="BC18" s="1" t="s">
        <v>74</v>
      </c>
      <c r="BD18" s="1">
        <v>3431.0</v>
      </c>
      <c r="BE18" s="1" t="s">
        <v>263</v>
      </c>
      <c r="BF18" s="2" t="str">
        <f>HYPERLINK("http://dx.doi.org/10.3390/electronics13173431","http://dx.doi.org/10.3390/electronics13173431")</f>
        <v>http://dx.doi.org/10.3390/electronics13173431</v>
      </c>
      <c r="BG18" s="1" t="s">
        <v>74</v>
      </c>
      <c r="BH18" s="1" t="s">
        <v>74</v>
      </c>
      <c r="BI18" s="1" t="s">
        <v>74</v>
      </c>
      <c r="BJ18" s="1" t="s">
        <v>74</v>
      </c>
      <c r="BK18" s="1" t="s">
        <v>74</v>
      </c>
      <c r="BL18" s="1" t="s">
        <v>244</v>
      </c>
      <c r="BM18" s="1" t="s">
        <v>74</v>
      </c>
      <c r="BN18" s="1" t="s">
        <v>74</v>
      </c>
      <c r="BO18" s="1" t="s">
        <v>153</v>
      </c>
      <c r="BP18" s="1" t="s">
        <v>74</v>
      </c>
      <c r="BQ18" s="1" t="s">
        <v>74</v>
      </c>
      <c r="BR18" s="1" t="s">
        <v>74</v>
      </c>
      <c r="BS18" s="1" t="s">
        <v>264</v>
      </c>
      <c r="BT18" s="1" t="str">
        <f>HYPERLINK("https%3A%2F%2Fwww.webofscience.com%2Fwos%2Fwoscc%2Ffull-record%2FWOS:001311173900001","View Full Record in Web of Science")</f>
        <v>View Full Record in Web of Science</v>
      </c>
    </row>
    <row r="19" ht="12.75" customHeight="1">
      <c r="A19" s="1" t="s">
        <v>72</v>
      </c>
      <c r="B19" s="1" t="s">
        <v>265</v>
      </c>
      <c r="C19" s="1" t="s">
        <v>74</v>
      </c>
      <c r="D19" s="1" t="s">
        <v>74</v>
      </c>
      <c r="E19" s="1" t="s">
        <v>74</v>
      </c>
      <c r="F19" s="1" t="s">
        <v>266</v>
      </c>
      <c r="G19" s="1" t="s">
        <v>74</v>
      </c>
      <c r="H19" s="1" t="s">
        <v>74</v>
      </c>
      <c r="I19" s="1" t="s">
        <v>267</v>
      </c>
      <c r="J19" s="1" t="s">
        <v>268</v>
      </c>
      <c r="K19" s="1" t="s">
        <v>74</v>
      </c>
      <c r="L19" s="1" t="s">
        <v>74</v>
      </c>
      <c r="M19" s="1" t="s">
        <v>74</v>
      </c>
      <c r="N19" s="1" t="s">
        <v>78</v>
      </c>
      <c r="O19" s="1" t="s">
        <v>74</v>
      </c>
      <c r="P19" s="1" t="s">
        <v>74</v>
      </c>
      <c r="Q19" s="1" t="s">
        <v>74</v>
      </c>
      <c r="R19" s="1" t="s">
        <v>74</v>
      </c>
      <c r="S19" s="1" t="s">
        <v>74</v>
      </c>
      <c r="T19" s="1" t="s">
        <v>269</v>
      </c>
      <c r="U19" s="1" t="s">
        <v>270</v>
      </c>
      <c r="V19" s="1" t="s">
        <v>271</v>
      </c>
      <c r="W19" s="1" t="s">
        <v>74</v>
      </c>
      <c r="X19" s="1" t="s">
        <v>74</v>
      </c>
      <c r="Y19" s="1" t="s">
        <v>74</v>
      </c>
      <c r="Z19" s="1" t="s">
        <v>74</v>
      </c>
      <c r="AA19" s="1" t="s">
        <v>74</v>
      </c>
      <c r="AB19" s="1" t="s">
        <v>74</v>
      </c>
      <c r="AC19" s="1" t="s">
        <v>74</v>
      </c>
      <c r="AD19" s="1" t="s">
        <v>74</v>
      </c>
      <c r="AE19" s="1" t="s">
        <v>74</v>
      </c>
      <c r="AF19" s="1" t="s">
        <v>74</v>
      </c>
      <c r="AG19" s="1" t="s">
        <v>74</v>
      </c>
      <c r="AH19" s="1" t="s">
        <v>74</v>
      </c>
      <c r="AI19" s="1" t="s">
        <v>74</v>
      </c>
      <c r="AJ19" s="1" t="s">
        <v>74</v>
      </c>
      <c r="AK19" s="1" t="s">
        <v>74</v>
      </c>
      <c r="AL19" s="1" t="s">
        <v>74</v>
      </c>
      <c r="AM19" s="1" t="s">
        <v>74</v>
      </c>
      <c r="AN19" s="1" t="s">
        <v>74</v>
      </c>
      <c r="AO19" s="1" t="s">
        <v>272</v>
      </c>
      <c r="AP19" s="1" t="s">
        <v>273</v>
      </c>
      <c r="AQ19" s="1" t="s">
        <v>74</v>
      </c>
      <c r="AR19" s="1" t="s">
        <v>74</v>
      </c>
      <c r="AS19" s="1" t="s">
        <v>74</v>
      </c>
      <c r="AT19" s="1" t="s">
        <v>274</v>
      </c>
      <c r="AU19" s="1">
        <v>2025.0</v>
      </c>
      <c r="AV19" s="1">
        <v>19.0</v>
      </c>
      <c r="AW19" s="1">
        <v>11.0</v>
      </c>
      <c r="AX19" s="1" t="s">
        <v>74</v>
      </c>
      <c r="AY19" s="1" t="s">
        <v>74</v>
      </c>
      <c r="AZ19" s="1" t="s">
        <v>74</v>
      </c>
      <c r="BA19" s="1" t="s">
        <v>74</v>
      </c>
      <c r="BB19" s="1" t="s">
        <v>74</v>
      </c>
      <c r="BC19" s="1" t="s">
        <v>74</v>
      </c>
      <c r="BD19" s="1" t="s">
        <v>74</v>
      </c>
      <c r="BE19" s="1" t="s">
        <v>275</v>
      </c>
      <c r="BF19" s="2" t="str">
        <f>HYPERLINK("http://dx.doi.org/10.1080/17517575.2025.2541199","http://dx.doi.org/10.1080/17517575.2025.2541199")</f>
        <v>http://dx.doi.org/10.1080/17517575.2025.2541199</v>
      </c>
      <c r="BG19" s="1" t="s">
        <v>74</v>
      </c>
      <c r="BH19" s="1" t="s">
        <v>276</v>
      </c>
      <c r="BI19" s="1" t="s">
        <v>74</v>
      </c>
      <c r="BJ19" s="1" t="s">
        <v>74</v>
      </c>
      <c r="BK19" s="1" t="s">
        <v>74</v>
      </c>
      <c r="BL19" s="1" t="s">
        <v>174</v>
      </c>
      <c r="BM19" s="1" t="s">
        <v>74</v>
      </c>
      <c r="BN19" s="1" t="s">
        <v>74</v>
      </c>
      <c r="BO19" s="1" t="s">
        <v>74</v>
      </c>
      <c r="BP19" s="1" t="s">
        <v>74</v>
      </c>
      <c r="BQ19" s="1" t="s">
        <v>74</v>
      </c>
      <c r="BR19" s="1" t="s">
        <v>74</v>
      </c>
      <c r="BS19" s="1" t="s">
        <v>277</v>
      </c>
      <c r="BT19" s="1" t="str">
        <f>HYPERLINK("https%3A%2F%2Fwww.webofscience.com%2Fwos%2Fwoscc%2Ffull-record%2FWOS:001543901100001","View Full Record in Web of Science")</f>
        <v>View Full Record in Web of Science</v>
      </c>
    </row>
    <row r="20" ht="12.75" customHeight="1">
      <c r="A20" s="1" t="s">
        <v>72</v>
      </c>
      <c r="B20" s="1" t="s">
        <v>278</v>
      </c>
      <c r="C20" s="1" t="s">
        <v>74</v>
      </c>
      <c r="D20" s="1" t="s">
        <v>74</v>
      </c>
      <c r="E20" s="1" t="s">
        <v>74</v>
      </c>
      <c r="F20" s="1" t="s">
        <v>279</v>
      </c>
      <c r="G20" s="1" t="s">
        <v>74</v>
      </c>
      <c r="H20" s="1" t="s">
        <v>74</v>
      </c>
      <c r="I20" s="1" t="s">
        <v>280</v>
      </c>
      <c r="J20" s="1" t="s">
        <v>281</v>
      </c>
      <c r="K20" s="1" t="s">
        <v>74</v>
      </c>
      <c r="L20" s="1" t="s">
        <v>74</v>
      </c>
      <c r="M20" s="1" t="s">
        <v>74</v>
      </c>
      <c r="N20" s="1" t="s">
        <v>282</v>
      </c>
      <c r="O20" s="1" t="s">
        <v>74</v>
      </c>
      <c r="P20" s="1" t="s">
        <v>74</v>
      </c>
      <c r="Q20" s="1" t="s">
        <v>74</v>
      </c>
      <c r="R20" s="1" t="s">
        <v>74</v>
      </c>
      <c r="S20" s="1" t="s">
        <v>74</v>
      </c>
      <c r="T20" s="1" t="s">
        <v>283</v>
      </c>
      <c r="U20" s="1" t="s">
        <v>74</v>
      </c>
      <c r="V20" s="1" t="s">
        <v>284</v>
      </c>
      <c r="W20" s="1" t="s">
        <v>74</v>
      </c>
      <c r="X20" s="1" t="s">
        <v>74</v>
      </c>
      <c r="Y20" s="1" t="s">
        <v>74</v>
      </c>
      <c r="Z20" s="1" t="s">
        <v>74</v>
      </c>
      <c r="AA20" s="1" t="s">
        <v>74</v>
      </c>
      <c r="AB20" s="1" t="s">
        <v>74</v>
      </c>
      <c r="AC20" s="1" t="s">
        <v>74</v>
      </c>
      <c r="AD20" s="1" t="s">
        <v>74</v>
      </c>
      <c r="AE20" s="1" t="s">
        <v>74</v>
      </c>
      <c r="AF20" s="1" t="s">
        <v>74</v>
      </c>
      <c r="AG20" s="1" t="s">
        <v>74</v>
      </c>
      <c r="AH20" s="1" t="s">
        <v>74</v>
      </c>
      <c r="AI20" s="1" t="s">
        <v>74</v>
      </c>
      <c r="AJ20" s="1" t="s">
        <v>74</v>
      </c>
      <c r="AK20" s="1" t="s">
        <v>74</v>
      </c>
      <c r="AL20" s="1" t="s">
        <v>74</v>
      </c>
      <c r="AM20" s="1" t="s">
        <v>74</v>
      </c>
      <c r="AN20" s="1" t="s">
        <v>74</v>
      </c>
      <c r="AO20" s="1" t="s">
        <v>285</v>
      </c>
      <c r="AP20" s="1" t="s">
        <v>286</v>
      </c>
      <c r="AQ20" s="1" t="s">
        <v>74</v>
      </c>
      <c r="AR20" s="1" t="s">
        <v>74</v>
      </c>
      <c r="AS20" s="1" t="s">
        <v>74</v>
      </c>
      <c r="AT20" s="1" t="s">
        <v>287</v>
      </c>
      <c r="AU20" s="1">
        <v>2026.0</v>
      </c>
      <c r="AV20" s="1" t="s">
        <v>74</v>
      </c>
      <c r="AW20" s="1" t="s">
        <v>74</v>
      </c>
      <c r="AX20" s="1" t="s">
        <v>74</v>
      </c>
      <c r="AY20" s="1" t="s">
        <v>74</v>
      </c>
      <c r="AZ20" s="1" t="s">
        <v>74</v>
      </c>
      <c r="BA20" s="1" t="s">
        <v>74</v>
      </c>
      <c r="BB20" s="1" t="s">
        <v>74</v>
      </c>
      <c r="BC20" s="1" t="s">
        <v>74</v>
      </c>
      <c r="BD20" s="1" t="s">
        <v>288</v>
      </c>
      <c r="BE20" s="1" t="s">
        <v>289</v>
      </c>
      <c r="BF20" s="2" t="str">
        <f>HYPERLINK("http://dx.doi.org/10.1093/jamia/ocaf230","http://dx.doi.org/10.1093/jamia/ocaf230")</f>
        <v>http://dx.doi.org/10.1093/jamia/ocaf230</v>
      </c>
      <c r="BG20" s="1" t="s">
        <v>74</v>
      </c>
      <c r="BH20" s="1" t="s">
        <v>290</v>
      </c>
      <c r="BI20" s="1" t="s">
        <v>74</v>
      </c>
      <c r="BJ20" s="1" t="s">
        <v>74</v>
      </c>
      <c r="BK20" s="1" t="s">
        <v>74</v>
      </c>
      <c r="BL20" s="1" t="s">
        <v>291</v>
      </c>
      <c r="BM20" s="1" t="s">
        <v>74</v>
      </c>
      <c r="BN20" s="1" t="s">
        <v>74</v>
      </c>
      <c r="BO20" s="1" t="s">
        <v>74</v>
      </c>
      <c r="BP20" s="1" t="s">
        <v>74</v>
      </c>
      <c r="BQ20" s="1" t="s">
        <v>74</v>
      </c>
      <c r="BR20" s="1" t="s">
        <v>74</v>
      </c>
      <c r="BS20" s="1" t="s">
        <v>292</v>
      </c>
      <c r="BT20" s="1" t="str">
        <f>HYPERLINK("https%3A%2F%2Fwww.webofscience.com%2Fwos%2Fwoscc%2Ffull-record%2FWOS:001658217000001","View Full Record in Web of Science")</f>
        <v>View Full Record in Web of Science</v>
      </c>
    </row>
    <row r="21" ht="12.75" customHeight="1">
      <c r="A21" s="1" t="s">
        <v>72</v>
      </c>
      <c r="B21" s="1" t="s">
        <v>293</v>
      </c>
      <c r="C21" s="1" t="s">
        <v>74</v>
      </c>
      <c r="D21" s="1" t="s">
        <v>74</v>
      </c>
      <c r="E21" s="1" t="s">
        <v>74</v>
      </c>
      <c r="F21" s="1" t="s">
        <v>294</v>
      </c>
      <c r="G21" s="1" t="s">
        <v>74</v>
      </c>
      <c r="H21" s="1" t="s">
        <v>74</v>
      </c>
      <c r="I21" s="1" t="s">
        <v>295</v>
      </c>
      <c r="J21" s="1" t="s">
        <v>296</v>
      </c>
      <c r="K21" s="1" t="s">
        <v>74</v>
      </c>
      <c r="L21" s="1" t="s">
        <v>74</v>
      </c>
      <c r="M21" s="1" t="s">
        <v>74</v>
      </c>
      <c r="N21" s="1" t="s">
        <v>78</v>
      </c>
      <c r="O21" s="1" t="s">
        <v>74</v>
      </c>
      <c r="P21" s="1" t="s">
        <v>74</v>
      </c>
      <c r="Q21" s="1" t="s">
        <v>74</v>
      </c>
      <c r="R21" s="1" t="s">
        <v>74</v>
      </c>
      <c r="S21" s="1" t="s">
        <v>74</v>
      </c>
      <c r="T21" s="1" t="s">
        <v>297</v>
      </c>
      <c r="U21" s="1" t="s">
        <v>74</v>
      </c>
      <c r="V21" s="1" t="s">
        <v>298</v>
      </c>
      <c r="W21" s="1" t="s">
        <v>74</v>
      </c>
      <c r="X21" s="1" t="s">
        <v>74</v>
      </c>
      <c r="Y21" s="1" t="s">
        <v>74</v>
      </c>
      <c r="Z21" s="1" t="s">
        <v>74</v>
      </c>
      <c r="AA21" s="1" t="s">
        <v>74</v>
      </c>
      <c r="AB21" s="1" t="s">
        <v>74</v>
      </c>
      <c r="AC21" s="1" t="s">
        <v>74</v>
      </c>
      <c r="AD21" s="1" t="s">
        <v>74</v>
      </c>
      <c r="AE21" s="1" t="s">
        <v>74</v>
      </c>
      <c r="AF21" s="1" t="s">
        <v>74</v>
      </c>
      <c r="AG21" s="1" t="s">
        <v>74</v>
      </c>
      <c r="AH21" s="1" t="s">
        <v>74</v>
      </c>
      <c r="AI21" s="1" t="s">
        <v>74</v>
      </c>
      <c r="AJ21" s="1" t="s">
        <v>74</v>
      </c>
      <c r="AK21" s="1" t="s">
        <v>74</v>
      </c>
      <c r="AL21" s="1" t="s">
        <v>74</v>
      </c>
      <c r="AM21" s="1" t="s">
        <v>74</v>
      </c>
      <c r="AN21" s="1" t="s">
        <v>74</v>
      </c>
      <c r="AO21" s="1" t="s">
        <v>299</v>
      </c>
      <c r="AP21" s="1" t="s">
        <v>300</v>
      </c>
      <c r="AQ21" s="1" t="s">
        <v>74</v>
      </c>
      <c r="AR21" s="1" t="s">
        <v>74</v>
      </c>
      <c r="AS21" s="1" t="s">
        <v>74</v>
      </c>
      <c r="AT21" s="1" t="s">
        <v>74</v>
      </c>
      <c r="AU21" s="1">
        <v>2024.0</v>
      </c>
      <c r="AV21" s="1">
        <v>79.0</v>
      </c>
      <c r="AW21" s="1">
        <v>3.0</v>
      </c>
      <c r="AX21" s="1" t="s">
        <v>74</v>
      </c>
      <c r="AY21" s="1" t="s">
        <v>74</v>
      </c>
      <c r="AZ21" s="1" t="s">
        <v>74</v>
      </c>
      <c r="BA21" s="1" t="s">
        <v>74</v>
      </c>
      <c r="BB21" s="1">
        <v>4219.0</v>
      </c>
      <c r="BC21" s="1">
        <v>4236.0</v>
      </c>
      <c r="BD21" s="1" t="s">
        <v>74</v>
      </c>
      <c r="BE21" s="1" t="s">
        <v>301</v>
      </c>
      <c r="BF21" s="2" t="str">
        <f>HYPERLINK("http://dx.doi.org/10.32604/cmc.2024.050781","http://dx.doi.org/10.32604/cmc.2024.050781")</f>
        <v>http://dx.doi.org/10.32604/cmc.2024.050781</v>
      </c>
      <c r="BG21" s="1" t="s">
        <v>74</v>
      </c>
      <c r="BH21" s="1" t="s">
        <v>74</v>
      </c>
      <c r="BI21" s="1" t="s">
        <v>74</v>
      </c>
      <c r="BJ21" s="1" t="s">
        <v>74</v>
      </c>
      <c r="BK21" s="1" t="s">
        <v>74</v>
      </c>
      <c r="BL21" s="1" t="s">
        <v>302</v>
      </c>
      <c r="BM21" s="1" t="s">
        <v>74</v>
      </c>
      <c r="BN21" s="1" t="s">
        <v>74</v>
      </c>
      <c r="BO21" s="1" t="s">
        <v>163</v>
      </c>
      <c r="BP21" s="1" t="s">
        <v>74</v>
      </c>
      <c r="BQ21" s="1" t="s">
        <v>74</v>
      </c>
      <c r="BR21" s="1" t="s">
        <v>74</v>
      </c>
      <c r="BS21" s="1" t="s">
        <v>303</v>
      </c>
      <c r="BT21" s="1" t="str">
        <f>HYPERLINK("https%3A%2F%2Fwww.webofscience.com%2Fwos%2Fwoscc%2Ffull-record%2FWOS:001268119400007","View Full Record in Web of Science")</f>
        <v>View Full Record in Web of Science</v>
      </c>
    </row>
    <row r="22" ht="12.75" customHeight="1">
      <c r="A22" s="1" t="s">
        <v>72</v>
      </c>
      <c r="B22" s="1" t="s">
        <v>304</v>
      </c>
      <c r="C22" s="1" t="s">
        <v>74</v>
      </c>
      <c r="D22" s="1" t="s">
        <v>74</v>
      </c>
      <c r="E22" s="1" t="s">
        <v>74</v>
      </c>
      <c r="F22" s="1" t="s">
        <v>305</v>
      </c>
      <c r="G22" s="1" t="s">
        <v>74</v>
      </c>
      <c r="H22" s="1" t="s">
        <v>74</v>
      </c>
      <c r="I22" s="1" t="s">
        <v>306</v>
      </c>
      <c r="J22" s="1" t="s">
        <v>307</v>
      </c>
      <c r="K22" s="1" t="s">
        <v>74</v>
      </c>
      <c r="L22" s="1" t="s">
        <v>74</v>
      </c>
      <c r="M22" s="1" t="s">
        <v>74</v>
      </c>
      <c r="N22" s="1" t="s">
        <v>78</v>
      </c>
      <c r="O22" s="1" t="s">
        <v>74</v>
      </c>
      <c r="P22" s="1" t="s">
        <v>74</v>
      </c>
      <c r="Q22" s="1" t="s">
        <v>74</v>
      </c>
      <c r="R22" s="1" t="s">
        <v>74</v>
      </c>
      <c r="S22" s="1" t="s">
        <v>74</v>
      </c>
      <c r="T22" s="1" t="s">
        <v>308</v>
      </c>
      <c r="U22" s="1" t="s">
        <v>309</v>
      </c>
      <c r="V22" s="1" t="s">
        <v>310</v>
      </c>
      <c r="W22" s="1" t="s">
        <v>74</v>
      </c>
      <c r="X22" s="1" t="s">
        <v>74</v>
      </c>
      <c r="Y22" s="1" t="s">
        <v>74</v>
      </c>
      <c r="Z22" s="1" t="s">
        <v>74</v>
      </c>
      <c r="AA22" s="1" t="s">
        <v>74</v>
      </c>
      <c r="AB22" s="1" t="s">
        <v>74</v>
      </c>
      <c r="AC22" s="1" t="s">
        <v>74</v>
      </c>
      <c r="AD22" s="1" t="s">
        <v>74</v>
      </c>
      <c r="AE22" s="1" t="s">
        <v>74</v>
      </c>
      <c r="AF22" s="1" t="s">
        <v>74</v>
      </c>
      <c r="AG22" s="1" t="s">
        <v>74</v>
      </c>
      <c r="AH22" s="1" t="s">
        <v>74</v>
      </c>
      <c r="AI22" s="1" t="s">
        <v>74</v>
      </c>
      <c r="AJ22" s="1" t="s">
        <v>74</v>
      </c>
      <c r="AK22" s="1" t="s">
        <v>74</v>
      </c>
      <c r="AL22" s="1" t="s">
        <v>74</v>
      </c>
      <c r="AM22" s="1" t="s">
        <v>74</v>
      </c>
      <c r="AN22" s="1" t="s">
        <v>74</v>
      </c>
      <c r="AO22" s="1" t="s">
        <v>311</v>
      </c>
      <c r="AP22" s="1" t="s">
        <v>312</v>
      </c>
      <c r="AQ22" s="1" t="s">
        <v>74</v>
      </c>
      <c r="AR22" s="1" t="s">
        <v>74</v>
      </c>
      <c r="AS22" s="1" t="s">
        <v>74</v>
      </c>
      <c r="AT22" s="1" t="s">
        <v>84</v>
      </c>
      <c r="AU22" s="1">
        <v>2025.0</v>
      </c>
      <c r="AV22" s="1">
        <v>232.0</v>
      </c>
      <c r="AW22" s="1" t="s">
        <v>74</v>
      </c>
      <c r="AX22" s="1" t="s">
        <v>74</v>
      </c>
      <c r="AY22" s="1" t="s">
        <v>74</v>
      </c>
      <c r="AZ22" s="1" t="s">
        <v>74</v>
      </c>
      <c r="BA22" s="1" t="s">
        <v>74</v>
      </c>
      <c r="BB22" s="1" t="s">
        <v>74</v>
      </c>
      <c r="BC22" s="1" t="s">
        <v>74</v>
      </c>
      <c r="BD22" s="1">
        <v>110028.0</v>
      </c>
      <c r="BE22" s="1" t="s">
        <v>313</v>
      </c>
      <c r="BF22" s="2" t="str">
        <f>HYPERLINK("http://dx.doi.org/10.1016/j.compag.2025.110028","http://dx.doi.org/10.1016/j.compag.2025.110028")</f>
        <v>http://dx.doi.org/10.1016/j.compag.2025.110028</v>
      </c>
      <c r="BG22" s="1" t="s">
        <v>74</v>
      </c>
      <c r="BH22" s="1" t="s">
        <v>314</v>
      </c>
      <c r="BI22" s="1" t="s">
        <v>74</v>
      </c>
      <c r="BJ22" s="1" t="s">
        <v>74</v>
      </c>
      <c r="BK22" s="1" t="s">
        <v>74</v>
      </c>
      <c r="BL22" s="1" t="s">
        <v>315</v>
      </c>
      <c r="BM22" s="1" t="s">
        <v>74</v>
      </c>
      <c r="BN22" s="1" t="s">
        <v>74</v>
      </c>
      <c r="BO22" s="1" t="s">
        <v>74</v>
      </c>
      <c r="BP22" s="1" t="s">
        <v>74</v>
      </c>
      <c r="BQ22" s="1" t="s">
        <v>74</v>
      </c>
      <c r="BR22" s="1" t="s">
        <v>74</v>
      </c>
      <c r="BS22" s="1" t="s">
        <v>316</v>
      </c>
      <c r="BT22" s="1" t="str">
        <f>HYPERLINK("https%3A%2F%2Fwww.webofscience.com%2Fwos%2Fwoscc%2Ffull-record%2FWOS:001427277400001","View Full Record in Web of Science")</f>
        <v>View Full Record in Web of Science</v>
      </c>
    </row>
    <row r="23" ht="12.75" customHeight="1">
      <c r="A23" s="1" t="s">
        <v>72</v>
      </c>
      <c r="B23" s="1" t="s">
        <v>317</v>
      </c>
      <c r="C23" s="1" t="s">
        <v>74</v>
      </c>
      <c r="D23" s="1" t="s">
        <v>74</v>
      </c>
      <c r="E23" s="1" t="s">
        <v>74</v>
      </c>
      <c r="F23" s="1" t="s">
        <v>318</v>
      </c>
      <c r="G23" s="1" t="s">
        <v>74</v>
      </c>
      <c r="H23" s="1" t="s">
        <v>74</v>
      </c>
      <c r="I23" s="1" t="s">
        <v>319</v>
      </c>
      <c r="J23" s="1" t="s">
        <v>320</v>
      </c>
      <c r="K23" s="1" t="s">
        <v>74</v>
      </c>
      <c r="L23" s="1" t="s">
        <v>74</v>
      </c>
      <c r="M23" s="1" t="s">
        <v>74</v>
      </c>
      <c r="N23" s="1" t="s">
        <v>78</v>
      </c>
      <c r="O23" s="1" t="s">
        <v>74</v>
      </c>
      <c r="P23" s="1" t="s">
        <v>74</v>
      </c>
      <c r="Q23" s="1" t="s">
        <v>74</v>
      </c>
      <c r="R23" s="1" t="s">
        <v>74</v>
      </c>
      <c r="S23" s="1" t="s">
        <v>74</v>
      </c>
      <c r="T23" s="1" t="s">
        <v>321</v>
      </c>
      <c r="U23" s="1" t="s">
        <v>322</v>
      </c>
      <c r="V23" s="1" t="s">
        <v>323</v>
      </c>
      <c r="W23" s="1" t="s">
        <v>74</v>
      </c>
      <c r="X23" s="1" t="s">
        <v>74</v>
      </c>
      <c r="Y23" s="1" t="s">
        <v>74</v>
      </c>
      <c r="Z23" s="1" t="s">
        <v>74</v>
      </c>
      <c r="AA23" s="1" t="s">
        <v>74</v>
      </c>
      <c r="AB23" s="1" t="s">
        <v>74</v>
      </c>
      <c r="AC23" s="1" t="s">
        <v>74</v>
      </c>
      <c r="AD23" s="1" t="s">
        <v>74</v>
      </c>
      <c r="AE23" s="1" t="s">
        <v>74</v>
      </c>
      <c r="AF23" s="1" t="s">
        <v>74</v>
      </c>
      <c r="AG23" s="1" t="s">
        <v>74</v>
      </c>
      <c r="AH23" s="1" t="s">
        <v>74</v>
      </c>
      <c r="AI23" s="1" t="s">
        <v>74</v>
      </c>
      <c r="AJ23" s="1" t="s">
        <v>74</v>
      </c>
      <c r="AK23" s="1" t="s">
        <v>74</v>
      </c>
      <c r="AL23" s="1" t="s">
        <v>74</v>
      </c>
      <c r="AM23" s="1" t="s">
        <v>74</v>
      </c>
      <c r="AN23" s="1" t="s">
        <v>74</v>
      </c>
      <c r="AO23" s="1" t="s">
        <v>74</v>
      </c>
      <c r="AP23" s="1" t="s">
        <v>324</v>
      </c>
      <c r="AQ23" s="1" t="s">
        <v>74</v>
      </c>
      <c r="AR23" s="1" t="s">
        <v>74</v>
      </c>
      <c r="AS23" s="1" t="s">
        <v>74</v>
      </c>
      <c r="AT23" s="1" t="s">
        <v>172</v>
      </c>
      <c r="AU23" s="1">
        <v>2024.0</v>
      </c>
      <c r="AV23" s="1">
        <v>8.0</v>
      </c>
      <c r="AW23" s="1">
        <v>11.0</v>
      </c>
      <c r="AX23" s="1" t="s">
        <v>74</v>
      </c>
      <c r="AY23" s="1" t="s">
        <v>74</v>
      </c>
      <c r="AZ23" s="1" t="s">
        <v>74</v>
      </c>
      <c r="BA23" s="1" t="s">
        <v>74</v>
      </c>
      <c r="BB23" s="1" t="s">
        <v>74</v>
      </c>
      <c r="BC23" s="1" t="s">
        <v>74</v>
      </c>
      <c r="BD23" s="1">
        <v>141.0</v>
      </c>
      <c r="BE23" s="1" t="s">
        <v>325</v>
      </c>
      <c r="BF23" s="2" t="str">
        <f>HYPERLINK("http://dx.doi.org/10.3390/bdcc8110141","http://dx.doi.org/10.3390/bdcc8110141")</f>
        <v>http://dx.doi.org/10.3390/bdcc8110141</v>
      </c>
      <c r="BG23" s="1" t="s">
        <v>74</v>
      </c>
      <c r="BH23" s="1" t="s">
        <v>74</v>
      </c>
      <c r="BI23" s="1" t="s">
        <v>74</v>
      </c>
      <c r="BJ23" s="1" t="s">
        <v>74</v>
      </c>
      <c r="BK23" s="1" t="s">
        <v>74</v>
      </c>
      <c r="BL23" s="1" t="s">
        <v>174</v>
      </c>
      <c r="BM23" s="1" t="s">
        <v>74</v>
      </c>
      <c r="BN23" s="1" t="s">
        <v>74</v>
      </c>
      <c r="BO23" s="1" t="s">
        <v>153</v>
      </c>
      <c r="BP23" s="1" t="s">
        <v>74</v>
      </c>
      <c r="BQ23" s="1" t="s">
        <v>74</v>
      </c>
      <c r="BR23" s="1" t="s">
        <v>74</v>
      </c>
      <c r="BS23" s="1" t="s">
        <v>326</v>
      </c>
      <c r="BT23" s="1" t="str">
        <f>HYPERLINK("https%3A%2F%2Fwww.webofscience.com%2Fwos%2Fwoscc%2Ffull-record%2FWOS:001363976700001","View Full Record in Web of Science")</f>
        <v>View Full Record in Web of Science</v>
      </c>
    </row>
    <row r="24" ht="12.75" customHeight="1">
      <c r="A24" s="1" t="s">
        <v>72</v>
      </c>
      <c r="B24" s="1" t="s">
        <v>327</v>
      </c>
      <c r="C24" s="1" t="s">
        <v>74</v>
      </c>
      <c r="D24" s="1" t="s">
        <v>74</v>
      </c>
      <c r="E24" s="1" t="s">
        <v>74</v>
      </c>
      <c r="F24" s="1" t="s">
        <v>328</v>
      </c>
      <c r="G24" s="1" t="s">
        <v>74</v>
      </c>
      <c r="H24" s="1" t="s">
        <v>74</v>
      </c>
      <c r="I24" s="1" t="s">
        <v>329</v>
      </c>
      <c r="J24" s="1" t="s">
        <v>330</v>
      </c>
      <c r="K24" s="1" t="s">
        <v>74</v>
      </c>
      <c r="L24" s="1" t="s">
        <v>74</v>
      </c>
      <c r="M24" s="1" t="s">
        <v>74</v>
      </c>
      <c r="N24" s="1" t="s">
        <v>78</v>
      </c>
      <c r="O24" s="1" t="s">
        <v>74</v>
      </c>
      <c r="P24" s="1" t="s">
        <v>74</v>
      </c>
      <c r="Q24" s="1" t="s">
        <v>74</v>
      </c>
      <c r="R24" s="1" t="s">
        <v>74</v>
      </c>
      <c r="S24" s="1" t="s">
        <v>74</v>
      </c>
      <c r="T24" s="1" t="s">
        <v>331</v>
      </c>
      <c r="U24" s="1" t="s">
        <v>332</v>
      </c>
      <c r="V24" s="1" t="s">
        <v>333</v>
      </c>
      <c r="W24" s="1" t="s">
        <v>74</v>
      </c>
      <c r="X24" s="1" t="s">
        <v>74</v>
      </c>
      <c r="Y24" s="1" t="s">
        <v>74</v>
      </c>
      <c r="Z24" s="1" t="s">
        <v>74</v>
      </c>
      <c r="AA24" s="1" t="s">
        <v>74</v>
      </c>
      <c r="AB24" s="1" t="s">
        <v>74</v>
      </c>
      <c r="AC24" s="1" t="s">
        <v>74</v>
      </c>
      <c r="AD24" s="1" t="s">
        <v>74</v>
      </c>
      <c r="AE24" s="1" t="s">
        <v>74</v>
      </c>
      <c r="AF24" s="1" t="s">
        <v>74</v>
      </c>
      <c r="AG24" s="1" t="s">
        <v>74</v>
      </c>
      <c r="AH24" s="1" t="s">
        <v>74</v>
      </c>
      <c r="AI24" s="1" t="s">
        <v>74</v>
      </c>
      <c r="AJ24" s="1" t="s">
        <v>74</v>
      </c>
      <c r="AK24" s="1" t="s">
        <v>74</v>
      </c>
      <c r="AL24" s="1" t="s">
        <v>74</v>
      </c>
      <c r="AM24" s="1" t="s">
        <v>74</v>
      </c>
      <c r="AN24" s="1" t="s">
        <v>74</v>
      </c>
      <c r="AO24" s="1" t="s">
        <v>74</v>
      </c>
      <c r="AP24" s="1" t="s">
        <v>334</v>
      </c>
      <c r="AQ24" s="1" t="s">
        <v>74</v>
      </c>
      <c r="AR24" s="1" t="s">
        <v>74</v>
      </c>
      <c r="AS24" s="1" t="s">
        <v>74</v>
      </c>
      <c r="AT24" s="1" t="s">
        <v>335</v>
      </c>
      <c r="AU24" s="1">
        <v>2023.0</v>
      </c>
      <c r="AV24" s="1">
        <v>1.0</v>
      </c>
      <c r="AW24" s="1">
        <v>1.0</v>
      </c>
      <c r="AX24" s="1" t="s">
        <v>74</v>
      </c>
      <c r="AY24" s="1" t="s">
        <v>74</v>
      </c>
      <c r="AZ24" s="1" t="s">
        <v>74</v>
      </c>
      <c r="BA24" s="1" t="s">
        <v>74</v>
      </c>
      <c r="BB24" s="1" t="s">
        <v>74</v>
      </c>
      <c r="BC24" s="1" t="s">
        <v>74</v>
      </c>
      <c r="BD24" s="1">
        <v>100007.0</v>
      </c>
      <c r="BE24" s="1" t="s">
        <v>336</v>
      </c>
      <c r="BF24" s="2" t="str">
        <f>HYPERLINK("http://dx.doi.org/10.1016/j.metrad.2023.100007","http://dx.doi.org/10.1016/j.metrad.2023.100007")</f>
        <v>http://dx.doi.org/10.1016/j.metrad.2023.100007</v>
      </c>
      <c r="BG24" s="1" t="s">
        <v>74</v>
      </c>
      <c r="BH24" s="1" t="s">
        <v>74</v>
      </c>
      <c r="BI24" s="1" t="s">
        <v>74</v>
      </c>
      <c r="BJ24" s="1" t="s">
        <v>74</v>
      </c>
      <c r="BK24" s="1" t="s">
        <v>74</v>
      </c>
      <c r="BL24" s="1" t="s">
        <v>337</v>
      </c>
      <c r="BM24" s="1" t="s">
        <v>74</v>
      </c>
      <c r="BN24" s="1" t="s">
        <v>74</v>
      </c>
      <c r="BO24" s="1" t="s">
        <v>153</v>
      </c>
      <c r="BP24" s="1" t="s">
        <v>74</v>
      </c>
      <c r="BQ24" s="1" t="s">
        <v>74</v>
      </c>
      <c r="BR24" s="1" t="s">
        <v>74</v>
      </c>
      <c r="BS24" s="1" t="s">
        <v>338</v>
      </c>
      <c r="BT24" s="1" t="str">
        <f>HYPERLINK("https%3A%2F%2Fwww.webofscience.com%2Fwos%2Fwoscc%2Ffull-record%2FWOS:001577808600001","View Full Record in Web of Science")</f>
        <v>View Full Record in Web of Science</v>
      </c>
    </row>
    <row r="25" ht="12.75" customHeight="1">
      <c r="A25" s="1" t="s">
        <v>72</v>
      </c>
      <c r="B25" s="1" t="s">
        <v>339</v>
      </c>
      <c r="C25" s="1" t="s">
        <v>74</v>
      </c>
      <c r="D25" s="1" t="s">
        <v>74</v>
      </c>
      <c r="E25" s="1" t="s">
        <v>74</v>
      </c>
      <c r="F25" s="1" t="s">
        <v>340</v>
      </c>
      <c r="G25" s="1" t="s">
        <v>74</v>
      </c>
      <c r="H25" s="1" t="s">
        <v>74</v>
      </c>
      <c r="I25" s="1" t="s">
        <v>341</v>
      </c>
      <c r="J25" s="1" t="s">
        <v>342</v>
      </c>
      <c r="K25" s="1" t="s">
        <v>74</v>
      </c>
      <c r="L25" s="1" t="s">
        <v>74</v>
      </c>
      <c r="M25" s="1" t="s">
        <v>74</v>
      </c>
      <c r="N25" s="1" t="s">
        <v>78</v>
      </c>
      <c r="O25" s="1" t="s">
        <v>74</v>
      </c>
      <c r="P25" s="1" t="s">
        <v>74</v>
      </c>
      <c r="Q25" s="1" t="s">
        <v>74</v>
      </c>
      <c r="R25" s="1" t="s">
        <v>74</v>
      </c>
      <c r="S25" s="1" t="s">
        <v>74</v>
      </c>
      <c r="T25" s="1" t="s">
        <v>343</v>
      </c>
      <c r="U25" s="1" t="s">
        <v>74</v>
      </c>
      <c r="V25" s="1" t="s">
        <v>344</v>
      </c>
      <c r="W25" s="1" t="s">
        <v>74</v>
      </c>
      <c r="X25" s="1" t="s">
        <v>74</v>
      </c>
      <c r="Y25" s="1" t="s">
        <v>74</v>
      </c>
      <c r="Z25" s="1" t="s">
        <v>74</v>
      </c>
      <c r="AA25" s="1" t="s">
        <v>74</v>
      </c>
      <c r="AB25" s="1" t="s">
        <v>74</v>
      </c>
      <c r="AC25" s="1" t="s">
        <v>74</v>
      </c>
      <c r="AD25" s="1" t="s">
        <v>74</v>
      </c>
      <c r="AE25" s="1" t="s">
        <v>74</v>
      </c>
      <c r="AF25" s="1" t="s">
        <v>74</v>
      </c>
      <c r="AG25" s="1" t="s">
        <v>74</v>
      </c>
      <c r="AH25" s="1" t="s">
        <v>74</v>
      </c>
      <c r="AI25" s="1" t="s">
        <v>74</v>
      </c>
      <c r="AJ25" s="1" t="s">
        <v>74</v>
      </c>
      <c r="AK25" s="1" t="s">
        <v>74</v>
      </c>
      <c r="AL25" s="1" t="s">
        <v>74</v>
      </c>
      <c r="AM25" s="1" t="s">
        <v>74</v>
      </c>
      <c r="AN25" s="1" t="s">
        <v>74</v>
      </c>
      <c r="AO25" s="1" t="s">
        <v>74</v>
      </c>
      <c r="AP25" s="1" t="s">
        <v>345</v>
      </c>
      <c r="AQ25" s="1" t="s">
        <v>74</v>
      </c>
      <c r="AR25" s="1" t="s">
        <v>74</v>
      </c>
      <c r="AS25" s="1" t="s">
        <v>74</v>
      </c>
      <c r="AT25" s="1" t="s">
        <v>84</v>
      </c>
      <c r="AU25" s="1">
        <v>2025.0</v>
      </c>
      <c r="AV25" s="1">
        <v>46.0</v>
      </c>
      <c r="AW25" s="1" t="s">
        <v>74</v>
      </c>
      <c r="AX25" s="1" t="s">
        <v>74</v>
      </c>
      <c r="AY25" s="1" t="s">
        <v>74</v>
      </c>
      <c r="AZ25" s="1" t="s">
        <v>74</v>
      </c>
      <c r="BA25" s="1" t="s">
        <v>74</v>
      </c>
      <c r="BB25" s="1" t="s">
        <v>74</v>
      </c>
      <c r="BC25" s="1" t="s">
        <v>74</v>
      </c>
      <c r="BD25" s="1">
        <v>100311.0</v>
      </c>
      <c r="BE25" s="1" t="s">
        <v>346</v>
      </c>
      <c r="BF25" s="2" t="str">
        <f>HYPERLINK("http://dx.doi.org/10.1016/j.osnem.2025.100311","http://dx.doi.org/10.1016/j.osnem.2025.100311")</f>
        <v>http://dx.doi.org/10.1016/j.osnem.2025.100311</v>
      </c>
      <c r="BG25" s="1" t="s">
        <v>74</v>
      </c>
      <c r="BH25" s="1" t="s">
        <v>347</v>
      </c>
      <c r="BI25" s="1" t="s">
        <v>74</v>
      </c>
      <c r="BJ25" s="1" t="s">
        <v>74</v>
      </c>
      <c r="BK25" s="1" t="s">
        <v>74</v>
      </c>
      <c r="BL25" s="1" t="s">
        <v>348</v>
      </c>
      <c r="BM25" s="1" t="s">
        <v>74</v>
      </c>
      <c r="BN25" s="1" t="s">
        <v>74</v>
      </c>
      <c r="BO25" s="1" t="s">
        <v>74</v>
      </c>
      <c r="BP25" s="1" t="s">
        <v>74</v>
      </c>
      <c r="BQ25" s="1" t="s">
        <v>74</v>
      </c>
      <c r="BR25" s="1" t="s">
        <v>74</v>
      </c>
      <c r="BS25" s="1" t="s">
        <v>349</v>
      </c>
      <c r="BT25" s="1" t="str">
        <f>HYPERLINK("https%3A%2F%2Fwww.webofscience.com%2Fwos%2Fwoscc%2Ffull-record%2FWOS:001452980700001","View Full Record in Web of Science")</f>
        <v>View Full Record in Web of Science</v>
      </c>
    </row>
    <row r="26" ht="12.75" customHeight="1">
      <c r="A26" s="1" t="s">
        <v>72</v>
      </c>
      <c r="B26" s="1" t="s">
        <v>350</v>
      </c>
      <c r="C26" s="1" t="s">
        <v>74</v>
      </c>
      <c r="D26" s="1" t="s">
        <v>74</v>
      </c>
      <c r="E26" s="1" t="s">
        <v>74</v>
      </c>
      <c r="F26" s="1" t="s">
        <v>351</v>
      </c>
      <c r="G26" s="1" t="s">
        <v>74</v>
      </c>
      <c r="H26" s="1" t="s">
        <v>74</v>
      </c>
      <c r="I26" s="1" t="s">
        <v>352</v>
      </c>
      <c r="J26" s="1" t="s">
        <v>353</v>
      </c>
      <c r="K26" s="1" t="s">
        <v>74</v>
      </c>
      <c r="L26" s="1" t="s">
        <v>74</v>
      </c>
      <c r="M26" s="1" t="s">
        <v>74</v>
      </c>
      <c r="N26" s="1" t="s">
        <v>78</v>
      </c>
      <c r="O26" s="1" t="s">
        <v>74</v>
      </c>
      <c r="P26" s="1" t="s">
        <v>74</v>
      </c>
      <c r="Q26" s="1" t="s">
        <v>74</v>
      </c>
      <c r="R26" s="1" t="s">
        <v>74</v>
      </c>
      <c r="S26" s="1" t="s">
        <v>74</v>
      </c>
      <c r="T26" s="1" t="s">
        <v>74</v>
      </c>
      <c r="U26" s="1" t="s">
        <v>354</v>
      </c>
      <c r="V26" s="1" t="s">
        <v>355</v>
      </c>
      <c r="W26" s="1" t="s">
        <v>74</v>
      </c>
      <c r="X26" s="1" t="s">
        <v>74</v>
      </c>
      <c r="Y26" s="1" t="s">
        <v>74</v>
      </c>
      <c r="Z26" s="1" t="s">
        <v>74</v>
      </c>
      <c r="AA26" s="1" t="s">
        <v>74</v>
      </c>
      <c r="AB26" s="1" t="s">
        <v>74</v>
      </c>
      <c r="AC26" s="1" t="s">
        <v>74</v>
      </c>
      <c r="AD26" s="1" t="s">
        <v>74</v>
      </c>
      <c r="AE26" s="1" t="s">
        <v>74</v>
      </c>
      <c r="AF26" s="1" t="s">
        <v>74</v>
      </c>
      <c r="AG26" s="1" t="s">
        <v>74</v>
      </c>
      <c r="AH26" s="1" t="s">
        <v>74</v>
      </c>
      <c r="AI26" s="1" t="s">
        <v>74</v>
      </c>
      <c r="AJ26" s="1" t="s">
        <v>74</v>
      </c>
      <c r="AK26" s="1" t="s">
        <v>74</v>
      </c>
      <c r="AL26" s="1" t="s">
        <v>74</v>
      </c>
      <c r="AM26" s="1" t="s">
        <v>74</v>
      </c>
      <c r="AN26" s="1" t="s">
        <v>74</v>
      </c>
      <c r="AO26" s="1" t="s">
        <v>74</v>
      </c>
      <c r="AP26" s="1" t="s">
        <v>356</v>
      </c>
      <c r="AQ26" s="1" t="s">
        <v>74</v>
      </c>
      <c r="AR26" s="1" t="s">
        <v>74</v>
      </c>
      <c r="AS26" s="1" t="s">
        <v>74</v>
      </c>
      <c r="AT26" s="1" t="s">
        <v>357</v>
      </c>
      <c r="AU26" s="1">
        <v>2023.0</v>
      </c>
      <c r="AV26" s="1">
        <v>3.0</v>
      </c>
      <c r="AW26" s="1">
        <v>10.0</v>
      </c>
      <c r="AX26" s="1" t="s">
        <v>74</v>
      </c>
      <c r="AY26" s="1" t="s">
        <v>74</v>
      </c>
      <c r="AZ26" s="1" t="s">
        <v>74</v>
      </c>
      <c r="BA26" s="1" t="s">
        <v>74</v>
      </c>
      <c r="BB26" s="1">
        <v>833.0</v>
      </c>
      <c r="BC26" s="1" t="s">
        <v>358</v>
      </c>
      <c r="BD26" s="1" t="s">
        <v>74</v>
      </c>
      <c r="BE26" s="1" t="s">
        <v>359</v>
      </c>
      <c r="BF26" s="2" t="str">
        <f>HYPERLINK("http://dx.doi.org/10.1038/s43588-023-00527-x","http://dx.doi.org/10.1038/s43588-023-00527-x")</f>
        <v>http://dx.doi.org/10.1038/s43588-023-00527-x</v>
      </c>
      <c r="BG26" s="1" t="s">
        <v>74</v>
      </c>
      <c r="BH26" s="1" t="s">
        <v>360</v>
      </c>
      <c r="BI26" s="1" t="s">
        <v>74</v>
      </c>
      <c r="BJ26" s="1" t="s">
        <v>74</v>
      </c>
      <c r="BK26" s="1" t="s">
        <v>74</v>
      </c>
      <c r="BL26" s="1" t="s">
        <v>361</v>
      </c>
      <c r="BM26" s="1" t="s">
        <v>74</v>
      </c>
      <c r="BN26" s="1" t="s">
        <v>74</v>
      </c>
      <c r="BO26" s="1" t="s">
        <v>114</v>
      </c>
      <c r="BP26" s="1" t="s">
        <v>74</v>
      </c>
      <c r="BQ26" s="1" t="s">
        <v>74</v>
      </c>
      <c r="BR26" s="1" t="s">
        <v>74</v>
      </c>
      <c r="BS26" s="1" t="s">
        <v>362</v>
      </c>
      <c r="BT26" s="1" t="str">
        <f>HYPERLINK("https%3A%2F%2Fwww.webofscience.com%2Fwos%2Fwoscc%2Ffull-record%2FWOS:001119334100001","View Full Record in Web of Science")</f>
        <v>View Full Record in Web of Science</v>
      </c>
    </row>
    <row r="27" ht="12.75" customHeight="1">
      <c r="A27" s="1" t="s">
        <v>72</v>
      </c>
      <c r="B27" s="1" t="s">
        <v>363</v>
      </c>
      <c r="C27" s="1" t="s">
        <v>74</v>
      </c>
      <c r="D27" s="1" t="s">
        <v>74</v>
      </c>
      <c r="E27" s="1" t="s">
        <v>74</v>
      </c>
      <c r="F27" s="1" t="s">
        <v>364</v>
      </c>
      <c r="G27" s="1" t="s">
        <v>74</v>
      </c>
      <c r="H27" s="1" t="s">
        <v>74</v>
      </c>
      <c r="I27" s="1" t="s">
        <v>365</v>
      </c>
      <c r="J27" s="1" t="s">
        <v>147</v>
      </c>
      <c r="K27" s="1" t="s">
        <v>74</v>
      </c>
      <c r="L27" s="1" t="s">
        <v>74</v>
      </c>
      <c r="M27" s="1" t="s">
        <v>74</v>
      </c>
      <c r="N27" s="1" t="s">
        <v>78</v>
      </c>
      <c r="O27" s="1" t="s">
        <v>74</v>
      </c>
      <c r="P27" s="1" t="s">
        <v>74</v>
      </c>
      <c r="Q27" s="1" t="s">
        <v>74</v>
      </c>
      <c r="R27" s="1" t="s">
        <v>74</v>
      </c>
      <c r="S27" s="1" t="s">
        <v>74</v>
      </c>
      <c r="T27" s="1" t="s">
        <v>366</v>
      </c>
      <c r="U27" s="1" t="s">
        <v>74</v>
      </c>
      <c r="V27" s="1" t="s">
        <v>367</v>
      </c>
      <c r="W27" s="1" t="s">
        <v>74</v>
      </c>
      <c r="X27" s="1" t="s">
        <v>74</v>
      </c>
      <c r="Y27" s="1" t="s">
        <v>74</v>
      </c>
      <c r="Z27" s="1" t="s">
        <v>74</v>
      </c>
      <c r="AA27" s="1" t="s">
        <v>74</v>
      </c>
      <c r="AB27" s="1" t="s">
        <v>74</v>
      </c>
      <c r="AC27" s="1" t="s">
        <v>74</v>
      </c>
      <c r="AD27" s="1" t="s">
        <v>74</v>
      </c>
      <c r="AE27" s="1" t="s">
        <v>74</v>
      </c>
      <c r="AF27" s="1" t="s">
        <v>74</v>
      </c>
      <c r="AG27" s="1" t="s">
        <v>74</v>
      </c>
      <c r="AH27" s="1" t="s">
        <v>74</v>
      </c>
      <c r="AI27" s="1" t="s">
        <v>74</v>
      </c>
      <c r="AJ27" s="1" t="s">
        <v>74</v>
      </c>
      <c r="AK27" s="1" t="s">
        <v>74</v>
      </c>
      <c r="AL27" s="1" t="s">
        <v>74</v>
      </c>
      <c r="AM27" s="1" t="s">
        <v>74</v>
      </c>
      <c r="AN27" s="1" t="s">
        <v>74</v>
      </c>
      <c r="AO27" s="1" t="s">
        <v>150</v>
      </c>
      <c r="AP27" s="1" t="s">
        <v>74</v>
      </c>
      <c r="AQ27" s="1" t="s">
        <v>74</v>
      </c>
      <c r="AR27" s="1" t="s">
        <v>74</v>
      </c>
      <c r="AS27" s="1" t="s">
        <v>74</v>
      </c>
      <c r="AT27" s="1" t="s">
        <v>74</v>
      </c>
      <c r="AU27" s="1">
        <v>2025.0</v>
      </c>
      <c r="AV27" s="1">
        <v>13.0</v>
      </c>
      <c r="AW27" s="1" t="s">
        <v>74</v>
      </c>
      <c r="AX27" s="1" t="s">
        <v>74</v>
      </c>
      <c r="AY27" s="1" t="s">
        <v>74</v>
      </c>
      <c r="AZ27" s="1" t="s">
        <v>74</v>
      </c>
      <c r="BA27" s="1" t="s">
        <v>74</v>
      </c>
      <c r="BB27" s="1">
        <v>13312.0</v>
      </c>
      <c r="BC27" s="1">
        <v>13328.0</v>
      </c>
      <c r="BD27" s="1" t="s">
        <v>74</v>
      </c>
      <c r="BE27" s="1" t="s">
        <v>368</v>
      </c>
      <c r="BF27" s="2" t="str">
        <f>HYPERLINK("http://dx.doi.org/10.1109/ACCESS.2025.3530949","http://dx.doi.org/10.1109/ACCESS.2025.3530949")</f>
        <v>http://dx.doi.org/10.1109/ACCESS.2025.3530949</v>
      </c>
      <c r="BG27" s="1" t="s">
        <v>74</v>
      </c>
      <c r="BH27" s="1" t="s">
        <v>74</v>
      </c>
      <c r="BI27" s="1" t="s">
        <v>74</v>
      </c>
      <c r="BJ27" s="1" t="s">
        <v>74</v>
      </c>
      <c r="BK27" s="1" t="s">
        <v>74</v>
      </c>
      <c r="BL27" s="1" t="s">
        <v>152</v>
      </c>
      <c r="BM27" s="1" t="s">
        <v>74</v>
      </c>
      <c r="BN27" s="1" t="s">
        <v>74</v>
      </c>
      <c r="BO27" s="1" t="s">
        <v>153</v>
      </c>
      <c r="BP27" s="1" t="s">
        <v>74</v>
      </c>
      <c r="BQ27" s="1" t="s">
        <v>74</v>
      </c>
      <c r="BR27" s="1" t="s">
        <v>74</v>
      </c>
      <c r="BS27" s="1" t="s">
        <v>369</v>
      </c>
      <c r="BT27" s="1" t="str">
        <f>HYPERLINK("https%3A%2F%2Fwww.webofscience.com%2Fwos%2Fwoscc%2Ffull-record%2FWOS:001405883900034","View Full Record in Web of Science")</f>
        <v>View Full Record in Web of Science</v>
      </c>
    </row>
    <row r="28" ht="12.75" customHeight="1">
      <c r="A28" s="1" t="s">
        <v>72</v>
      </c>
      <c r="B28" s="1" t="s">
        <v>370</v>
      </c>
      <c r="C28" s="1" t="s">
        <v>74</v>
      </c>
      <c r="D28" s="1" t="s">
        <v>74</v>
      </c>
      <c r="E28" s="1" t="s">
        <v>74</v>
      </c>
      <c r="F28" s="1" t="s">
        <v>371</v>
      </c>
      <c r="G28" s="1" t="s">
        <v>74</v>
      </c>
      <c r="H28" s="1" t="s">
        <v>74</v>
      </c>
      <c r="I28" s="1" t="s">
        <v>372</v>
      </c>
      <c r="J28" s="1" t="s">
        <v>147</v>
      </c>
      <c r="K28" s="1" t="s">
        <v>74</v>
      </c>
      <c r="L28" s="1" t="s">
        <v>74</v>
      </c>
      <c r="M28" s="1" t="s">
        <v>74</v>
      </c>
      <c r="N28" s="1" t="s">
        <v>78</v>
      </c>
      <c r="O28" s="1" t="s">
        <v>74</v>
      </c>
      <c r="P28" s="1" t="s">
        <v>74</v>
      </c>
      <c r="Q28" s="1" t="s">
        <v>74</v>
      </c>
      <c r="R28" s="1" t="s">
        <v>74</v>
      </c>
      <c r="S28" s="1" t="s">
        <v>74</v>
      </c>
      <c r="T28" s="1" t="s">
        <v>373</v>
      </c>
      <c r="U28" s="1" t="s">
        <v>74</v>
      </c>
      <c r="V28" s="1" t="s">
        <v>374</v>
      </c>
      <c r="W28" s="1" t="s">
        <v>74</v>
      </c>
      <c r="X28" s="1" t="s">
        <v>74</v>
      </c>
      <c r="Y28" s="1" t="s">
        <v>74</v>
      </c>
      <c r="Z28" s="1" t="s">
        <v>74</v>
      </c>
      <c r="AA28" s="1" t="s">
        <v>74</v>
      </c>
      <c r="AB28" s="1" t="s">
        <v>74</v>
      </c>
      <c r="AC28" s="1" t="s">
        <v>74</v>
      </c>
      <c r="AD28" s="1" t="s">
        <v>74</v>
      </c>
      <c r="AE28" s="1" t="s">
        <v>74</v>
      </c>
      <c r="AF28" s="1" t="s">
        <v>74</v>
      </c>
      <c r="AG28" s="1" t="s">
        <v>74</v>
      </c>
      <c r="AH28" s="1" t="s">
        <v>74</v>
      </c>
      <c r="AI28" s="1" t="s">
        <v>74</v>
      </c>
      <c r="AJ28" s="1" t="s">
        <v>74</v>
      </c>
      <c r="AK28" s="1" t="s">
        <v>74</v>
      </c>
      <c r="AL28" s="1" t="s">
        <v>74</v>
      </c>
      <c r="AM28" s="1" t="s">
        <v>74</v>
      </c>
      <c r="AN28" s="1" t="s">
        <v>74</v>
      </c>
      <c r="AO28" s="1" t="s">
        <v>150</v>
      </c>
      <c r="AP28" s="1" t="s">
        <v>74</v>
      </c>
      <c r="AQ28" s="1" t="s">
        <v>74</v>
      </c>
      <c r="AR28" s="1" t="s">
        <v>74</v>
      </c>
      <c r="AS28" s="1" t="s">
        <v>74</v>
      </c>
      <c r="AT28" s="1" t="s">
        <v>74</v>
      </c>
      <c r="AU28" s="1">
        <v>2025.0</v>
      </c>
      <c r="AV28" s="1">
        <v>13.0</v>
      </c>
      <c r="AW28" s="1" t="s">
        <v>74</v>
      </c>
      <c r="AX28" s="1" t="s">
        <v>74</v>
      </c>
      <c r="AY28" s="1" t="s">
        <v>74</v>
      </c>
      <c r="AZ28" s="1" t="s">
        <v>74</v>
      </c>
      <c r="BA28" s="1" t="s">
        <v>74</v>
      </c>
      <c r="BB28" s="1">
        <v>150951.0</v>
      </c>
      <c r="BC28" s="1">
        <v>150969.0</v>
      </c>
      <c r="BD28" s="1" t="s">
        <v>74</v>
      </c>
      <c r="BE28" s="1" t="s">
        <v>375</v>
      </c>
      <c r="BF28" s="2" t="str">
        <f>HYPERLINK("http://dx.doi.org/10.1109/ACCESS.2025.3599922","http://dx.doi.org/10.1109/ACCESS.2025.3599922")</f>
        <v>http://dx.doi.org/10.1109/ACCESS.2025.3599922</v>
      </c>
      <c r="BG28" s="1" t="s">
        <v>74</v>
      </c>
      <c r="BH28" s="1" t="s">
        <v>74</v>
      </c>
      <c r="BI28" s="1" t="s">
        <v>74</v>
      </c>
      <c r="BJ28" s="1" t="s">
        <v>74</v>
      </c>
      <c r="BK28" s="1" t="s">
        <v>74</v>
      </c>
      <c r="BL28" s="1" t="s">
        <v>152</v>
      </c>
      <c r="BM28" s="1" t="s">
        <v>74</v>
      </c>
      <c r="BN28" s="1" t="s">
        <v>74</v>
      </c>
      <c r="BO28" s="1" t="s">
        <v>153</v>
      </c>
      <c r="BP28" s="1" t="s">
        <v>74</v>
      </c>
      <c r="BQ28" s="1" t="s">
        <v>74</v>
      </c>
      <c r="BR28" s="1" t="s">
        <v>74</v>
      </c>
      <c r="BS28" s="1" t="s">
        <v>376</v>
      </c>
      <c r="BT28" s="1" t="str">
        <f>HYPERLINK("https%3A%2F%2Fwww.webofscience.com%2Fwos%2Fwoscc%2Ffull-record%2FWOS:001562578800012","View Full Record in Web of Science")</f>
        <v>View Full Record in Web of Science</v>
      </c>
    </row>
    <row r="29" ht="12.75" customHeight="1">
      <c r="A29" s="1" t="s">
        <v>72</v>
      </c>
      <c r="B29" s="1" t="s">
        <v>377</v>
      </c>
      <c r="C29" s="1" t="s">
        <v>74</v>
      </c>
      <c r="D29" s="1" t="s">
        <v>74</v>
      </c>
      <c r="E29" s="1" t="s">
        <v>74</v>
      </c>
      <c r="F29" s="1" t="s">
        <v>378</v>
      </c>
      <c r="G29" s="1" t="s">
        <v>74</v>
      </c>
      <c r="H29" s="1" t="s">
        <v>74</v>
      </c>
      <c r="I29" s="1" t="s">
        <v>379</v>
      </c>
      <c r="J29" s="1" t="s">
        <v>281</v>
      </c>
      <c r="K29" s="1" t="s">
        <v>74</v>
      </c>
      <c r="L29" s="1" t="s">
        <v>74</v>
      </c>
      <c r="M29" s="1" t="s">
        <v>74</v>
      </c>
      <c r="N29" s="1" t="s">
        <v>158</v>
      </c>
      <c r="O29" s="1" t="s">
        <v>74</v>
      </c>
      <c r="P29" s="1" t="s">
        <v>74</v>
      </c>
      <c r="Q29" s="1" t="s">
        <v>74</v>
      </c>
      <c r="R29" s="1" t="s">
        <v>74</v>
      </c>
      <c r="S29" s="1" t="s">
        <v>74</v>
      </c>
      <c r="T29" s="1" t="s">
        <v>380</v>
      </c>
      <c r="U29" s="1" t="s">
        <v>74</v>
      </c>
      <c r="V29" s="1" t="s">
        <v>381</v>
      </c>
      <c r="W29" s="1" t="s">
        <v>74</v>
      </c>
      <c r="X29" s="1" t="s">
        <v>74</v>
      </c>
      <c r="Y29" s="1" t="s">
        <v>74</v>
      </c>
      <c r="Z29" s="1" t="s">
        <v>74</v>
      </c>
      <c r="AA29" s="1" t="s">
        <v>74</v>
      </c>
      <c r="AB29" s="1" t="s">
        <v>74</v>
      </c>
      <c r="AC29" s="1" t="s">
        <v>74</v>
      </c>
      <c r="AD29" s="1" t="s">
        <v>74</v>
      </c>
      <c r="AE29" s="1" t="s">
        <v>74</v>
      </c>
      <c r="AF29" s="1" t="s">
        <v>74</v>
      </c>
      <c r="AG29" s="1" t="s">
        <v>74</v>
      </c>
      <c r="AH29" s="1" t="s">
        <v>74</v>
      </c>
      <c r="AI29" s="1" t="s">
        <v>74</v>
      </c>
      <c r="AJ29" s="1" t="s">
        <v>74</v>
      </c>
      <c r="AK29" s="1" t="s">
        <v>74</v>
      </c>
      <c r="AL29" s="1" t="s">
        <v>74</v>
      </c>
      <c r="AM29" s="1" t="s">
        <v>74</v>
      </c>
      <c r="AN29" s="1" t="s">
        <v>74</v>
      </c>
      <c r="AO29" s="1" t="s">
        <v>285</v>
      </c>
      <c r="AP29" s="1" t="s">
        <v>286</v>
      </c>
      <c r="AQ29" s="1" t="s">
        <v>74</v>
      </c>
      <c r="AR29" s="1" t="s">
        <v>74</v>
      </c>
      <c r="AS29" s="1" t="s">
        <v>74</v>
      </c>
      <c r="AT29" s="1" t="s">
        <v>124</v>
      </c>
      <c r="AU29" s="1">
        <v>2025.0</v>
      </c>
      <c r="AV29" s="1">
        <v>32.0</v>
      </c>
      <c r="AW29" s="1">
        <v>4.0</v>
      </c>
      <c r="AX29" s="1" t="s">
        <v>74</v>
      </c>
      <c r="AY29" s="1" t="s">
        <v>74</v>
      </c>
      <c r="AZ29" s="1" t="s">
        <v>74</v>
      </c>
      <c r="BA29" s="1" t="s">
        <v>74</v>
      </c>
      <c r="BB29" s="1">
        <v>761.0</v>
      </c>
      <c r="BC29" s="1">
        <v>772.0</v>
      </c>
      <c r="BD29" s="1" t="s">
        <v>74</v>
      </c>
      <c r="BE29" s="1" t="s">
        <v>382</v>
      </c>
      <c r="BF29" s="2" t="str">
        <f>HYPERLINK("http://dx.doi.org/10.1093/jamia/ocaf029","http://dx.doi.org/10.1093/jamia/ocaf029")</f>
        <v>http://dx.doi.org/10.1093/jamia/ocaf029</v>
      </c>
      <c r="BG29" s="1" t="s">
        <v>74</v>
      </c>
      <c r="BH29" s="1" t="s">
        <v>314</v>
      </c>
      <c r="BI29" s="1" t="s">
        <v>74</v>
      </c>
      <c r="BJ29" s="1" t="s">
        <v>74</v>
      </c>
      <c r="BK29" s="1" t="s">
        <v>74</v>
      </c>
      <c r="BL29" s="1" t="s">
        <v>291</v>
      </c>
      <c r="BM29" s="1" t="s">
        <v>74</v>
      </c>
      <c r="BN29" s="1" t="s">
        <v>74</v>
      </c>
      <c r="BO29" s="1" t="s">
        <v>383</v>
      </c>
      <c r="BP29" s="1" t="s">
        <v>74</v>
      </c>
      <c r="BQ29" s="1" t="s">
        <v>74</v>
      </c>
      <c r="BR29" s="1" t="s">
        <v>74</v>
      </c>
      <c r="BS29" s="1" t="s">
        <v>384</v>
      </c>
      <c r="BT29" s="1" t="str">
        <f>HYPERLINK("https%3A%2F%2Fwww.webofscience.com%2Fwos%2Fwoscc%2Ffull-record%2FWOS:001433188600001","View Full Record in Web of Science")</f>
        <v>View Full Record in Web of Science</v>
      </c>
    </row>
    <row r="30" ht="12.75" customHeight="1">
      <c r="A30" s="1" t="s">
        <v>72</v>
      </c>
      <c r="B30" s="1" t="s">
        <v>385</v>
      </c>
      <c r="C30" s="1" t="s">
        <v>74</v>
      </c>
      <c r="D30" s="1" t="s">
        <v>74</v>
      </c>
      <c r="E30" s="1" t="s">
        <v>74</v>
      </c>
      <c r="F30" s="1" t="s">
        <v>386</v>
      </c>
      <c r="G30" s="1" t="s">
        <v>74</v>
      </c>
      <c r="H30" s="1" t="s">
        <v>74</v>
      </c>
      <c r="I30" s="1" t="s">
        <v>387</v>
      </c>
      <c r="J30" s="1" t="s">
        <v>388</v>
      </c>
      <c r="K30" s="1" t="s">
        <v>74</v>
      </c>
      <c r="L30" s="1" t="s">
        <v>74</v>
      </c>
      <c r="M30" s="1" t="s">
        <v>74</v>
      </c>
      <c r="N30" s="1" t="s">
        <v>78</v>
      </c>
      <c r="O30" s="1" t="s">
        <v>74</v>
      </c>
      <c r="P30" s="1" t="s">
        <v>74</v>
      </c>
      <c r="Q30" s="1" t="s">
        <v>74</v>
      </c>
      <c r="R30" s="1" t="s">
        <v>74</v>
      </c>
      <c r="S30" s="1" t="s">
        <v>74</v>
      </c>
      <c r="T30" s="1" t="s">
        <v>389</v>
      </c>
      <c r="U30" s="1" t="s">
        <v>74</v>
      </c>
      <c r="V30" s="1" t="s">
        <v>390</v>
      </c>
      <c r="W30" s="1" t="s">
        <v>74</v>
      </c>
      <c r="X30" s="1" t="s">
        <v>74</v>
      </c>
      <c r="Y30" s="1" t="s">
        <v>74</v>
      </c>
      <c r="Z30" s="1" t="s">
        <v>74</v>
      </c>
      <c r="AA30" s="1" t="s">
        <v>74</v>
      </c>
      <c r="AB30" s="1" t="s">
        <v>74</v>
      </c>
      <c r="AC30" s="1" t="s">
        <v>74</v>
      </c>
      <c r="AD30" s="1" t="s">
        <v>74</v>
      </c>
      <c r="AE30" s="1" t="s">
        <v>74</v>
      </c>
      <c r="AF30" s="1" t="s">
        <v>74</v>
      </c>
      <c r="AG30" s="1" t="s">
        <v>74</v>
      </c>
      <c r="AH30" s="1" t="s">
        <v>74</v>
      </c>
      <c r="AI30" s="1" t="s">
        <v>74</v>
      </c>
      <c r="AJ30" s="1" t="s">
        <v>74</v>
      </c>
      <c r="AK30" s="1" t="s">
        <v>74</v>
      </c>
      <c r="AL30" s="1" t="s">
        <v>74</v>
      </c>
      <c r="AM30" s="1" t="s">
        <v>74</v>
      </c>
      <c r="AN30" s="1" t="s">
        <v>74</v>
      </c>
      <c r="AO30" s="1" t="s">
        <v>391</v>
      </c>
      <c r="AP30" s="1" t="s">
        <v>74</v>
      </c>
      <c r="AQ30" s="1" t="s">
        <v>74</v>
      </c>
      <c r="AR30" s="1" t="s">
        <v>74</v>
      </c>
      <c r="AS30" s="1" t="s">
        <v>74</v>
      </c>
      <c r="AT30" s="1" t="s">
        <v>392</v>
      </c>
      <c r="AU30" s="1">
        <v>2025.0</v>
      </c>
      <c r="AV30" s="1">
        <v>19.0</v>
      </c>
      <c r="AW30" s="1">
        <v>2.0</v>
      </c>
      <c r="AX30" s="1" t="s">
        <v>74</v>
      </c>
      <c r="AY30" s="1" t="s">
        <v>74</v>
      </c>
      <c r="AZ30" s="1" t="s">
        <v>74</v>
      </c>
      <c r="BA30" s="1" t="s">
        <v>74</v>
      </c>
      <c r="BB30" s="1">
        <v>472.0</v>
      </c>
      <c r="BC30" s="1">
        <v>487.0</v>
      </c>
      <c r="BD30" s="1" t="s">
        <v>74</v>
      </c>
      <c r="BE30" s="1" t="s">
        <v>393</v>
      </c>
      <c r="BF30" s="2" t="str">
        <f>HYPERLINK("http://dx.doi.org/10.3837/tiis.2025.02.006","http://dx.doi.org/10.3837/tiis.2025.02.006")</f>
        <v>http://dx.doi.org/10.3837/tiis.2025.02.006</v>
      </c>
      <c r="BG30" s="1" t="s">
        <v>74</v>
      </c>
      <c r="BH30" s="1" t="s">
        <v>74</v>
      </c>
      <c r="BI30" s="1" t="s">
        <v>74</v>
      </c>
      <c r="BJ30" s="1" t="s">
        <v>74</v>
      </c>
      <c r="BK30" s="1" t="s">
        <v>74</v>
      </c>
      <c r="BL30" s="1" t="s">
        <v>394</v>
      </c>
      <c r="BM30" s="1" t="s">
        <v>74</v>
      </c>
      <c r="BN30" s="1" t="s">
        <v>74</v>
      </c>
      <c r="BO30" s="1" t="s">
        <v>163</v>
      </c>
      <c r="BP30" s="1" t="s">
        <v>74</v>
      </c>
      <c r="BQ30" s="1" t="s">
        <v>74</v>
      </c>
      <c r="BR30" s="1" t="s">
        <v>74</v>
      </c>
      <c r="BS30" s="1" t="s">
        <v>395</v>
      </c>
      <c r="BT30" s="1" t="str">
        <f>HYPERLINK("https%3A%2F%2Fwww.webofscience.com%2Fwos%2Fwoscc%2Ffull-record%2FWOS:001437607800006","View Full Record in Web of Science")</f>
        <v>View Full Record in Web of Science</v>
      </c>
    </row>
    <row r="31" ht="12.75" customHeight="1">
      <c r="A31" s="1" t="s">
        <v>72</v>
      </c>
      <c r="B31" s="1" t="s">
        <v>396</v>
      </c>
      <c r="C31" s="1" t="s">
        <v>74</v>
      </c>
      <c r="D31" s="1" t="s">
        <v>74</v>
      </c>
      <c r="E31" s="1" t="s">
        <v>74</v>
      </c>
      <c r="F31" s="1" t="s">
        <v>397</v>
      </c>
      <c r="G31" s="1" t="s">
        <v>74</v>
      </c>
      <c r="H31" s="1" t="s">
        <v>74</v>
      </c>
      <c r="I31" s="1" t="s">
        <v>398</v>
      </c>
      <c r="J31" s="1" t="s">
        <v>399</v>
      </c>
      <c r="K31" s="1" t="s">
        <v>74</v>
      </c>
      <c r="L31" s="1" t="s">
        <v>74</v>
      </c>
      <c r="M31" s="1" t="s">
        <v>74</v>
      </c>
      <c r="N31" s="1" t="s">
        <v>78</v>
      </c>
      <c r="O31" s="1" t="s">
        <v>74</v>
      </c>
      <c r="P31" s="1" t="s">
        <v>74</v>
      </c>
      <c r="Q31" s="1" t="s">
        <v>74</v>
      </c>
      <c r="R31" s="1" t="s">
        <v>74</v>
      </c>
      <c r="S31" s="1" t="s">
        <v>74</v>
      </c>
      <c r="T31" s="1" t="s">
        <v>400</v>
      </c>
      <c r="U31" s="1" t="s">
        <v>74</v>
      </c>
      <c r="V31" s="1" t="s">
        <v>401</v>
      </c>
      <c r="W31" s="1" t="s">
        <v>74</v>
      </c>
      <c r="X31" s="1" t="s">
        <v>74</v>
      </c>
      <c r="Y31" s="1" t="s">
        <v>74</v>
      </c>
      <c r="Z31" s="1" t="s">
        <v>74</v>
      </c>
      <c r="AA31" s="1" t="s">
        <v>74</v>
      </c>
      <c r="AB31" s="1" t="s">
        <v>74</v>
      </c>
      <c r="AC31" s="1" t="s">
        <v>74</v>
      </c>
      <c r="AD31" s="1" t="s">
        <v>74</v>
      </c>
      <c r="AE31" s="1" t="s">
        <v>74</v>
      </c>
      <c r="AF31" s="1" t="s">
        <v>74</v>
      </c>
      <c r="AG31" s="1" t="s">
        <v>74</v>
      </c>
      <c r="AH31" s="1" t="s">
        <v>74</v>
      </c>
      <c r="AI31" s="1" t="s">
        <v>74</v>
      </c>
      <c r="AJ31" s="1" t="s">
        <v>74</v>
      </c>
      <c r="AK31" s="1" t="s">
        <v>74</v>
      </c>
      <c r="AL31" s="1" t="s">
        <v>74</v>
      </c>
      <c r="AM31" s="1" t="s">
        <v>74</v>
      </c>
      <c r="AN31" s="1" t="s">
        <v>74</v>
      </c>
      <c r="AO31" s="1" t="s">
        <v>402</v>
      </c>
      <c r="AP31" s="1" t="s">
        <v>403</v>
      </c>
      <c r="AQ31" s="1" t="s">
        <v>74</v>
      </c>
      <c r="AR31" s="1" t="s">
        <v>74</v>
      </c>
      <c r="AS31" s="1" t="s">
        <v>74</v>
      </c>
      <c r="AT31" s="1" t="s">
        <v>200</v>
      </c>
      <c r="AU31" s="1">
        <v>2023.0</v>
      </c>
      <c r="AV31" s="1">
        <v>47.0</v>
      </c>
      <c r="AW31" s="1">
        <v>8.0</v>
      </c>
      <c r="AX31" s="1" t="s">
        <v>74</v>
      </c>
      <c r="AY31" s="1" t="s">
        <v>74</v>
      </c>
      <c r="AZ31" s="1" t="s">
        <v>74</v>
      </c>
      <c r="BA31" s="1" t="s">
        <v>74</v>
      </c>
      <c r="BB31" s="1">
        <v>1035.0</v>
      </c>
      <c r="BC31" s="1">
        <v>1055.0</v>
      </c>
      <c r="BD31" s="1" t="s">
        <v>74</v>
      </c>
      <c r="BE31" s="1" t="s">
        <v>404</v>
      </c>
      <c r="BF31" s="2" t="str">
        <f>HYPERLINK("http://dx.doi.org/10.1007/s10514-023-10132-6","http://dx.doi.org/10.1007/s10514-023-10132-6")</f>
        <v>http://dx.doi.org/10.1007/s10514-023-10132-6</v>
      </c>
      <c r="BG31" s="1" t="s">
        <v>74</v>
      </c>
      <c r="BH31" s="1" t="s">
        <v>360</v>
      </c>
      <c r="BI31" s="1" t="s">
        <v>74</v>
      </c>
      <c r="BJ31" s="1" t="s">
        <v>74</v>
      </c>
      <c r="BK31" s="1" t="s">
        <v>74</v>
      </c>
      <c r="BL31" s="1" t="s">
        <v>405</v>
      </c>
      <c r="BM31" s="1" t="s">
        <v>74</v>
      </c>
      <c r="BN31" s="1" t="s">
        <v>74</v>
      </c>
      <c r="BO31" s="1" t="s">
        <v>74</v>
      </c>
      <c r="BP31" s="1" t="s">
        <v>74</v>
      </c>
      <c r="BQ31" s="1" t="s">
        <v>74</v>
      </c>
      <c r="BR31" s="1" t="s">
        <v>74</v>
      </c>
      <c r="BS31" s="1" t="s">
        <v>406</v>
      </c>
      <c r="BT31" s="1" t="str">
        <f>HYPERLINK("https%3A%2F%2Fwww.webofscience.com%2Fwos%2Fwoscc%2Ffull-record%2FWOS:001097671300001","View Full Record in Web of Science")</f>
        <v>View Full Record in Web of Science</v>
      </c>
    </row>
    <row r="32" ht="12.75" customHeight="1">
      <c r="A32" s="1" t="s">
        <v>72</v>
      </c>
      <c r="B32" s="1" t="s">
        <v>407</v>
      </c>
      <c r="C32" s="1" t="s">
        <v>74</v>
      </c>
      <c r="D32" s="1" t="s">
        <v>74</v>
      </c>
      <c r="E32" s="1" t="s">
        <v>74</v>
      </c>
      <c r="F32" s="1" t="s">
        <v>408</v>
      </c>
      <c r="G32" s="1" t="s">
        <v>74</v>
      </c>
      <c r="H32" s="1" t="s">
        <v>74</v>
      </c>
      <c r="I32" s="1" t="s">
        <v>409</v>
      </c>
      <c r="J32" s="1" t="s">
        <v>410</v>
      </c>
      <c r="K32" s="1" t="s">
        <v>74</v>
      </c>
      <c r="L32" s="1" t="s">
        <v>74</v>
      </c>
      <c r="M32" s="1" t="s">
        <v>74</v>
      </c>
      <c r="N32" s="1" t="s">
        <v>78</v>
      </c>
      <c r="O32" s="1" t="s">
        <v>74</v>
      </c>
      <c r="P32" s="1" t="s">
        <v>74</v>
      </c>
      <c r="Q32" s="1" t="s">
        <v>74</v>
      </c>
      <c r="R32" s="1" t="s">
        <v>74</v>
      </c>
      <c r="S32" s="1" t="s">
        <v>74</v>
      </c>
      <c r="T32" s="1" t="s">
        <v>411</v>
      </c>
      <c r="U32" s="1" t="s">
        <v>74</v>
      </c>
      <c r="V32" s="1" t="s">
        <v>412</v>
      </c>
      <c r="W32" s="1" t="s">
        <v>74</v>
      </c>
      <c r="X32" s="1" t="s">
        <v>74</v>
      </c>
      <c r="Y32" s="1" t="s">
        <v>74</v>
      </c>
      <c r="Z32" s="1" t="s">
        <v>74</v>
      </c>
      <c r="AA32" s="1" t="s">
        <v>74</v>
      </c>
      <c r="AB32" s="1" t="s">
        <v>74</v>
      </c>
      <c r="AC32" s="1" t="s">
        <v>74</v>
      </c>
      <c r="AD32" s="1" t="s">
        <v>74</v>
      </c>
      <c r="AE32" s="1" t="s">
        <v>74</v>
      </c>
      <c r="AF32" s="1" t="s">
        <v>74</v>
      </c>
      <c r="AG32" s="1" t="s">
        <v>74</v>
      </c>
      <c r="AH32" s="1" t="s">
        <v>74</v>
      </c>
      <c r="AI32" s="1" t="s">
        <v>74</v>
      </c>
      <c r="AJ32" s="1" t="s">
        <v>74</v>
      </c>
      <c r="AK32" s="1" t="s">
        <v>74</v>
      </c>
      <c r="AL32" s="1" t="s">
        <v>74</v>
      </c>
      <c r="AM32" s="1" t="s">
        <v>74</v>
      </c>
      <c r="AN32" s="1" t="s">
        <v>74</v>
      </c>
      <c r="AO32" s="1" t="s">
        <v>413</v>
      </c>
      <c r="AP32" s="1" t="s">
        <v>414</v>
      </c>
      <c r="AQ32" s="1" t="s">
        <v>74</v>
      </c>
      <c r="AR32" s="1" t="s">
        <v>74</v>
      </c>
      <c r="AS32" s="1" t="s">
        <v>74</v>
      </c>
      <c r="AT32" s="1" t="s">
        <v>139</v>
      </c>
      <c r="AU32" s="1">
        <v>2024.0</v>
      </c>
      <c r="AV32" s="1">
        <v>13.0</v>
      </c>
      <c r="AW32" s="1">
        <v>1.0</v>
      </c>
      <c r="AX32" s="1" t="s">
        <v>74</v>
      </c>
      <c r="AY32" s="1" t="s">
        <v>74</v>
      </c>
      <c r="AZ32" s="1" t="s">
        <v>74</v>
      </c>
      <c r="BA32" s="1" t="s">
        <v>74</v>
      </c>
      <c r="BB32" s="1">
        <v>561.0</v>
      </c>
      <c r="BC32" s="1">
        <v>569.0</v>
      </c>
      <c r="BD32" s="1" t="s">
        <v>74</v>
      </c>
      <c r="BE32" s="1" t="s">
        <v>415</v>
      </c>
      <c r="BF32" s="2" t="str">
        <f>HYPERLINK("http://dx.doi.org/10.18421/TEM131-59","http://dx.doi.org/10.18421/TEM131-59")</f>
        <v>http://dx.doi.org/10.18421/TEM131-59</v>
      </c>
      <c r="BG32" s="1" t="s">
        <v>74</v>
      </c>
      <c r="BH32" s="1" t="s">
        <v>74</v>
      </c>
      <c r="BI32" s="1" t="s">
        <v>74</v>
      </c>
      <c r="BJ32" s="1" t="s">
        <v>74</v>
      </c>
      <c r="BK32" s="1" t="s">
        <v>74</v>
      </c>
      <c r="BL32" s="1" t="s">
        <v>174</v>
      </c>
      <c r="BM32" s="1" t="s">
        <v>74</v>
      </c>
      <c r="BN32" s="1" t="s">
        <v>74</v>
      </c>
      <c r="BO32" s="1" t="s">
        <v>163</v>
      </c>
      <c r="BP32" s="1" t="s">
        <v>74</v>
      </c>
      <c r="BQ32" s="1" t="s">
        <v>74</v>
      </c>
      <c r="BR32" s="1" t="s">
        <v>74</v>
      </c>
      <c r="BS32" s="1" t="s">
        <v>416</v>
      </c>
      <c r="BT32" s="1" t="str">
        <f>HYPERLINK("https%3A%2F%2Fwww.webofscience.com%2Fwos%2Fwoscc%2Ffull-record%2FWOS:001179511200037","View Full Record in Web of Science")</f>
        <v>View Full Record in Web of Science</v>
      </c>
    </row>
    <row r="33" ht="12.75" customHeight="1">
      <c r="A33" s="1" t="s">
        <v>72</v>
      </c>
      <c r="B33" s="1" t="s">
        <v>417</v>
      </c>
      <c r="C33" s="1" t="s">
        <v>74</v>
      </c>
      <c r="D33" s="1" t="s">
        <v>74</v>
      </c>
      <c r="E33" s="1" t="s">
        <v>74</v>
      </c>
      <c r="F33" s="1" t="s">
        <v>418</v>
      </c>
      <c r="G33" s="1" t="s">
        <v>74</v>
      </c>
      <c r="H33" s="1" t="s">
        <v>74</v>
      </c>
      <c r="I33" s="1" t="s">
        <v>419</v>
      </c>
      <c r="J33" s="1" t="s">
        <v>420</v>
      </c>
      <c r="K33" s="1" t="s">
        <v>74</v>
      </c>
      <c r="L33" s="1" t="s">
        <v>74</v>
      </c>
      <c r="M33" s="1" t="s">
        <v>74</v>
      </c>
      <c r="N33" s="1" t="s">
        <v>78</v>
      </c>
      <c r="O33" s="1" t="s">
        <v>74</v>
      </c>
      <c r="P33" s="1" t="s">
        <v>74</v>
      </c>
      <c r="Q33" s="1" t="s">
        <v>74</v>
      </c>
      <c r="R33" s="1" t="s">
        <v>74</v>
      </c>
      <c r="S33" s="1" t="s">
        <v>74</v>
      </c>
      <c r="T33" s="1" t="s">
        <v>421</v>
      </c>
      <c r="U33" s="1" t="s">
        <v>74</v>
      </c>
      <c r="V33" s="1" t="s">
        <v>422</v>
      </c>
      <c r="W33" s="1" t="s">
        <v>74</v>
      </c>
      <c r="X33" s="1" t="s">
        <v>74</v>
      </c>
      <c r="Y33" s="1" t="s">
        <v>74</v>
      </c>
      <c r="Z33" s="1" t="s">
        <v>74</v>
      </c>
      <c r="AA33" s="1" t="s">
        <v>74</v>
      </c>
      <c r="AB33" s="1" t="s">
        <v>74</v>
      </c>
      <c r="AC33" s="1" t="s">
        <v>74</v>
      </c>
      <c r="AD33" s="1" t="s">
        <v>74</v>
      </c>
      <c r="AE33" s="1" t="s">
        <v>74</v>
      </c>
      <c r="AF33" s="1" t="s">
        <v>74</v>
      </c>
      <c r="AG33" s="1" t="s">
        <v>74</v>
      </c>
      <c r="AH33" s="1" t="s">
        <v>74</v>
      </c>
      <c r="AI33" s="1" t="s">
        <v>74</v>
      </c>
      <c r="AJ33" s="1" t="s">
        <v>74</v>
      </c>
      <c r="AK33" s="1" t="s">
        <v>74</v>
      </c>
      <c r="AL33" s="1" t="s">
        <v>74</v>
      </c>
      <c r="AM33" s="1" t="s">
        <v>74</v>
      </c>
      <c r="AN33" s="1" t="s">
        <v>74</v>
      </c>
      <c r="AO33" s="1" t="s">
        <v>423</v>
      </c>
      <c r="AP33" s="1" t="s">
        <v>424</v>
      </c>
      <c r="AQ33" s="1" t="s">
        <v>74</v>
      </c>
      <c r="AR33" s="1" t="s">
        <v>74</v>
      </c>
      <c r="AS33" s="1" t="s">
        <v>74</v>
      </c>
      <c r="AT33" s="1" t="s">
        <v>124</v>
      </c>
      <c r="AU33" s="1">
        <v>2024.0</v>
      </c>
      <c r="AV33" s="1">
        <v>9.0</v>
      </c>
      <c r="AW33" s="1">
        <v>4.0</v>
      </c>
      <c r="AX33" s="1" t="s">
        <v>74</v>
      </c>
      <c r="AY33" s="1" t="s">
        <v>74</v>
      </c>
      <c r="AZ33" s="1" t="s">
        <v>74</v>
      </c>
      <c r="BA33" s="1" t="s">
        <v>74</v>
      </c>
      <c r="BB33" s="1">
        <v>4579.0</v>
      </c>
      <c r="BC33" s="1">
        <v>4582.0</v>
      </c>
      <c r="BD33" s="1" t="s">
        <v>74</v>
      </c>
      <c r="BE33" s="1" t="s">
        <v>425</v>
      </c>
      <c r="BF33" s="2" t="str">
        <f>HYPERLINK("http://dx.doi.org/10.1109/TIV.2024.3396450","http://dx.doi.org/10.1109/TIV.2024.3396450")</f>
        <v>http://dx.doi.org/10.1109/TIV.2024.3396450</v>
      </c>
      <c r="BG33" s="1" t="s">
        <v>74</v>
      </c>
      <c r="BH33" s="1" t="s">
        <v>74</v>
      </c>
      <c r="BI33" s="1" t="s">
        <v>74</v>
      </c>
      <c r="BJ33" s="1" t="s">
        <v>74</v>
      </c>
      <c r="BK33" s="1" t="s">
        <v>74</v>
      </c>
      <c r="BL33" s="1" t="s">
        <v>426</v>
      </c>
      <c r="BM33" s="1" t="s">
        <v>74</v>
      </c>
      <c r="BN33" s="1" t="s">
        <v>74</v>
      </c>
      <c r="BO33" s="1" t="s">
        <v>74</v>
      </c>
      <c r="BP33" s="1" t="s">
        <v>74</v>
      </c>
      <c r="BQ33" s="1" t="s">
        <v>74</v>
      </c>
      <c r="BR33" s="1" t="s">
        <v>74</v>
      </c>
      <c r="BS33" s="1" t="s">
        <v>427</v>
      </c>
      <c r="BT33" s="1" t="str">
        <f>HYPERLINK("https%3A%2F%2Fwww.webofscience.com%2Fwos%2Fwoscc%2Ffull-record%2FWOS:001250038700013","View Full Record in Web of Science")</f>
        <v>View Full Record in Web of Science</v>
      </c>
    </row>
    <row r="34" ht="12.75" customHeight="1">
      <c r="A34" s="1" t="s">
        <v>72</v>
      </c>
      <c r="B34" s="1" t="s">
        <v>428</v>
      </c>
      <c r="C34" s="1" t="s">
        <v>74</v>
      </c>
      <c r="D34" s="1" t="s">
        <v>74</v>
      </c>
      <c r="E34" s="1" t="s">
        <v>74</v>
      </c>
      <c r="F34" s="1" t="s">
        <v>429</v>
      </c>
      <c r="G34" s="1" t="s">
        <v>74</v>
      </c>
      <c r="H34" s="1" t="s">
        <v>74</v>
      </c>
      <c r="I34" s="1" t="s">
        <v>430</v>
      </c>
      <c r="J34" s="1" t="s">
        <v>431</v>
      </c>
      <c r="K34" s="1" t="s">
        <v>74</v>
      </c>
      <c r="L34" s="1" t="s">
        <v>74</v>
      </c>
      <c r="M34" s="1" t="s">
        <v>74</v>
      </c>
      <c r="N34" s="1" t="s">
        <v>158</v>
      </c>
      <c r="O34" s="1" t="s">
        <v>74</v>
      </c>
      <c r="P34" s="1" t="s">
        <v>74</v>
      </c>
      <c r="Q34" s="1" t="s">
        <v>74</v>
      </c>
      <c r="R34" s="1" t="s">
        <v>74</v>
      </c>
      <c r="S34" s="1" t="s">
        <v>74</v>
      </c>
      <c r="T34" s="1" t="s">
        <v>432</v>
      </c>
      <c r="U34" s="1" t="s">
        <v>74</v>
      </c>
      <c r="V34" s="1" t="s">
        <v>433</v>
      </c>
      <c r="W34" s="1" t="s">
        <v>74</v>
      </c>
      <c r="X34" s="1" t="s">
        <v>74</v>
      </c>
      <c r="Y34" s="1" t="s">
        <v>74</v>
      </c>
      <c r="Z34" s="1" t="s">
        <v>74</v>
      </c>
      <c r="AA34" s="1" t="s">
        <v>74</v>
      </c>
      <c r="AB34" s="1" t="s">
        <v>74</v>
      </c>
      <c r="AC34" s="1" t="s">
        <v>74</v>
      </c>
      <c r="AD34" s="1" t="s">
        <v>74</v>
      </c>
      <c r="AE34" s="1" t="s">
        <v>74</v>
      </c>
      <c r="AF34" s="1" t="s">
        <v>74</v>
      </c>
      <c r="AG34" s="1" t="s">
        <v>74</v>
      </c>
      <c r="AH34" s="1" t="s">
        <v>74</v>
      </c>
      <c r="AI34" s="1" t="s">
        <v>74</v>
      </c>
      <c r="AJ34" s="1" t="s">
        <v>74</v>
      </c>
      <c r="AK34" s="1" t="s">
        <v>74</v>
      </c>
      <c r="AL34" s="1" t="s">
        <v>74</v>
      </c>
      <c r="AM34" s="1" t="s">
        <v>74</v>
      </c>
      <c r="AN34" s="1" t="s">
        <v>74</v>
      </c>
      <c r="AO34" s="1" t="s">
        <v>74</v>
      </c>
      <c r="AP34" s="1" t="s">
        <v>434</v>
      </c>
      <c r="AQ34" s="1" t="s">
        <v>74</v>
      </c>
      <c r="AR34" s="1" t="s">
        <v>74</v>
      </c>
      <c r="AS34" s="1" t="s">
        <v>74</v>
      </c>
      <c r="AT34" s="1" t="s">
        <v>435</v>
      </c>
      <c r="AU34" s="1">
        <v>2025.0</v>
      </c>
      <c r="AV34" s="1">
        <v>7.0</v>
      </c>
      <c r="AW34" s="1" t="s">
        <v>74</v>
      </c>
      <c r="AX34" s="1" t="s">
        <v>74</v>
      </c>
      <c r="AY34" s="1" t="s">
        <v>74</v>
      </c>
      <c r="AZ34" s="1" t="s">
        <v>74</v>
      </c>
      <c r="BA34" s="1" t="s">
        <v>74</v>
      </c>
      <c r="BB34" s="1" t="s">
        <v>74</v>
      </c>
      <c r="BC34" s="1" t="s">
        <v>74</v>
      </c>
      <c r="BD34" s="1">
        <v>1523699.0</v>
      </c>
      <c r="BE34" s="1" t="s">
        <v>436</v>
      </c>
      <c r="BF34" s="2" t="str">
        <f>HYPERLINK("http://dx.doi.org/10.3389/fcomp.2025.1523699","http://dx.doi.org/10.3389/fcomp.2025.1523699")</f>
        <v>http://dx.doi.org/10.3389/fcomp.2025.1523699</v>
      </c>
      <c r="BG34" s="1" t="s">
        <v>74</v>
      </c>
      <c r="BH34" s="1" t="s">
        <v>74</v>
      </c>
      <c r="BI34" s="1" t="s">
        <v>74</v>
      </c>
      <c r="BJ34" s="1" t="s">
        <v>74</v>
      </c>
      <c r="BK34" s="1" t="s">
        <v>74</v>
      </c>
      <c r="BL34" s="1" t="s">
        <v>174</v>
      </c>
      <c r="BM34" s="1" t="s">
        <v>74</v>
      </c>
      <c r="BN34" s="1" t="s">
        <v>74</v>
      </c>
      <c r="BO34" s="1" t="s">
        <v>163</v>
      </c>
      <c r="BP34" s="1" t="s">
        <v>74</v>
      </c>
      <c r="BQ34" s="1" t="s">
        <v>74</v>
      </c>
      <c r="BR34" s="1" t="s">
        <v>74</v>
      </c>
      <c r="BS34" s="1" t="s">
        <v>437</v>
      </c>
      <c r="BT34" s="1" t="str">
        <f>HYPERLINK("https%3A%2F%2Fwww.webofscience.com%2Fwos%2Fwoscc%2Ffull-record%2FWOS:001505398100001","View Full Record in Web of Science")</f>
        <v>View Full Record in Web of Science</v>
      </c>
    </row>
    <row r="35" ht="12.75" customHeight="1">
      <c r="A35" s="1" t="s">
        <v>72</v>
      </c>
      <c r="B35" s="1" t="s">
        <v>438</v>
      </c>
      <c r="C35" s="1" t="s">
        <v>74</v>
      </c>
      <c r="D35" s="1" t="s">
        <v>74</v>
      </c>
      <c r="E35" s="1" t="s">
        <v>74</v>
      </c>
      <c r="F35" s="1" t="s">
        <v>439</v>
      </c>
      <c r="G35" s="1" t="s">
        <v>74</v>
      </c>
      <c r="H35" s="1" t="s">
        <v>74</v>
      </c>
      <c r="I35" s="1" t="s">
        <v>440</v>
      </c>
      <c r="J35" s="1" t="s">
        <v>147</v>
      </c>
      <c r="K35" s="1" t="s">
        <v>74</v>
      </c>
      <c r="L35" s="1" t="s">
        <v>74</v>
      </c>
      <c r="M35" s="1" t="s">
        <v>74</v>
      </c>
      <c r="N35" s="1" t="s">
        <v>78</v>
      </c>
      <c r="O35" s="1" t="s">
        <v>74</v>
      </c>
      <c r="P35" s="1" t="s">
        <v>74</v>
      </c>
      <c r="Q35" s="1" t="s">
        <v>74</v>
      </c>
      <c r="R35" s="1" t="s">
        <v>74</v>
      </c>
      <c r="S35" s="1" t="s">
        <v>74</v>
      </c>
      <c r="T35" s="1" t="s">
        <v>441</v>
      </c>
      <c r="U35" s="1" t="s">
        <v>74</v>
      </c>
      <c r="V35" s="1" t="s">
        <v>442</v>
      </c>
      <c r="W35" s="1" t="s">
        <v>74</v>
      </c>
      <c r="X35" s="1" t="s">
        <v>74</v>
      </c>
      <c r="Y35" s="1" t="s">
        <v>74</v>
      </c>
      <c r="Z35" s="1" t="s">
        <v>74</v>
      </c>
      <c r="AA35" s="1" t="s">
        <v>74</v>
      </c>
      <c r="AB35" s="1" t="s">
        <v>74</v>
      </c>
      <c r="AC35" s="1" t="s">
        <v>74</v>
      </c>
      <c r="AD35" s="1" t="s">
        <v>74</v>
      </c>
      <c r="AE35" s="1" t="s">
        <v>74</v>
      </c>
      <c r="AF35" s="1" t="s">
        <v>74</v>
      </c>
      <c r="AG35" s="1" t="s">
        <v>74</v>
      </c>
      <c r="AH35" s="1" t="s">
        <v>74</v>
      </c>
      <c r="AI35" s="1" t="s">
        <v>74</v>
      </c>
      <c r="AJ35" s="1" t="s">
        <v>74</v>
      </c>
      <c r="AK35" s="1" t="s">
        <v>74</v>
      </c>
      <c r="AL35" s="1" t="s">
        <v>74</v>
      </c>
      <c r="AM35" s="1" t="s">
        <v>74</v>
      </c>
      <c r="AN35" s="1" t="s">
        <v>74</v>
      </c>
      <c r="AO35" s="1" t="s">
        <v>150</v>
      </c>
      <c r="AP35" s="1" t="s">
        <v>74</v>
      </c>
      <c r="AQ35" s="1" t="s">
        <v>74</v>
      </c>
      <c r="AR35" s="1" t="s">
        <v>74</v>
      </c>
      <c r="AS35" s="1" t="s">
        <v>74</v>
      </c>
      <c r="AT35" s="1" t="s">
        <v>74</v>
      </c>
      <c r="AU35" s="1">
        <v>2024.0</v>
      </c>
      <c r="AV35" s="1">
        <v>12.0</v>
      </c>
      <c r="AW35" s="1" t="s">
        <v>74</v>
      </c>
      <c r="AX35" s="1" t="s">
        <v>74</v>
      </c>
      <c r="AY35" s="1" t="s">
        <v>74</v>
      </c>
      <c r="AZ35" s="1" t="s">
        <v>74</v>
      </c>
      <c r="BA35" s="1" t="s">
        <v>74</v>
      </c>
      <c r="BB35" s="1">
        <v>146202.0</v>
      </c>
      <c r="BC35" s="1">
        <v>146212.0</v>
      </c>
      <c r="BD35" s="1" t="s">
        <v>74</v>
      </c>
      <c r="BE35" s="1" t="s">
        <v>443</v>
      </c>
      <c r="BF35" s="2" t="str">
        <f>HYPERLINK("http://dx.doi.org/10.1109/ACCESS.2024.3419079","http://dx.doi.org/10.1109/ACCESS.2024.3419079")</f>
        <v>http://dx.doi.org/10.1109/ACCESS.2024.3419079</v>
      </c>
      <c r="BG35" s="1" t="s">
        <v>74</v>
      </c>
      <c r="BH35" s="1" t="s">
        <v>74</v>
      </c>
      <c r="BI35" s="1" t="s">
        <v>74</v>
      </c>
      <c r="BJ35" s="1" t="s">
        <v>74</v>
      </c>
      <c r="BK35" s="1" t="s">
        <v>74</v>
      </c>
      <c r="BL35" s="1" t="s">
        <v>152</v>
      </c>
      <c r="BM35" s="1" t="s">
        <v>74</v>
      </c>
      <c r="BN35" s="1" t="s">
        <v>74</v>
      </c>
      <c r="BO35" s="1" t="s">
        <v>153</v>
      </c>
      <c r="BP35" s="1" t="s">
        <v>74</v>
      </c>
      <c r="BQ35" s="1" t="s">
        <v>74</v>
      </c>
      <c r="BR35" s="1" t="s">
        <v>74</v>
      </c>
      <c r="BS35" s="1" t="s">
        <v>444</v>
      </c>
      <c r="BT35" s="1" t="str">
        <f>HYPERLINK("https%3A%2F%2Fwww.webofscience.com%2Fwos%2Fwoscc%2Ffull-record%2FWOS:001338116200001","View Full Record in Web of Science")</f>
        <v>View Full Record in Web of Science</v>
      </c>
    </row>
    <row r="36" ht="12.75" customHeight="1">
      <c r="A36" s="1" t="s">
        <v>72</v>
      </c>
      <c r="B36" s="1" t="s">
        <v>445</v>
      </c>
      <c r="C36" s="1" t="s">
        <v>74</v>
      </c>
      <c r="D36" s="1" t="s">
        <v>74</v>
      </c>
      <c r="E36" s="1" t="s">
        <v>74</v>
      </c>
      <c r="F36" s="1" t="s">
        <v>446</v>
      </c>
      <c r="G36" s="1" t="s">
        <v>74</v>
      </c>
      <c r="H36" s="1" t="s">
        <v>74</v>
      </c>
      <c r="I36" s="1" t="s">
        <v>447</v>
      </c>
      <c r="J36" s="1" t="s">
        <v>281</v>
      </c>
      <c r="K36" s="1" t="s">
        <v>74</v>
      </c>
      <c r="L36" s="1" t="s">
        <v>74</v>
      </c>
      <c r="M36" s="1" t="s">
        <v>74</v>
      </c>
      <c r="N36" s="1" t="s">
        <v>78</v>
      </c>
      <c r="O36" s="1" t="s">
        <v>74</v>
      </c>
      <c r="P36" s="1" t="s">
        <v>74</v>
      </c>
      <c r="Q36" s="1" t="s">
        <v>74</v>
      </c>
      <c r="R36" s="1" t="s">
        <v>74</v>
      </c>
      <c r="S36" s="1" t="s">
        <v>74</v>
      </c>
      <c r="T36" s="1" t="s">
        <v>448</v>
      </c>
      <c r="U36" s="1" t="s">
        <v>449</v>
      </c>
      <c r="V36" s="1" t="s">
        <v>450</v>
      </c>
      <c r="W36" s="1" t="s">
        <v>74</v>
      </c>
      <c r="X36" s="1" t="s">
        <v>74</v>
      </c>
      <c r="Y36" s="1" t="s">
        <v>74</v>
      </c>
      <c r="Z36" s="1" t="s">
        <v>74</v>
      </c>
      <c r="AA36" s="1" t="s">
        <v>74</v>
      </c>
      <c r="AB36" s="1" t="s">
        <v>74</v>
      </c>
      <c r="AC36" s="1" t="s">
        <v>74</v>
      </c>
      <c r="AD36" s="1" t="s">
        <v>74</v>
      </c>
      <c r="AE36" s="1" t="s">
        <v>74</v>
      </c>
      <c r="AF36" s="1" t="s">
        <v>74</v>
      </c>
      <c r="AG36" s="1" t="s">
        <v>74</v>
      </c>
      <c r="AH36" s="1" t="s">
        <v>74</v>
      </c>
      <c r="AI36" s="1" t="s">
        <v>74</v>
      </c>
      <c r="AJ36" s="1" t="s">
        <v>74</v>
      </c>
      <c r="AK36" s="1" t="s">
        <v>74</v>
      </c>
      <c r="AL36" s="1" t="s">
        <v>74</v>
      </c>
      <c r="AM36" s="1" t="s">
        <v>74</v>
      </c>
      <c r="AN36" s="1" t="s">
        <v>74</v>
      </c>
      <c r="AO36" s="1" t="s">
        <v>285</v>
      </c>
      <c r="AP36" s="1" t="s">
        <v>286</v>
      </c>
      <c r="AQ36" s="1" t="s">
        <v>74</v>
      </c>
      <c r="AR36" s="1" t="s">
        <v>74</v>
      </c>
      <c r="AS36" s="1" t="s">
        <v>74</v>
      </c>
      <c r="AT36" s="1" t="s">
        <v>451</v>
      </c>
      <c r="AU36" s="1">
        <v>2024.0</v>
      </c>
      <c r="AV36" s="1">
        <v>31.0</v>
      </c>
      <c r="AW36" s="1">
        <v>11.0</v>
      </c>
      <c r="AX36" s="1" t="s">
        <v>74</v>
      </c>
      <c r="AY36" s="1" t="s">
        <v>74</v>
      </c>
      <c r="AZ36" s="1" t="s">
        <v>74</v>
      </c>
      <c r="BA36" s="1" t="s">
        <v>74</v>
      </c>
      <c r="BB36" s="1">
        <v>2583.0</v>
      </c>
      <c r="BC36" s="1">
        <v>2594.0</v>
      </c>
      <c r="BD36" s="1" t="s">
        <v>74</v>
      </c>
      <c r="BE36" s="1" t="s">
        <v>452</v>
      </c>
      <c r="BF36" s="2" t="str">
        <f>HYPERLINK("http://dx.doi.org/10.1093/jamia/ocae231","http://dx.doi.org/10.1093/jamia/ocae231")</f>
        <v>http://dx.doi.org/10.1093/jamia/ocae231</v>
      </c>
      <c r="BG36" s="1" t="s">
        <v>74</v>
      </c>
      <c r="BH36" s="1" t="s">
        <v>453</v>
      </c>
      <c r="BI36" s="1" t="s">
        <v>74</v>
      </c>
      <c r="BJ36" s="1" t="s">
        <v>74</v>
      </c>
      <c r="BK36" s="1" t="s">
        <v>74</v>
      </c>
      <c r="BL36" s="1" t="s">
        <v>291</v>
      </c>
      <c r="BM36" s="1" t="s">
        <v>74</v>
      </c>
      <c r="BN36" s="1" t="s">
        <v>74</v>
      </c>
      <c r="BO36" s="1" t="s">
        <v>127</v>
      </c>
      <c r="BP36" s="1" t="s">
        <v>74</v>
      </c>
      <c r="BQ36" s="1" t="s">
        <v>74</v>
      </c>
      <c r="BR36" s="1" t="s">
        <v>74</v>
      </c>
      <c r="BS36" s="1" t="s">
        <v>454</v>
      </c>
      <c r="BT36" s="1" t="str">
        <f>HYPERLINK("https%3A%2F%2Fwww.webofscience.com%2Fwos%2Fwoscc%2Ffull-record%2FWOS:001303466100001","View Full Record in Web of Science")</f>
        <v>View Full Record in Web of Science</v>
      </c>
    </row>
    <row r="37" ht="12.75" customHeight="1">
      <c r="A37" s="1" t="s">
        <v>72</v>
      </c>
      <c r="B37" s="1" t="s">
        <v>455</v>
      </c>
      <c r="C37" s="1" t="s">
        <v>74</v>
      </c>
      <c r="D37" s="1" t="s">
        <v>74</v>
      </c>
      <c r="E37" s="1" t="s">
        <v>74</v>
      </c>
      <c r="F37" s="1" t="s">
        <v>456</v>
      </c>
      <c r="G37" s="1" t="s">
        <v>74</v>
      </c>
      <c r="H37" s="1" t="s">
        <v>74</v>
      </c>
      <c r="I37" s="1" t="s">
        <v>457</v>
      </c>
      <c r="J37" s="1" t="s">
        <v>458</v>
      </c>
      <c r="K37" s="1" t="s">
        <v>74</v>
      </c>
      <c r="L37" s="1" t="s">
        <v>74</v>
      </c>
      <c r="M37" s="1" t="s">
        <v>74</v>
      </c>
      <c r="N37" s="1" t="s">
        <v>78</v>
      </c>
      <c r="O37" s="1" t="s">
        <v>74</v>
      </c>
      <c r="P37" s="1" t="s">
        <v>74</v>
      </c>
      <c r="Q37" s="1" t="s">
        <v>74</v>
      </c>
      <c r="R37" s="1" t="s">
        <v>74</v>
      </c>
      <c r="S37" s="1" t="s">
        <v>74</v>
      </c>
      <c r="T37" s="1" t="s">
        <v>459</v>
      </c>
      <c r="U37" s="1" t="s">
        <v>460</v>
      </c>
      <c r="V37" s="1" t="s">
        <v>461</v>
      </c>
      <c r="W37" s="1" t="s">
        <v>74</v>
      </c>
      <c r="X37" s="1" t="s">
        <v>74</v>
      </c>
      <c r="Y37" s="1" t="s">
        <v>74</v>
      </c>
      <c r="Z37" s="1" t="s">
        <v>74</v>
      </c>
      <c r="AA37" s="1" t="s">
        <v>74</v>
      </c>
      <c r="AB37" s="1" t="s">
        <v>74</v>
      </c>
      <c r="AC37" s="1" t="s">
        <v>74</v>
      </c>
      <c r="AD37" s="1" t="s">
        <v>74</v>
      </c>
      <c r="AE37" s="1" t="s">
        <v>74</v>
      </c>
      <c r="AF37" s="1" t="s">
        <v>74</v>
      </c>
      <c r="AG37" s="1" t="s">
        <v>74</v>
      </c>
      <c r="AH37" s="1" t="s">
        <v>74</v>
      </c>
      <c r="AI37" s="1" t="s">
        <v>74</v>
      </c>
      <c r="AJ37" s="1" t="s">
        <v>74</v>
      </c>
      <c r="AK37" s="1" t="s">
        <v>74</v>
      </c>
      <c r="AL37" s="1" t="s">
        <v>74</v>
      </c>
      <c r="AM37" s="1" t="s">
        <v>74</v>
      </c>
      <c r="AN37" s="1" t="s">
        <v>74</v>
      </c>
      <c r="AO37" s="1" t="s">
        <v>462</v>
      </c>
      <c r="AP37" s="1" t="s">
        <v>463</v>
      </c>
      <c r="AQ37" s="1" t="s">
        <v>74</v>
      </c>
      <c r="AR37" s="1" t="s">
        <v>74</v>
      </c>
      <c r="AS37" s="1" t="s">
        <v>74</v>
      </c>
      <c r="AT37" s="1" t="s">
        <v>464</v>
      </c>
      <c r="AU37" s="1">
        <v>2024.0</v>
      </c>
      <c r="AV37" s="1">
        <v>187.0</v>
      </c>
      <c r="AW37" s="1" t="s">
        <v>74</v>
      </c>
      <c r="AX37" s="1" t="s">
        <v>74</v>
      </c>
      <c r="AY37" s="1" t="s">
        <v>74</v>
      </c>
      <c r="AZ37" s="1" t="s">
        <v>74</v>
      </c>
      <c r="BA37" s="1" t="s">
        <v>74</v>
      </c>
      <c r="BB37" s="1" t="s">
        <v>74</v>
      </c>
      <c r="BC37" s="1" t="s">
        <v>74</v>
      </c>
      <c r="BD37" s="1">
        <v>108723.0</v>
      </c>
      <c r="BE37" s="1" t="s">
        <v>465</v>
      </c>
      <c r="BF37" s="2" t="str">
        <f>HYPERLINK("http://dx.doi.org/10.1016/j.compchemeng.2024.108723","http://dx.doi.org/10.1016/j.compchemeng.2024.108723")</f>
        <v>http://dx.doi.org/10.1016/j.compchemeng.2024.108723</v>
      </c>
      <c r="BG37" s="1" t="s">
        <v>74</v>
      </c>
      <c r="BH37" s="1" t="s">
        <v>466</v>
      </c>
      <c r="BI37" s="1" t="s">
        <v>74</v>
      </c>
      <c r="BJ37" s="1" t="s">
        <v>74</v>
      </c>
      <c r="BK37" s="1" t="s">
        <v>74</v>
      </c>
      <c r="BL37" s="1" t="s">
        <v>98</v>
      </c>
      <c r="BM37" s="1" t="s">
        <v>74</v>
      </c>
      <c r="BN37" s="1" t="s">
        <v>74</v>
      </c>
      <c r="BO37" s="1" t="s">
        <v>127</v>
      </c>
      <c r="BP37" s="1" t="s">
        <v>74</v>
      </c>
      <c r="BQ37" s="1" t="s">
        <v>74</v>
      </c>
      <c r="BR37" s="1" t="s">
        <v>74</v>
      </c>
      <c r="BS37" s="1" t="s">
        <v>467</v>
      </c>
      <c r="BT37" s="1" t="str">
        <f>HYPERLINK("https%3A%2F%2Fwww.webofscience.com%2Fwos%2Fwoscc%2Ffull-record%2FWOS:001241104200001","View Full Record in Web of Science")</f>
        <v>View Full Record in Web of Science</v>
      </c>
    </row>
    <row r="38" ht="12.75" customHeight="1">
      <c r="A38" s="1" t="s">
        <v>72</v>
      </c>
      <c r="B38" s="1" t="s">
        <v>468</v>
      </c>
      <c r="C38" s="1" t="s">
        <v>74</v>
      </c>
      <c r="D38" s="1" t="s">
        <v>74</v>
      </c>
      <c r="E38" s="1" t="s">
        <v>74</v>
      </c>
      <c r="F38" s="1" t="s">
        <v>469</v>
      </c>
      <c r="G38" s="1" t="s">
        <v>74</v>
      </c>
      <c r="H38" s="1" t="s">
        <v>74</v>
      </c>
      <c r="I38" s="1" t="s">
        <v>470</v>
      </c>
      <c r="J38" s="1" t="s">
        <v>471</v>
      </c>
      <c r="K38" s="1" t="s">
        <v>74</v>
      </c>
      <c r="L38" s="1" t="s">
        <v>74</v>
      </c>
      <c r="M38" s="1" t="s">
        <v>74</v>
      </c>
      <c r="N38" s="1" t="s">
        <v>158</v>
      </c>
      <c r="O38" s="1" t="s">
        <v>74</v>
      </c>
      <c r="P38" s="1" t="s">
        <v>74</v>
      </c>
      <c r="Q38" s="1" t="s">
        <v>74</v>
      </c>
      <c r="R38" s="1" t="s">
        <v>74</v>
      </c>
      <c r="S38" s="1" t="s">
        <v>74</v>
      </c>
      <c r="T38" s="1" t="s">
        <v>472</v>
      </c>
      <c r="U38" s="1" t="s">
        <v>74</v>
      </c>
      <c r="V38" s="1" t="s">
        <v>473</v>
      </c>
      <c r="W38" s="1" t="s">
        <v>74</v>
      </c>
      <c r="X38" s="1" t="s">
        <v>74</v>
      </c>
      <c r="Y38" s="1" t="s">
        <v>74</v>
      </c>
      <c r="Z38" s="1" t="s">
        <v>74</v>
      </c>
      <c r="AA38" s="1" t="s">
        <v>74</v>
      </c>
      <c r="AB38" s="1" t="s">
        <v>74</v>
      </c>
      <c r="AC38" s="1" t="s">
        <v>74</v>
      </c>
      <c r="AD38" s="1" t="s">
        <v>74</v>
      </c>
      <c r="AE38" s="1" t="s">
        <v>74</v>
      </c>
      <c r="AF38" s="1" t="s">
        <v>74</v>
      </c>
      <c r="AG38" s="1" t="s">
        <v>74</v>
      </c>
      <c r="AH38" s="1" t="s">
        <v>74</v>
      </c>
      <c r="AI38" s="1" t="s">
        <v>74</v>
      </c>
      <c r="AJ38" s="1" t="s">
        <v>74</v>
      </c>
      <c r="AK38" s="1" t="s">
        <v>74</v>
      </c>
      <c r="AL38" s="1" t="s">
        <v>74</v>
      </c>
      <c r="AM38" s="1" t="s">
        <v>74</v>
      </c>
      <c r="AN38" s="1" t="s">
        <v>74</v>
      </c>
      <c r="AO38" s="1" t="s">
        <v>474</v>
      </c>
      <c r="AP38" s="1" t="s">
        <v>74</v>
      </c>
      <c r="AQ38" s="1" t="s">
        <v>74</v>
      </c>
      <c r="AR38" s="1" t="s">
        <v>74</v>
      </c>
      <c r="AS38" s="1" t="s">
        <v>74</v>
      </c>
      <c r="AT38" s="1" t="s">
        <v>475</v>
      </c>
      <c r="AU38" s="1">
        <v>2025.0</v>
      </c>
      <c r="AV38" s="1">
        <v>14.0</v>
      </c>
      <c r="AW38" s="1">
        <v>4.0</v>
      </c>
      <c r="AX38" s="1" t="s">
        <v>74</v>
      </c>
      <c r="AY38" s="1" t="s">
        <v>74</v>
      </c>
      <c r="AZ38" s="1" t="s">
        <v>74</v>
      </c>
      <c r="BA38" s="1" t="s">
        <v>74</v>
      </c>
      <c r="BB38" s="1" t="s">
        <v>74</v>
      </c>
      <c r="BC38" s="1" t="s">
        <v>74</v>
      </c>
      <c r="BD38" s="1">
        <v>148.0</v>
      </c>
      <c r="BE38" s="1" t="s">
        <v>476</v>
      </c>
      <c r="BF38" s="2" t="str">
        <f>HYPERLINK("http://dx.doi.org/10.3390/computers14040148","http://dx.doi.org/10.3390/computers14040148")</f>
        <v>http://dx.doi.org/10.3390/computers14040148</v>
      </c>
      <c r="BG38" s="1" t="s">
        <v>74</v>
      </c>
      <c r="BH38" s="1" t="s">
        <v>74</v>
      </c>
      <c r="BI38" s="1" t="s">
        <v>74</v>
      </c>
      <c r="BJ38" s="1" t="s">
        <v>74</v>
      </c>
      <c r="BK38" s="1" t="s">
        <v>74</v>
      </c>
      <c r="BL38" s="1" t="s">
        <v>174</v>
      </c>
      <c r="BM38" s="1" t="s">
        <v>74</v>
      </c>
      <c r="BN38" s="1" t="s">
        <v>74</v>
      </c>
      <c r="BO38" s="1" t="s">
        <v>163</v>
      </c>
      <c r="BP38" s="1" t="s">
        <v>74</v>
      </c>
      <c r="BQ38" s="1" t="s">
        <v>74</v>
      </c>
      <c r="BR38" s="1" t="s">
        <v>74</v>
      </c>
      <c r="BS38" s="1" t="s">
        <v>477</v>
      </c>
      <c r="BT38" s="1" t="str">
        <f>HYPERLINK("https%3A%2F%2Fwww.webofscience.com%2Fwos%2Fwoscc%2Ffull-record%2FWOS:001474423800001","View Full Record in Web of Science")</f>
        <v>View Full Record in Web of Science</v>
      </c>
    </row>
    <row r="39" ht="12.75" customHeight="1">
      <c r="A39" s="1" t="s">
        <v>72</v>
      </c>
      <c r="B39" s="1" t="s">
        <v>478</v>
      </c>
      <c r="C39" s="1" t="s">
        <v>74</v>
      </c>
      <c r="D39" s="1" t="s">
        <v>74</v>
      </c>
      <c r="E39" s="1" t="s">
        <v>74</v>
      </c>
      <c r="F39" s="1" t="s">
        <v>479</v>
      </c>
      <c r="G39" s="1" t="s">
        <v>74</v>
      </c>
      <c r="H39" s="1" t="s">
        <v>74</v>
      </c>
      <c r="I39" s="1" t="s">
        <v>480</v>
      </c>
      <c r="J39" s="1" t="s">
        <v>481</v>
      </c>
      <c r="K39" s="1" t="s">
        <v>74</v>
      </c>
      <c r="L39" s="1" t="s">
        <v>74</v>
      </c>
      <c r="M39" s="1" t="s">
        <v>74</v>
      </c>
      <c r="N39" s="1" t="s">
        <v>158</v>
      </c>
      <c r="O39" s="1" t="s">
        <v>74</v>
      </c>
      <c r="P39" s="1" t="s">
        <v>74</v>
      </c>
      <c r="Q39" s="1" t="s">
        <v>74</v>
      </c>
      <c r="R39" s="1" t="s">
        <v>74</v>
      </c>
      <c r="S39" s="1" t="s">
        <v>74</v>
      </c>
      <c r="T39" s="1" t="s">
        <v>482</v>
      </c>
      <c r="U39" s="1" t="s">
        <v>483</v>
      </c>
      <c r="V39" s="1" t="s">
        <v>484</v>
      </c>
      <c r="W39" s="1" t="s">
        <v>74</v>
      </c>
      <c r="X39" s="1" t="s">
        <v>74</v>
      </c>
      <c r="Y39" s="1" t="s">
        <v>74</v>
      </c>
      <c r="Z39" s="1" t="s">
        <v>74</v>
      </c>
      <c r="AA39" s="1" t="s">
        <v>74</v>
      </c>
      <c r="AB39" s="1" t="s">
        <v>74</v>
      </c>
      <c r="AC39" s="1" t="s">
        <v>74</v>
      </c>
      <c r="AD39" s="1" t="s">
        <v>74</v>
      </c>
      <c r="AE39" s="1" t="s">
        <v>74</v>
      </c>
      <c r="AF39" s="1" t="s">
        <v>74</v>
      </c>
      <c r="AG39" s="1" t="s">
        <v>74</v>
      </c>
      <c r="AH39" s="1" t="s">
        <v>74</v>
      </c>
      <c r="AI39" s="1" t="s">
        <v>74</v>
      </c>
      <c r="AJ39" s="1" t="s">
        <v>74</v>
      </c>
      <c r="AK39" s="1" t="s">
        <v>74</v>
      </c>
      <c r="AL39" s="1" t="s">
        <v>74</v>
      </c>
      <c r="AM39" s="1" t="s">
        <v>74</v>
      </c>
      <c r="AN39" s="1" t="s">
        <v>74</v>
      </c>
      <c r="AO39" s="1" t="s">
        <v>485</v>
      </c>
      <c r="AP39" s="1" t="s">
        <v>486</v>
      </c>
      <c r="AQ39" s="1" t="s">
        <v>74</v>
      </c>
      <c r="AR39" s="1" t="s">
        <v>74</v>
      </c>
      <c r="AS39" s="1" t="s">
        <v>74</v>
      </c>
      <c r="AT39" s="1" t="s">
        <v>487</v>
      </c>
      <c r="AU39" s="1">
        <v>2025.0</v>
      </c>
      <c r="AV39" s="1">
        <v>68.0</v>
      </c>
      <c r="AW39" s="1">
        <v>9.0</v>
      </c>
      <c r="AX39" s="1" t="s">
        <v>74</v>
      </c>
      <c r="AY39" s="1" t="s">
        <v>74</v>
      </c>
      <c r="AZ39" s="1" t="s">
        <v>74</v>
      </c>
      <c r="BA39" s="1" t="s">
        <v>74</v>
      </c>
      <c r="BB39" s="1" t="s">
        <v>74</v>
      </c>
      <c r="BC39" s="1" t="s">
        <v>74</v>
      </c>
      <c r="BD39" s="1">
        <v>191101.0</v>
      </c>
      <c r="BE39" s="1" t="s">
        <v>488</v>
      </c>
      <c r="BF39" s="2" t="str">
        <f>HYPERLINK("http://dx.doi.org/10.1007/s11432-024-4351-3","http://dx.doi.org/10.1007/s11432-024-4351-3")</f>
        <v>http://dx.doi.org/10.1007/s11432-024-4351-3</v>
      </c>
      <c r="BG39" s="1" t="s">
        <v>74</v>
      </c>
      <c r="BH39" s="1" t="s">
        <v>74</v>
      </c>
      <c r="BI39" s="1" t="s">
        <v>74</v>
      </c>
      <c r="BJ39" s="1" t="s">
        <v>74</v>
      </c>
      <c r="BK39" s="1" t="s">
        <v>74</v>
      </c>
      <c r="BL39" s="1" t="s">
        <v>98</v>
      </c>
      <c r="BM39" s="1" t="s">
        <v>74</v>
      </c>
      <c r="BN39" s="1" t="s">
        <v>74</v>
      </c>
      <c r="BO39" s="1" t="s">
        <v>74</v>
      </c>
      <c r="BP39" s="1" t="s">
        <v>74</v>
      </c>
      <c r="BQ39" s="1" t="s">
        <v>74</v>
      </c>
      <c r="BR39" s="1" t="s">
        <v>74</v>
      </c>
      <c r="BS39" s="1" t="s">
        <v>489</v>
      </c>
      <c r="BT39" s="1" t="str">
        <f>HYPERLINK("https%3A%2F%2Fwww.webofscience.com%2Fwos%2Fwoscc%2Ffull-record%2FWOS:001552929000002","View Full Record in Web of Science")</f>
        <v>View Full Record in Web of Science</v>
      </c>
    </row>
    <row r="40" ht="12.75" customHeight="1">
      <c r="A40" s="1" t="s">
        <v>72</v>
      </c>
      <c r="B40" s="1" t="s">
        <v>490</v>
      </c>
      <c r="C40" s="1" t="s">
        <v>74</v>
      </c>
      <c r="D40" s="1" t="s">
        <v>74</v>
      </c>
      <c r="E40" s="1" t="s">
        <v>74</v>
      </c>
      <c r="F40" s="1" t="s">
        <v>491</v>
      </c>
      <c r="G40" s="1" t="s">
        <v>74</v>
      </c>
      <c r="H40" s="1" t="s">
        <v>74</v>
      </c>
      <c r="I40" s="1" t="s">
        <v>492</v>
      </c>
      <c r="J40" s="1" t="s">
        <v>493</v>
      </c>
      <c r="K40" s="1" t="s">
        <v>74</v>
      </c>
      <c r="L40" s="1" t="s">
        <v>74</v>
      </c>
      <c r="M40" s="1" t="s">
        <v>74</v>
      </c>
      <c r="N40" s="1" t="s">
        <v>78</v>
      </c>
      <c r="O40" s="1" t="s">
        <v>74</v>
      </c>
      <c r="P40" s="1" t="s">
        <v>74</v>
      </c>
      <c r="Q40" s="1" t="s">
        <v>74</v>
      </c>
      <c r="R40" s="1" t="s">
        <v>74</v>
      </c>
      <c r="S40" s="1" t="s">
        <v>74</v>
      </c>
      <c r="T40" s="1" t="s">
        <v>74</v>
      </c>
      <c r="U40" s="1" t="s">
        <v>74</v>
      </c>
      <c r="V40" s="1" t="s">
        <v>494</v>
      </c>
      <c r="W40" s="1" t="s">
        <v>74</v>
      </c>
      <c r="X40" s="1" t="s">
        <v>74</v>
      </c>
      <c r="Y40" s="1" t="s">
        <v>74</v>
      </c>
      <c r="Z40" s="1" t="s">
        <v>74</v>
      </c>
      <c r="AA40" s="1" t="s">
        <v>74</v>
      </c>
      <c r="AB40" s="1" t="s">
        <v>74</v>
      </c>
      <c r="AC40" s="1" t="s">
        <v>74</v>
      </c>
      <c r="AD40" s="1" t="s">
        <v>74</v>
      </c>
      <c r="AE40" s="1" t="s">
        <v>74</v>
      </c>
      <c r="AF40" s="1" t="s">
        <v>74</v>
      </c>
      <c r="AG40" s="1" t="s">
        <v>74</v>
      </c>
      <c r="AH40" s="1" t="s">
        <v>74</v>
      </c>
      <c r="AI40" s="1" t="s">
        <v>74</v>
      </c>
      <c r="AJ40" s="1" t="s">
        <v>74</v>
      </c>
      <c r="AK40" s="1" t="s">
        <v>74</v>
      </c>
      <c r="AL40" s="1" t="s">
        <v>74</v>
      </c>
      <c r="AM40" s="1" t="s">
        <v>74</v>
      </c>
      <c r="AN40" s="1" t="s">
        <v>74</v>
      </c>
      <c r="AO40" s="1" t="s">
        <v>495</v>
      </c>
      <c r="AP40" s="1" t="s">
        <v>496</v>
      </c>
      <c r="AQ40" s="1" t="s">
        <v>74</v>
      </c>
      <c r="AR40" s="1" t="s">
        <v>74</v>
      </c>
      <c r="AS40" s="1" t="s">
        <v>74</v>
      </c>
      <c r="AT40" s="1" t="s">
        <v>335</v>
      </c>
      <c r="AU40" s="1">
        <v>2024.0</v>
      </c>
      <c r="AV40" s="1">
        <v>43.0</v>
      </c>
      <c r="AW40" s="1">
        <v>3.0</v>
      </c>
      <c r="AX40" s="1" t="s">
        <v>74</v>
      </c>
      <c r="AY40" s="1" t="s">
        <v>74</v>
      </c>
      <c r="AZ40" s="1" t="s">
        <v>74</v>
      </c>
      <c r="BA40" s="1" t="s">
        <v>74</v>
      </c>
      <c r="BB40" s="1" t="s">
        <v>74</v>
      </c>
      <c r="BC40" s="1" t="s">
        <v>74</v>
      </c>
      <c r="BD40" s="1" t="s">
        <v>74</v>
      </c>
      <c r="BE40" s="1" t="s">
        <v>497</v>
      </c>
      <c r="BF40" s="2" t="str">
        <f>HYPERLINK("http://dx.doi.org/10.1111/cgf.15093","http://dx.doi.org/10.1111/cgf.15093")</f>
        <v>http://dx.doi.org/10.1111/cgf.15093</v>
      </c>
      <c r="BG40" s="1" t="s">
        <v>74</v>
      </c>
      <c r="BH40" s="1" t="s">
        <v>498</v>
      </c>
      <c r="BI40" s="1" t="s">
        <v>74</v>
      </c>
      <c r="BJ40" s="1" t="s">
        <v>74</v>
      </c>
      <c r="BK40" s="1" t="s">
        <v>74</v>
      </c>
      <c r="BL40" s="1" t="s">
        <v>174</v>
      </c>
      <c r="BM40" s="1" t="s">
        <v>74</v>
      </c>
      <c r="BN40" s="1" t="s">
        <v>74</v>
      </c>
      <c r="BO40" s="1" t="s">
        <v>127</v>
      </c>
      <c r="BP40" s="1" t="s">
        <v>74</v>
      </c>
      <c r="BQ40" s="1" t="s">
        <v>74</v>
      </c>
      <c r="BR40" s="1" t="s">
        <v>74</v>
      </c>
      <c r="BS40" s="1" t="s">
        <v>499</v>
      </c>
      <c r="BT40" s="1" t="str">
        <f>HYPERLINK("https%3A%2F%2Fwww.webofscience.com%2Fwos%2Fwoscc%2Ffull-record%2FWOS:001241902800001","View Full Record in Web of Science")</f>
        <v>View Full Record in Web of Science</v>
      </c>
    </row>
    <row r="41" ht="12.75" customHeight="1">
      <c r="A41" s="1" t="s">
        <v>72</v>
      </c>
      <c r="B41" s="1" t="s">
        <v>500</v>
      </c>
      <c r="C41" s="1" t="s">
        <v>74</v>
      </c>
      <c r="D41" s="1" t="s">
        <v>74</v>
      </c>
      <c r="E41" s="1" t="s">
        <v>74</v>
      </c>
      <c r="F41" s="1" t="s">
        <v>501</v>
      </c>
      <c r="G41" s="1" t="s">
        <v>74</v>
      </c>
      <c r="H41" s="1" t="s">
        <v>74</v>
      </c>
      <c r="I41" s="1" t="s">
        <v>502</v>
      </c>
      <c r="J41" s="1" t="s">
        <v>471</v>
      </c>
      <c r="K41" s="1" t="s">
        <v>74</v>
      </c>
      <c r="L41" s="1" t="s">
        <v>74</v>
      </c>
      <c r="M41" s="1" t="s">
        <v>74</v>
      </c>
      <c r="N41" s="1" t="s">
        <v>78</v>
      </c>
      <c r="O41" s="1" t="s">
        <v>74</v>
      </c>
      <c r="P41" s="1" t="s">
        <v>74</v>
      </c>
      <c r="Q41" s="1" t="s">
        <v>74</v>
      </c>
      <c r="R41" s="1" t="s">
        <v>74</v>
      </c>
      <c r="S41" s="1" t="s">
        <v>74</v>
      </c>
      <c r="T41" s="1" t="s">
        <v>503</v>
      </c>
      <c r="U41" s="1" t="s">
        <v>74</v>
      </c>
      <c r="V41" s="1" t="s">
        <v>504</v>
      </c>
      <c r="W41" s="1" t="s">
        <v>74</v>
      </c>
      <c r="X41" s="1" t="s">
        <v>74</v>
      </c>
      <c r="Y41" s="1" t="s">
        <v>74</v>
      </c>
      <c r="Z41" s="1" t="s">
        <v>74</v>
      </c>
      <c r="AA41" s="1" t="s">
        <v>74</v>
      </c>
      <c r="AB41" s="1" t="s">
        <v>74</v>
      </c>
      <c r="AC41" s="1" t="s">
        <v>74</v>
      </c>
      <c r="AD41" s="1" t="s">
        <v>74</v>
      </c>
      <c r="AE41" s="1" t="s">
        <v>74</v>
      </c>
      <c r="AF41" s="1" t="s">
        <v>74</v>
      </c>
      <c r="AG41" s="1" t="s">
        <v>74</v>
      </c>
      <c r="AH41" s="1" t="s">
        <v>74</v>
      </c>
      <c r="AI41" s="1" t="s">
        <v>74</v>
      </c>
      <c r="AJ41" s="1" t="s">
        <v>74</v>
      </c>
      <c r="AK41" s="1" t="s">
        <v>74</v>
      </c>
      <c r="AL41" s="1" t="s">
        <v>74</v>
      </c>
      <c r="AM41" s="1" t="s">
        <v>74</v>
      </c>
      <c r="AN41" s="1" t="s">
        <v>74</v>
      </c>
      <c r="AO41" s="1" t="s">
        <v>474</v>
      </c>
      <c r="AP41" s="1" t="s">
        <v>74</v>
      </c>
      <c r="AQ41" s="1" t="s">
        <v>74</v>
      </c>
      <c r="AR41" s="1" t="s">
        <v>74</v>
      </c>
      <c r="AS41" s="1" t="s">
        <v>74</v>
      </c>
      <c r="AT41" s="1" t="s">
        <v>505</v>
      </c>
      <c r="AU41" s="1">
        <v>2025.0</v>
      </c>
      <c r="AV41" s="1">
        <v>14.0</v>
      </c>
      <c r="AW41" s="1">
        <v>3.0</v>
      </c>
      <c r="AX41" s="1" t="s">
        <v>74</v>
      </c>
      <c r="AY41" s="1" t="s">
        <v>74</v>
      </c>
      <c r="AZ41" s="1" t="s">
        <v>74</v>
      </c>
      <c r="BA41" s="1" t="s">
        <v>74</v>
      </c>
      <c r="BB41" s="1" t="s">
        <v>74</v>
      </c>
      <c r="BC41" s="1" t="s">
        <v>74</v>
      </c>
      <c r="BD41" s="1">
        <v>106.0</v>
      </c>
      <c r="BE41" s="1" t="s">
        <v>506</v>
      </c>
      <c r="BF41" s="2" t="str">
        <f>HYPERLINK("http://dx.doi.org/10.3390/computers14030106","http://dx.doi.org/10.3390/computers14030106")</f>
        <v>http://dx.doi.org/10.3390/computers14030106</v>
      </c>
      <c r="BG41" s="1" t="s">
        <v>74</v>
      </c>
      <c r="BH41" s="1" t="s">
        <v>74</v>
      </c>
      <c r="BI41" s="1" t="s">
        <v>74</v>
      </c>
      <c r="BJ41" s="1" t="s">
        <v>74</v>
      </c>
      <c r="BK41" s="1" t="s">
        <v>74</v>
      </c>
      <c r="BL41" s="1" t="s">
        <v>174</v>
      </c>
      <c r="BM41" s="1" t="s">
        <v>74</v>
      </c>
      <c r="BN41" s="1" t="s">
        <v>74</v>
      </c>
      <c r="BO41" s="1" t="s">
        <v>163</v>
      </c>
      <c r="BP41" s="1" t="s">
        <v>74</v>
      </c>
      <c r="BQ41" s="1" t="s">
        <v>74</v>
      </c>
      <c r="BR41" s="1" t="s">
        <v>74</v>
      </c>
      <c r="BS41" s="1" t="s">
        <v>507</v>
      </c>
      <c r="BT41" s="1" t="str">
        <f>HYPERLINK("https%3A%2F%2Fwww.webofscience.com%2Fwos%2Fwoscc%2Ffull-record%2FWOS:001452001600001","View Full Record in Web of Science")</f>
        <v>View Full Record in Web of Science</v>
      </c>
    </row>
    <row r="42" ht="12.75" customHeight="1">
      <c r="A42" s="1" t="s">
        <v>72</v>
      </c>
      <c r="B42" s="1" t="s">
        <v>508</v>
      </c>
      <c r="C42" s="1" t="s">
        <v>74</v>
      </c>
      <c r="D42" s="1" t="s">
        <v>74</v>
      </c>
      <c r="E42" s="1" t="s">
        <v>74</v>
      </c>
      <c r="F42" s="1" t="s">
        <v>509</v>
      </c>
      <c r="G42" s="1" t="s">
        <v>74</v>
      </c>
      <c r="H42" s="1" t="s">
        <v>74</v>
      </c>
      <c r="I42" s="1" t="s">
        <v>510</v>
      </c>
      <c r="J42" s="1" t="s">
        <v>147</v>
      </c>
      <c r="K42" s="1" t="s">
        <v>74</v>
      </c>
      <c r="L42" s="1" t="s">
        <v>74</v>
      </c>
      <c r="M42" s="1" t="s">
        <v>74</v>
      </c>
      <c r="N42" s="1" t="s">
        <v>78</v>
      </c>
      <c r="O42" s="1" t="s">
        <v>74</v>
      </c>
      <c r="P42" s="1" t="s">
        <v>74</v>
      </c>
      <c r="Q42" s="1" t="s">
        <v>74</v>
      </c>
      <c r="R42" s="1" t="s">
        <v>74</v>
      </c>
      <c r="S42" s="1" t="s">
        <v>74</v>
      </c>
      <c r="T42" s="1" t="s">
        <v>511</v>
      </c>
      <c r="U42" s="1" t="s">
        <v>512</v>
      </c>
      <c r="V42" s="1" t="s">
        <v>513</v>
      </c>
      <c r="W42" s="1" t="s">
        <v>74</v>
      </c>
      <c r="X42" s="1" t="s">
        <v>74</v>
      </c>
      <c r="Y42" s="1" t="s">
        <v>74</v>
      </c>
      <c r="Z42" s="1" t="s">
        <v>74</v>
      </c>
      <c r="AA42" s="1" t="s">
        <v>74</v>
      </c>
      <c r="AB42" s="1" t="s">
        <v>74</v>
      </c>
      <c r="AC42" s="1" t="s">
        <v>74</v>
      </c>
      <c r="AD42" s="1" t="s">
        <v>74</v>
      </c>
      <c r="AE42" s="1" t="s">
        <v>74</v>
      </c>
      <c r="AF42" s="1" t="s">
        <v>74</v>
      </c>
      <c r="AG42" s="1" t="s">
        <v>74</v>
      </c>
      <c r="AH42" s="1" t="s">
        <v>74</v>
      </c>
      <c r="AI42" s="1" t="s">
        <v>74</v>
      </c>
      <c r="AJ42" s="1" t="s">
        <v>74</v>
      </c>
      <c r="AK42" s="1" t="s">
        <v>74</v>
      </c>
      <c r="AL42" s="1" t="s">
        <v>74</v>
      </c>
      <c r="AM42" s="1" t="s">
        <v>74</v>
      </c>
      <c r="AN42" s="1" t="s">
        <v>74</v>
      </c>
      <c r="AO42" s="1" t="s">
        <v>150</v>
      </c>
      <c r="AP42" s="1" t="s">
        <v>74</v>
      </c>
      <c r="AQ42" s="1" t="s">
        <v>74</v>
      </c>
      <c r="AR42" s="1" t="s">
        <v>74</v>
      </c>
      <c r="AS42" s="1" t="s">
        <v>74</v>
      </c>
      <c r="AT42" s="1" t="s">
        <v>74</v>
      </c>
      <c r="AU42" s="1">
        <v>2024.0</v>
      </c>
      <c r="AV42" s="1">
        <v>12.0</v>
      </c>
      <c r="AW42" s="1" t="s">
        <v>74</v>
      </c>
      <c r="AX42" s="1" t="s">
        <v>74</v>
      </c>
      <c r="AY42" s="1" t="s">
        <v>74</v>
      </c>
      <c r="AZ42" s="1" t="s">
        <v>74</v>
      </c>
      <c r="BA42" s="1" t="s">
        <v>74</v>
      </c>
      <c r="BB42" s="1">
        <v>55905.0</v>
      </c>
      <c r="BC42" s="1">
        <v>55917.0</v>
      </c>
      <c r="BD42" s="1" t="s">
        <v>74</v>
      </c>
      <c r="BE42" s="1" t="s">
        <v>514</v>
      </c>
      <c r="BF42" s="2" t="str">
        <f>HYPERLINK("http://dx.doi.org/10.1109/ACCESS.2024.3390605","http://dx.doi.org/10.1109/ACCESS.2024.3390605")</f>
        <v>http://dx.doi.org/10.1109/ACCESS.2024.3390605</v>
      </c>
      <c r="BG42" s="1" t="s">
        <v>74</v>
      </c>
      <c r="BH42" s="1" t="s">
        <v>74</v>
      </c>
      <c r="BI42" s="1" t="s">
        <v>74</v>
      </c>
      <c r="BJ42" s="1" t="s">
        <v>74</v>
      </c>
      <c r="BK42" s="1" t="s">
        <v>74</v>
      </c>
      <c r="BL42" s="1" t="s">
        <v>152</v>
      </c>
      <c r="BM42" s="1" t="s">
        <v>74</v>
      </c>
      <c r="BN42" s="1" t="s">
        <v>74</v>
      </c>
      <c r="BO42" s="1" t="s">
        <v>153</v>
      </c>
      <c r="BP42" s="1" t="s">
        <v>74</v>
      </c>
      <c r="BQ42" s="1" t="s">
        <v>74</v>
      </c>
      <c r="BR42" s="1" t="s">
        <v>74</v>
      </c>
      <c r="BS42" s="1" t="s">
        <v>515</v>
      </c>
      <c r="BT42" s="1" t="str">
        <f>HYPERLINK("https%3A%2F%2Fwww.webofscience.com%2Fwos%2Fwoscc%2Ffull-record%2FWOS:001208020100001","View Full Record in Web of Science")</f>
        <v>View Full Record in Web of Science</v>
      </c>
    </row>
    <row r="43" ht="12.75" customHeight="1">
      <c r="A43" s="1" t="s">
        <v>72</v>
      </c>
      <c r="B43" s="1" t="s">
        <v>516</v>
      </c>
      <c r="C43" s="1" t="s">
        <v>74</v>
      </c>
      <c r="D43" s="1" t="s">
        <v>74</v>
      </c>
      <c r="E43" s="1" t="s">
        <v>74</v>
      </c>
      <c r="F43" s="1" t="s">
        <v>517</v>
      </c>
      <c r="G43" s="1" t="s">
        <v>74</v>
      </c>
      <c r="H43" s="1" t="s">
        <v>74</v>
      </c>
      <c r="I43" s="1" t="s">
        <v>518</v>
      </c>
      <c r="J43" s="1" t="s">
        <v>519</v>
      </c>
      <c r="K43" s="1" t="s">
        <v>74</v>
      </c>
      <c r="L43" s="1" t="s">
        <v>74</v>
      </c>
      <c r="M43" s="1" t="s">
        <v>74</v>
      </c>
      <c r="N43" s="1" t="s">
        <v>78</v>
      </c>
      <c r="O43" s="1" t="s">
        <v>74</v>
      </c>
      <c r="P43" s="1" t="s">
        <v>74</v>
      </c>
      <c r="Q43" s="1" t="s">
        <v>74</v>
      </c>
      <c r="R43" s="1" t="s">
        <v>74</v>
      </c>
      <c r="S43" s="1" t="s">
        <v>74</v>
      </c>
      <c r="T43" s="1" t="s">
        <v>520</v>
      </c>
      <c r="U43" s="1" t="s">
        <v>521</v>
      </c>
      <c r="V43" s="1" t="s">
        <v>522</v>
      </c>
      <c r="W43" s="1" t="s">
        <v>74</v>
      </c>
      <c r="X43" s="1" t="s">
        <v>74</v>
      </c>
      <c r="Y43" s="1" t="s">
        <v>74</v>
      </c>
      <c r="Z43" s="1" t="s">
        <v>74</v>
      </c>
      <c r="AA43" s="1" t="s">
        <v>74</v>
      </c>
      <c r="AB43" s="1" t="s">
        <v>74</v>
      </c>
      <c r="AC43" s="1" t="s">
        <v>74</v>
      </c>
      <c r="AD43" s="1" t="s">
        <v>74</v>
      </c>
      <c r="AE43" s="1" t="s">
        <v>74</v>
      </c>
      <c r="AF43" s="1" t="s">
        <v>74</v>
      </c>
      <c r="AG43" s="1" t="s">
        <v>74</v>
      </c>
      <c r="AH43" s="1" t="s">
        <v>74</v>
      </c>
      <c r="AI43" s="1" t="s">
        <v>74</v>
      </c>
      <c r="AJ43" s="1" t="s">
        <v>74</v>
      </c>
      <c r="AK43" s="1" t="s">
        <v>74</v>
      </c>
      <c r="AL43" s="1" t="s">
        <v>74</v>
      </c>
      <c r="AM43" s="1" t="s">
        <v>74</v>
      </c>
      <c r="AN43" s="1" t="s">
        <v>74</v>
      </c>
      <c r="AO43" s="1" t="s">
        <v>523</v>
      </c>
      <c r="AP43" s="1" t="s">
        <v>524</v>
      </c>
      <c r="AQ43" s="1" t="s">
        <v>74</v>
      </c>
      <c r="AR43" s="1" t="s">
        <v>74</v>
      </c>
      <c r="AS43" s="1" t="s">
        <v>74</v>
      </c>
      <c r="AT43" s="1" t="s">
        <v>357</v>
      </c>
      <c r="AU43" s="1">
        <v>2025.0</v>
      </c>
      <c r="AV43" s="1">
        <v>122.0</v>
      </c>
      <c r="AW43" s="1" t="s">
        <v>74</v>
      </c>
      <c r="AX43" s="1" t="s">
        <v>74</v>
      </c>
      <c r="AY43" s="1" t="s">
        <v>74</v>
      </c>
      <c r="AZ43" s="1" t="s">
        <v>74</v>
      </c>
      <c r="BA43" s="1" t="s">
        <v>74</v>
      </c>
      <c r="BB43" s="1" t="s">
        <v>74</v>
      </c>
      <c r="BC43" s="1" t="s">
        <v>74</v>
      </c>
      <c r="BD43" s="1">
        <v>103184.0</v>
      </c>
      <c r="BE43" s="1" t="s">
        <v>525</v>
      </c>
      <c r="BF43" s="2" t="str">
        <f>HYPERLINK("http://dx.doi.org/10.1016/j.inffus.2025.103184","http://dx.doi.org/10.1016/j.inffus.2025.103184")</f>
        <v>http://dx.doi.org/10.1016/j.inffus.2025.103184</v>
      </c>
      <c r="BG43" s="1" t="s">
        <v>74</v>
      </c>
      <c r="BH43" s="1" t="s">
        <v>526</v>
      </c>
      <c r="BI43" s="1" t="s">
        <v>74</v>
      </c>
      <c r="BJ43" s="1" t="s">
        <v>74</v>
      </c>
      <c r="BK43" s="1" t="s">
        <v>74</v>
      </c>
      <c r="BL43" s="1" t="s">
        <v>174</v>
      </c>
      <c r="BM43" s="1" t="s">
        <v>74</v>
      </c>
      <c r="BN43" s="1" t="s">
        <v>74</v>
      </c>
      <c r="BO43" s="1" t="s">
        <v>114</v>
      </c>
      <c r="BP43" s="1" t="s">
        <v>74</v>
      </c>
      <c r="BQ43" s="1" t="s">
        <v>74</v>
      </c>
      <c r="BR43" s="1" t="s">
        <v>74</v>
      </c>
      <c r="BS43" s="1" t="s">
        <v>527</v>
      </c>
      <c r="BT43" s="1" t="str">
        <f>HYPERLINK("https%3A%2F%2Fwww.webofscience.com%2Fwos%2Fwoscc%2Ffull-record%2FWOS:001478796200001","View Full Record in Web of Science")</f>
        <v>View Full Record in Web of Science</v>
      </c>
    </row>
    <row r="44" ht="12.75" customHeight="1">
      <c r="A44" s="1" t="s">
        <v>72</v>
      </c>
      <c r="B44" s="1" t="s">
        <v>528</v>
      </c>
      <c r="C44" s="1" t="s">
        <v>74</v>
      </c>
      <c r="D44" s="1" t="s">
        <v>74</v>
      </c>
      <c r="E44" s="1" t="s">
        <v>74</v>
      </c>
      <c r="F44" s="1" t="s">
        <v>529</v>
      </c>
      <c r="G44" s="1" t="s">
        <v>74</v>
      </c>
      <c r="H44" s="1" t="s">
        <v>74</v>
      </c>
      <c r="I44" s="1" t="s">
        <v>530</v>
      </c>
      <c r="J44" s="1" t="s">
        <v>92</v>
      </c>
      <c r="K44" s="1" t="s">
        <v>74</v>
      </c>
      <c r="L44" s="1" t="s">
        <v>74</v>
      </c>
      <c r="M44" s="1" t="s">
        <v>74</v>
      </c>
      <c r="N44" s="1" t="s">
        <v>78</v>
      </c>
      <c r="O44" s="1" t="s">
        <v>74</v>
      </c>
      <c r="P44" s="1" t="s">
        <v>74</v>
      </c>
      <c r="Q44" s="1" t="s">
        <v>74</v>
      </c>
      <c r="R44" s="1" t="s">
        <v>74</v>
      </c>
      <c r="S44" s="1" t="s">
        <v>74</v>
      </c>
      <c r="T44" s="1" t="s">
        <v>531</v>
      </c>
      <c r="U44" s="1" t="s">
        <v>74</v>
      </c>
      <c r="V44" s="1" t="s">
        <v>532</v>
      </c>
      <c r="W44" s="1" t="s">
        <v>74</v>
      </c>
      <c r="X44" s="1" t="s">
        <v>74</v>
      </c>
      <c r="Y44" s="1" t="s">
        <v>74</v>
      </c>
      <c r="Z44" s="1" t="s">
        <v>74</v>
      </c>
      <c r="AA44" s="1" t="s">
        <v>74</v>
      </c>
      <c r="AB44" s="1" t="s">
        <v>74</v>
      </c>
      <c r="AC44" s="1" t="s">
        <v>74</v>
      </c>
      <c r="AD44" s="1" t="s">
        <v>74</v>
      </c>
      <c r="AE44" s="1" t="s">
        <v>74</v>
      </c>
      <c r="AF44" s="1" t="s">
        <v>74</v>
      </c>
      <c r="AG44" s="1" t="s">
        <v>74</v>
      </c>
      <c r="AH44" s="1" t="s">
        <v>74</v>
      </c>
      <c r="AI44" s="1" t="s">
        <v>74</v>
      </c>
      <c r="AJ44" s="1" t="s">
        <v>74</v>
      </c>
      <c r="AK44" s="1" t="s">
        <v>74</v>
      </c>
      <c r="AL44" s="1" t="s">
        <v>74</v>
      </c>
      <c r="AM44" s="1" t="s">
        <v>74</v>
      </c>
      <c r="AN44" s="1" t="s">
        <v>74</v>
      </c>
      <c r="AO44" s="1" t="s">
        <v>95</v>
      </c>
      <c r="AP44" s="1" t="s">
        <v>96</v>
      </c>
      <c r="AQ44" s="1" t="s">
        <v>74</v>
      </c>
      <c r="AR44" s="1" t="s">
        <v>74</v>
      </c>
      <c r="AS44" s="1" t="s">
        <v>74</v>
      </c>
      <c r="AT44" s="1" t="s">
        <v>84</v>
      </c>
      <c r="AU44" s="1">
        <v>2025.0</v>
      </c>
      <c r="AV44" s="1">
        <v>37.0</v>
      </c>
      <c r="AW44" s="1">
        <v>5.0</v>
      </c>
      <c r="AX44" s="1" t="s">
        <v>74</v>
      </c>
      <c r="AY44" s="1" t="s">
        <v>74</v>
      </c>
      <c r="AZ44" s="1" t="s">
        <v>74</v>
      </c>
      <c r="BA44" s="1" t="s">
        <v>74</v>
      </c>
      <c r="BB44" s="1">
        <v>2212.0</v>
      </c>
      <c r="BC44" s="1">
        <v>2225.0</v>
      </c>
      <c r="BD44" s="1" t="s">
        <v>74</v>
      </c>
      <c r="BE44" s="1" t="s">
        <v>533</v>
      </c>
      <c r="BF44" s="2" t="str">
        <f>HYPERLINK("http://dx.doi.org/10.1109/TKDE.2025.3545948","http://dx.doi.org/10.1109/TKDE.2025.3545948")</f>
        <v>http://dx.doi.org/10.1109/TKDE.2025.3545948</v>
      </c>
      <c r="BG44" s="1" t="s">
        <v>74</v>
      </c>
      <c r="BH44" s="1" t="s">
        <v>74</v>
      </c>
      <c r="BI44" s="1" t="s">
        <v>74</v>
      </c>
      <c r="BJ44" s="1" t="s">
        <v>74</v>
      </c>
      <c r="BK44" s="1" t="s">
        <v>74</v>
      </c>
      <c r="BL44" s="1" t="s">
        <v>98</v>
      </c>
      <c r="BM44" s="1" t="s">
        <v>74</v>
      </c>
      <c r="BN44" s="1" t="s">
        <v>74</v>
      </c>
      <c r="BO44" s="1" t="s">
        <v>74</v>
      </c>
      <c r="BP44" s="1" t="s">
        <v>74</v>
      </c>
      <c r="BQ44" s="1" t="s">
        <v>74</v>
      </c>
      <c r="BR44" s="1" t="s">
        <v>74</v>
      </c>
      <c r="BS44" s="1" t="s">
        <v>534</v>
      </c>
      <c r="BT44" s="1" t="str">
        <f>HYPERLINK("https%3A%2F%2Fwww.webofscience.com%2Fwos%2Fwoscc%2Ffull-record%2FWOS:001459525900010","View Full Record in Web of Science")</f>
        <v>View Full Record in Web of Science</v>
      </c>
    </row>
    <row r="45" ht="12.75" customHeight="1">
      <c r="A45" s="1" t="s">
        <v>72</v>
      </c>
      <c r="B45" s="1" t="s">
        <v>535</v>
      </c>
      <c r="C45" s="1" t="s">
        <v>74</v>
      </c>
      <c r="D45" s="1" t="s">
        <v>74</v>
      </c>
      <c r="E45" s="1" t="s">
        <v>74</v>
      </c>
      <c r="F45" s="1" t="s">
        <v>536</v>
      </c>
      <c r="G45" s="1" t="s">
        <v>74</v>
      </c>
      <c r="H45" s="1" t="s">
        <v>74</v>
      </c>
      <c r="I45" s="1" t="s">
        <v>537</v>
      </c>
      <c r="J45" s="1" t="s">
        <v>538</v>
      </c>
      <c r="K45" s="1" t="s">
        <v>74</v>
      </c>
      <c r="L45" s="1" t="s">
        <v>74</v>
      </c>
      <c r="M45" s="1" t="s">
        <v>74</v>
      </c>
      <c r="N45" s="1" t="s">
        <v>78</v>
      </c>
      <c r="O45" s="1" t="s">
        <v>74</v>
      </c>
      <c r="P45" s="1" t="s">
        <v>74</v>
      </c>
      <c r="Q45" s="1" t="s">
        <v>74</v>
      </c>
      <c r="R45" s="1" t="s">
        <v>74</v>
      </c>
      <c r="S45" s="1" t="s">
        <v>74</v>
      </c>
      <c r="T45" s="1" t="s">
        <v>539</v>
      </c>
      <c r="U45" s="1" t="s">
        <v>540</v>
      </c>
      <c r="V45" s="1" t="s">
        <v>541</v>
      </c>
      <c r="W45" s="1" t="s">
        <v>74</v>
      </c>
      <c r="X45" s="1" t="s">
        <v>74</v>
      </c>
      <c r="Y45" s="1" t="s">
        <v>74</v>
      </c>
      <c r="Z45" s="1" t="s">
        <v>74</v>
      </c>
      <c r="AA45" s="1" t="s">
        <v>74</v>
      </c>
      <c r="AB45" s="1" t="s">
        <v>74</v>
      </c>
      <c r="AC45" s="1" t="s">
        <v>74</v>
      </c>
      <c r="AD45" s="1" t="s">
        <v>74</v>
      </c>
      <c r="AE45" s="1" t="s">
        <v>74</v>
      </c>
      <c r="AF45" s="1" t="s">
        <v>74</v>
      </c>
      <c r="AG45" s="1" t="s">
        <v>74</v>
      </c>
      <c r="AH45" s="1" t="s">
        <v>74</v>
      </c>
      <c r="AI45" s="1" t="s">
        <v>74</v>
      </c>
      <c r="AJ45" s="1" t="s">
        <v>74</v>
      </c>
      <c r="AK45" s="1" t="s">
        <v>74</v>
      </c>
      <c r="AL45" s="1" t="s">
        <v>74</v>
      </c>
      <c r="AM45" s="1" t="s">
        <v>74</v>
      </c>
      <c r="AN45" s="1" t="s">
        <v>74</v>
      </c>
      <c r="AO45" s="1" t="s">
        <v>542</v>
      </c>
      <c r="AP45" s="1" t="s">
        <v>543</v>
      </c>
      <c r="AQ45" s="1" t="s">
        <v>74</v>
      </c>
      <c r="AR45" s="1" t="s">
        <v>74</v>
      </c>
      <c r="AS45" s="1" t="s">
        <v>74</v>
      </c>
      <c r="AT45" s="1" t="s">
        <v>357</v>
      </c>
      <c r="AU45" s="1">
        <v>2024.0</v>
      </c>
      <c r="AV45" s="1">
        <v>90.0</v>
      </c>
      <c r="AW45" s="1" t="s">
        <v>74</v>
      </c>
      <c r="AX45" s="1" t="s">
        <v>74</v>
      </c>
      <c r="AY45" s="1" t="s">
        <v>74</v>
      </c>
      <c r="AZ45" s="1" t="s">
        <v>74</v>
      </c>
      <c r="BA45" s="1" t="s">
        <v>74</v>
      </c>
      <c r="BB45" s="1" t="s">
        <v>74</v>
      </c>
      <c r="BC45" s="1" t="s">
        <v>74</v>
      </c>
      <c r="BD45" s="1">
        <v>101663.0</v>
      </c>
      <c r="BE45" s="1" t="s">
        <v>544</v>
      </c>
      <c r="BF45" s="2" t="str">
        <f>HYPERLINK("http://dx.doi.org/10.1016/j.swevo.2024.101663","http://dx.doi.org/10.1016/j.swevo.2024.101663")</f>
        <v>http://dx.doi.org/10.1016/j.swevo.2024.101663</v>
      </c>
      <c r="BG45" s="1" t="s">
        <v>74</v>
      </c>
      <c r="BH45" s="1" t="s">
        <v>545</v>
      </c>
      <c r="BI45" s="1" t="s">
        <v>74</v>
      </c>
      <c r="BJ45" s="1" t="s">
        <v>74</v>
      </c>
      <c r="BK45" s="1" t="s">
        <v>74</v>
      </c>
      <c r="BL45" s="1" t="s">
        <v>174</v>
      </c>
      <c r="BM45" s="1" t="s">
        <v>74</v>
      </c>
      <c r="BN45" s="1" t="s">
        <v>74</v>
      </c>
      <c r="BO45" s="1" t="s">
        <v>74</v>
      </c>
      <c r="BP45" s="1" t="s">
        <v>74</v>
      </c>
      <c r="BQ45" s="1" t="s">
        <v>74</v>
      </c>
      <c r="BR45" s="1" t="s">
        <v>74</v>
      </c>
      <c r="BS45" s="1" t="s">
        <v>546</v>
      </c>
      <c r="BT45" s="1" t="str">
        <f>HYPERLINK("https%3A%2F%2Fwww.webofscience.com%2Fwos%2Fwoscc%2Ffull-record%2FWOS:001279652900001","View Full Record in Web of Science")</f>
        <v>View Full Record in Web of Science</v>
      </c>
    </row>
    <row r="46" ht="12.75" customHeight="1">
      <c r="A46" s="1" t="s">
        <v>72</v>
      </c>
      <c r="B46" s="1" t="s">
        <v>547</v>
      </c>
      <c r="C46" s="1" t="s">
        <v>74</v>
      </c>
      <c r="D46" s="1" t="s">
        <v>74</v>
      </c>
      <c r="E46" s="1" t="s">
        <v>74</v>
      </c>
      <c r="F46" s="1" t="s">
        <v>548</v>
      </c>
      <c r="G46" s="1" t="s">
        <v>74</v>
      </c>
      <c r="H46" s="1" t="s">
        <v>74</v>
      </c>
      <c r="I46" s="1" t="s">
        <v>549</v>
      </c>
      <c r="J46" s="1" t="s">
        <v>550</v>
      </c>
      <c r="K46" s="1" t="s">
        <v>74</v>
      </c>
      <c r="L46" s="1" t="s">
        <v>74</v>
      </c>
      <c r="M46" s="1" t="s">
        <v>74</v>
      </c>
      <c r="N46" s="1" t="s">
        <v>78</v>
      </c>
      <c r="O46" s="1" t="s">
        <v>74</v>
      </c>
      <c r="P46" s="1" t="s">
        <v>74</v>
      </c>
      <c r="Q46" s="1" t="s">
        <v>74</v>
      </c>
      <c r="R46" s="1" t="s">
        <v>74</v>
      </c>
      <c r="S46" s="1" t="s">
        <v>74</v>
      </c>
      <c r="T46" s="1" t="s">
        <v>551</v>
      </c>
      <c r="U46" s="1" t="s">
        <v>74</v>
      </c>
      <c r="V46" s="1" t="s">
        <v>552</v>
      </c>
      <c r="W46" s="1" t="s">
        <v>74</v>
      </c>
      <c r="X46" s="1" t="s">
        <v>74</v>
      </c>
      <c r="Y46" s="1" t="s">
        <v>74</v>
      </c>
      <c r="Z46" s="1" t="s">
        <v>74</v>
      </c>
      <c r="AA46" s="1" t="s">
        <v>74</v>
      </c>
      <c r="AB46" s="1" t="s">
        <v>74</v>
      </c>
      <c r="AC46" s="1" t="s">
        <v>74</v>
      </c>
      <c r="AD46" s="1" t="s">
        <v>74</v>
      </c>
      <c r="AE46" s="1" t="s">
        <v>74</v>
      </c>
      <c r="AF46" s="1" t="s">
        <v>74</v>
      </c>
      <c r="AG46" s="1" t="s">
        <v>74</v>
      </c>
      <c r="AH46" s="1" t="s">
        <v>74</v>
      </c>
      <c r="AI46" s="1" t="s">
        <v>74</v>
      </c>
      <c r="AJ46" s="1" t="s">
        <v>74</v>
      </c>
      <c r="AK46" s="1" t="s">
        <v>74</v>
      </c>
      <c r="AL46" s="1" t="s">
        <v>74</v>
      </c>
      <c r="AM46" s="1" t="s">
        <v>74</v>
      </c>
      <c r="AN46" s="1" t="s">
        <v>74</v>
      </c>
      <c r="AO46" s="1" t="s">
        <v>553</v>
      </c>
      <c r="AP46" s="1" t="s">
        <v>554</v>
      </c>
      <c r="AQ46" s="1" t="s">
        <v>74</v>
      </c>
      <c r="AR46" s="1" t="s">
        <v>74</v>
      </c>
      <c r="AS46" s="1" t="s">
        <v>74</v>
      </c>
      <c r="AT46" s="1" t="s">
        <v>124</v>
      </c>
      <c r="AU46" s="1">
        <v>2025.0</v>
      </c>
      <c r="AV46" s="1">
        <v>188.0</v>
      </c>
      <c r="AW46" s="1" t="s">
        <v>74</v>
      </c>
      <c r="AX46" s="1" t="s">
        <v>74</v>
      </c>
      <c r="AY46" s="1" t="s">
        <v>74</v>
      </c>
      <c r="AZ46" s="1" t="s">
        <v>74</v>
      </c>
      <c r="BA46" s="1" t="s">
        <v>74</v>
      </c>
      <c r="BB46" s="1" t="s">
        <v>74</v>
      </c>
      <c r="BC46" s="1" t="s">
        <v>74</v>
      </c>
      <c r="BD46" s="1">
        <v>106421.0</v>
      </c>
      <c r="BE46" s="1" t="s">
        <v>555</v>
      </c>
      <c r="BF46" s="2" t="str">
        <f>HYPERLINK("http://dx.doi.org/10.1016/j.envsoft.2025.106421","http://dx.doi.org/10.1016/j.envsoft.2025.106421")</f>
        <v>http://dx.doi.org/10.1016/j.envsoft.2025.106421</v>
      </c>
      <c r="BG46" s="1" t="s">
        <v>74</v>
      </c>
      <c r="BH46" s="1" t="s">
        <v>347</v>
      </c>
      <c r="BI46" s="1" t="s">
        <v>74</v>
      </c>
      <c r="BJ46" s="1" t="s">
        <v>74</v>
      </c>
      <c r="BK46" s="1" t="s">
        <v>74</v>
      </c>
      <c r="BL46" s="1" t="s">
        <v>556</v>
      </c>
      <c r="BM46" s="1" t="s">
        <v>74</v>
      </c>
      <c r="BN46" s="1" t="s">
        <v>74</v>
      </c>
      <c r="BO46" s="1" t="s">
        <v>114</v>
      </c>
      <c r="BP46" s="1" t="s">
        <v>74</v>
      </c>
      <c r="BQ46" s="1" t="s">
        <v>74</v>
      </c>
      <c r="BR46" s="1" t="s">
        <v>74</v>
      </c>
      <c r="BS46" s="1" t="s">
        <v>557</v>
      </c>
      <c r="BT46" s="1" t="str">
        <f>HYPERLINK("https%3A%2F%2Fwww.webofscience.com%2Fwos%2Fwoscc%2Ffull-record%2FWOS:001446654700001","View Full Record in Web of Science")</f>
        <v>View Full Record in Web of Science</v>
      </c>
    </row>
    <row r="47" ht="12.75" customHeight="1">
      <c r="A47" s="1" t="s">
        <v>72</v>
      </c>
      <c r="B47" s="1" t="s">
        <v>558</v>
      </c>
      <c r="C47" s="1" t="s">
        <v>74</v>
      </c>
      <c r="D47" s="1" t="s">
        <v>74</v>
      </c>
      <c r="E47" s="1" t="s">
        <v>74</v>
      </c>
      <c r="F47" s="1" t="s">
        <v>559</v>
      </c>
      <c r="G47" s="1" t="s">
        <v>74</v>
      </c>
      <c r="H47" s="1" t="s">
        <v>74</v>
      </c>
      <c r="I47" s="1" t="s">
        <v>560</v>
      </c>
      <c r="J47" s="1" t="s">
        <v>147</v>
      </c>
      <c r="K47" s="1" t="s">
        <v>74</v>
      </c>
      <c r="L47" s="1" t="s">
        <v>74</v>
      </c>
      <c r="M47" s="1" t="s">
        <v>74</v>
      </c>
      <c r="N47" s="1" t="s">
        <v>78</v>
      </c>
      <c r="O47" s="1" t="s">
        <v>74</v>
      </c>
      <c r="P47" s="1" t="s">
        <v>74</v>
      </c>
      <c r="Q47" s="1" t="s">
        <v>74</v>
      </c>
      <c r="R47" s="1" t="s">
        <v>74</v>
      </c>
      <c r="S47" s="1" t="s">
        <v>74</v>
      </c>
      <c r="T47" s="1" t="s">
        <v>561</v>
      </c>
      <c r="U47" s="1" t="s">
        <v>562</v>
      </c>
      <c r="V47" s="1" t="s">
        <v>563</v>
      </c>
      <c r="W47" s="1" t="s">
        <v>74</v>
      </c>
      <c r="X47" s="1" t="s">
        <v>74</v>
      </c>
      <c r="Y47" s="1" t="s">
        <v>74</v>
      </c>
      <c r="Z47" s="1" t="s">
        <v>74</v>
      </c>
      <c r="AA47" s="1" t="s">
        <v>74</v>
      </c>
      <c r="AB47" s="1" t="s">
        <v>74</v>
      </c>
      <c r="AC47" s="1" t="s">
        <v>74</v>
      </c>
      <c r="AD47" s="1" t="s">
        <v>74</v>
      </c>
      <c r="AE47" s="1" t="s">
        <v>74</v>
      </c>
      <c r="AF47" s="1" t="s">
        <v>74</v>
      </c>
      <c r="AG47" s="1" t="s">
        <v>74</v>
      </c>
      <c r="AH47" s="1" t="s">
        <v>74</v>
      </c>
      <c r="AI47" s="1" t="s">
        <v>74</v>
      </c>
      <c r="AJ47" s="1" t="s">
        <v>74</v>
      </c>
      <c r="AK47" s="1" t="s">
        <v>74</v>
      </c>
      <c r="AL47" s="1" t="s">
        <v>74</v>
      </c>
      <c r="AM47" s="1" t="s">
        <v>74</v>
      </c>
      <c r="AN47" s="1" t="s">
        <v>74</v>
      </c>
      <c r="AO47" s="1" t="s">
        <v>150</v>
      </c>
      <c r="AP47" s="1" t="s">
        <v>74</v>
      </c>
      <c r="AQ47" s="1" t="s">
        <v>74</v>
      </c>
      <c r="AR47" s="1" t="s">
        <v>74</v>
      </c>
      <c r="AS47" s="1" t="s">
        <v>74</v>
      </c>
      <c r="AT47" s="1" t="s">
        <v>74</v>
      </c>
      <c r="AU47" s="1">
        <v>2024.0</v>
      </c>
      <c r="AV47" s="1">
        <v>12.0</v>
      </c>
      <c r="AW47" s="1" t="s">
        <v>74</v>
      </c>
      <c r="AX47" s="1" t="s">
        <v>74</v>
      </c>
      <c r="AY47" s="1" t="s">
        <v>74</v>
      </c>
      <c r="AZ47" s="1" t="s">
        <v>74</v>
      </c>
      <c r="BA47" s="1" t="s">
        <v>74</v>
      </c>
      <c r="BB47" s="1">
        <v>134041.0</v>
      </c>
      <c r="BC47" s="1">
        <v>134061.0</v>
      </c>
      <c r="BD47" s="1" t="s">
        <v>74</v>
      </c>
      <c r="BE47" s="1" t="s">
        <v>564</v>
      </c>
      <c r="BF47" s="2" t="str">
        <f>HYPERLINK("http://dx.doi.org/10.1109/ACCESS.2024.3445413","http://dx.doi.org/10.1109/ACCESS.2024.3445413")</f>
        <v>http://dx.doi.org/10.1109/ACCESS.2024.3445413</v>
      </c>
      <c r="BG47" s="1" t="s">
        <v>74</v>
      </c>
      <c r="BH47" s="1" t="s">
        <v>74</v>
      </c>
      <c r="BI47" s="1" t="s">
        <v>74</v>
      </c>
      <c r="BJ47" s="1" t="s">
        <v>74</v>
      </c>
      <c r="BK47" s="1" t="s">
        <v>74</v>
      </c>
      <c r="BL47" s="1" t="s">
        <v>152</v>
      </c>
      <c r="BM47" s="1" t="s">
        <v>74</v>
      </c>
      <c r="BN47" s="1" t="s">
        <v>74</v>
      </c>
      <c r="BO47" s="1" t="s">
        <v>153</v>
      </c>
      <c r="BP47" s="1" t="s">
        <v>74</v>
      </c>
      <c r="BQ47" s="1" t="s">
        <v>74</v>
      </c>
      <c r="BR47" s="1" t="s">
        <v>74</v>
      </c>
      <c r="BS47" s="1" t="s">
        <v>565</v>
      </c>
      <c r="BT47" s="1" t="str">
        <f>HYPERLINK("https%3A%2F%2Fwww.webofscience.com%2Fwos%2Fwoscc%2Ffull-record%2FWOS:001327326300001","View Full Record in Web of Science")</f>
        <v>View Full Record in Web of Science</v>
      </c>
    </row>
    <row r="48" ht="12.75" customHeight="1">
      <c r="A48" s="1" t="s">
        <v>72</v>
      </c>
      <c r="B48" s="1" t="s">
        <v>566</v>
      </c>
      <c r="C48" s="1" t="s">
        <v>74</v>
      </c>
      <c r="D48" s="1" t="s">
        <v>74</v>
      </c>
      <c r="E48" s="1" t="s">
        <v>74</v>
      </c>
      <c r="F48" s="1" t="s">
        <v>567</v>
      </c>
      <c r="G48" s="1" t="s">
        <v>74</v>
      </c>
      <c r="H48" s="1" t="s">
        <v>74</v>
      </c>
      <c r="I48" s="1" t="s">
        <v>568</v>
      </c>
      <c r="J48" s="1" t="s">
        <v>569</v>
      </c>
      <c r="K48" s="1" t="s">
        <v>74</v>
      </c>
      <c r="L48" s="1" t="s">
        <v>74</v>
      </c>
      <c r="M48" s="1" t="s">
        <v>74</v>
      </c>
      <c r="N48" s="1" t="s">
        <v>78</v>
      </c>
      <c r="O48" s="1" t="s">
        <v>74</v>
      </c>
      <c r="P48" s="1" t="s">
        <v>74</v>
      </c>
      <c r="Q48" s="1" t="s">
        <v>74</v>
      </c>
      <c r="R48" s="1" t="s">
        <v>74</v>
      </c>
      <c r="S48" s="1" t="s">
        <v>74</v>
      </c>
      <c r="T48" s="1" t="s">
        <v>570</v>
      </c>
      <c r="U48" s="1" t="s">
        <v>74</v>
      </c>
      <c r="V48" s="1" t="s">
        <v>571</v>
      </c>
      <c r="W48" s="1" t="s">
        <v>74</v>
      </c>
      <c r="X48" s="1" t="s">
        <v>74</v>
      </c>
      <c r="Y48" s="1" t="s">
        <v>74</v>
      </c>
      <c r="Z48" s="1" t="s">
        <v>74</v>
      </c>
      <c r="AA48" s="1" t="s">
        <v>74</v>
      </c>
      <c r="AB48" s="1" t="s">
        <v>74</v>
      </c>
      <c r="AC48" s="1" t="s">
        <v>74</v>
      </c>
      <c r="AD48" s="1" t="s">
        <v>74</v>
      </c>
      <c r="AE48" s="1" t="s">
        <v>74</v>
      </c>
      <c r="AF48" s="1" t="s">
        <v>74</v>
      </c>
      <c r="AG48" s="1" t="s">
        <v>74</v>
      </c>
      <c r="AH48" s="1" t="s">
        <v>74</v>
      </c>
      <c r="AI48" s="1" t="s">
        <v>74</v>
      </c>
      <c r="AJ48" s="1" t="s">
        <v>74</v>
      </c>
      <c r="AK48" s="1" t="s">
        <v>74</v>
      </c>
      <c r="AL48" s="1" t="s">
        <v>74</v>
      </c>
      <c r="AM48" s="1" t="s">
        <v>74</v>
      </c>
      <c r="AN48" s="1" t="s">
        <v>74</v>
      </c>
      <c r="AO48" s="1" t="s">
        <v>572</v>
      </c>
      <c r="AP48" s="1" t="s">
        <v>573</v>
      </c>
      <c r="AQ48" s="1" t="s">
        <v>74</v>
      </c>
      <c r="AR48" s="1" t="s">
        <v>74</v>
      </c>
      <c r="AS48" s="1" t="s">
        <v>74</v>
      </c>
      <c r="AT48" s="1" t="s">
        <v>574</v>
      </c>
      <c r="AU48" s="1">
        <v>2024.0</v>
      </c>
      <c r="AV48" s="1">
        <v>57.0</v>
      </c>
      <c r="AW48" s="1">
        <v>4.0</v>
      </c>
      <c r="AX48" s="1" t="s">
        <v>74</v>
      </c>
      <c r="AY48" s="1" t="s">
        <v>74</v>
      </c>
      <c r="AZ48" s="1" t="s">
        <v>74</v>
      </c>
      <c r="BA48" s="1" t="s">
        <v>74</v>
      </c>
      <c r="BB48" s="1" t="s">
        <v>74</v>
      </c>
      <c r="BC48" s="1" t="s">
        <v>74</v>
      </c>
      <c r="BD48" s="1">
        <v>89.0</v>
      </c>
      <c r="BE48" s="1" t="s">
        <v>575</v>
      </c>
      <c r="BF48" s="2" t="str">
        <f>HYPERLINK("http://dx.doi.org/10.1007/s10462-024-10720-7","http://dx.doi.org/10.1007/s10462-024-10720-7")</f>
        <v>http://dx.doi.org/10.1007/s10462-024-10720-7</v>
      </c>
      <c r="BG48" s="1" t="s">
        <v>74</v>
      </c>
      <c r="BH48" s="1" t="s">
        <v>74</v>
      </c>
      <c r="BI48" s="1" t="s">
        <v>74</v>
      </c>
      <c r="BJ48" s="1" t="s">
        <v>74</v>
      </c>
      <c r="BK48" s="1" t="s">
        <v>74</v>
      </c>
      <c r="BL48" s="1" t="s">
        <v>174</v>
      </c>
      <c r="BM48" s="1" t="s">
        <v>74</v>
      </c>
      <c r="BN48" s="1" t="s">
        <v>74</v>
      </c>
      <c r="BO48" s="1" t="s">
        <v>576</v>
      </c>
      <c r="BP48" s="1" t="s">
        <v>74</v>
      </c>
      <c r="BQ48" s="1" t="s">
        <v>74</v>
      </c>
      <c r="BR48" s="1" t="s">
        <v>74</v>
      </c>
      <c r="BS48" s="1" t="s">
        <v>577</v>
      </c>
      <c r="BT48" s="1" t="str">
        <f>HYPERLINK("https%3A%2F%2Fwww.webofscience.com%2Fwos%2Fwoscc%2Ffull-record%2FWOS:001181378200001","View Full Record in Web of Science")</f>
        <v>View Full Record in Web of Science</v>
      </c>
    </row>
    <row r="49" ht="12.75" customHeight="1">
      <c r="A49" s="1" t="s">
        <v>72</v>
      </c>
      <c r="B49" s="1" t="s">
        <v>578</v>
      </c>
      <c r="C49" s="1" t="s">
        <v>74</v>
      </c>
      <c r="D49" s="1" t="s">
        <v>74</v>
      </c>
      <c r="E49" s="1" t="s">
        <v>74</v>
      </c>
      <c r="F49" s="1" t="s">
        <v>579</v>
      </c>
      <c r="G49" s="1" t="s">
        <v>74</v>
      </c>
      <c r="H49" s="1" t="s">
        <v>74</v>
      </c>
      <c r="I49" s="1" t="s">
        <v>580</v>
      </c>
      <c r="J49" s="1" t="s">
        <v>147</v>
      </c>
      <c r="K49" s="1" t="s">
        <v>74</v>
      </c>
      <c r="L49" s="1" t="s">
        <v>74</v>
      </c>
      <c r="M49" s="1" t="s">
        <v>74</v>
      </c>
      <c r="N49" s="1" t="s">
        <v>78</v>
      </c>
      <c r="O49" s="1" t="s">
        <v>74</v>
      </c>
      <c r="P49" s="1" t="s">
        <v>74</v>
      </c>
      <c r="Q49" s="1" t="s">
        <v>74</v>
      </c>
      <c r="R49" s="1" t="s">
        <v>74</v>
      </c>
      <c r="S49" s="1" t="s">
        <v>74</v>
      </c>
      <c r="T49" s="1" t="s">
        <v>581</v>
      </c>
      <c r="U49" s="1" t="s">
        <v>74</v>
      </c>
      <c r="V49" s="1" t="s">
        <v>582</v>
      </c>
      <c r="W49" s="1" t="s">
        <v>74</v>
      </c>
      <c r="X49" s="1" t="s">
        <v>74</v>
      </c>
      <c r="Y49" s="1" t="s">
        <v>74</v>
      </c>
      <c r="Z49" s="1" t="s">
        <v>74</v>
      </c>
      <c r="AA49" s="1" t="s">
        <v>74</v>
      </c>
      <c r="AB49" s="1" t="s">
        <v>74</v>
      </c>
      <c r="AC49" s="1" t="s">
        <v>74</v>
      </c>
      <c r="AD49" s="1" t="s">
        <v>74</v>
      </c>
      <c r="AE49" s="1" t="s">
        <v>74</v>
      </c>
      <c r="AF49" s="1" t="s">
        <v>74</v>
      </c>
      <c r="AG49" s="1" t="s">
        <v>74</v>
      </c>
      <c r="AH49" s="1" t="s">
        <v>74</v>
      </c>
      <c r="AI49" s="1" t="s">
        <v>74</v>
      </c>
      <c r="AJ49" s="1" t="s">
        <v>74</v>
      </c>
      <c r="AK49" s="1" t="s">
        <v>74</v>
      </c>
      <c r="AL49" s="1" t="s">
        <v>74</v>
      </c>
      <c r="AM49" s="1" t="s">
        <v>74</v>
      </c>
      <c r="AN49" s="1" t="s">
        <v>74</v>
      </c>
      <c r="AO49" s="1" t="s">
        <v>150</v>
      </c>
      <c r="AP49" s="1" t="s">
        <v>74</v>
      </c>
      <c r="AQ49" s="1" t="s">
        <v>74</v>
      </c>
      <c r="AR49" s="1" t="s">
        <v>74</v>
      </c>
      <c r="AS49" s="1" t="s">
        <v>74</v>
      </c>
      <c r="AT49" s="1" t="s">
        <v>74</v>
      </c>
      <c r="AU49" s="1">
        <v>2024.0</v>
      </c>
      <c r="AV49" s="1">
        <v>12.0</v>
      </c>
      <c r="AW49" s="1" t="s">
        <v>74</v>
      </c>
      <c r="AX49" s="1" t="s">
        <v>74</v>
      </c>
      <c r="AY49" s="1" t="s">
        <v>74</v>
      </c>
      <c r="AZ49" s="1" t="s">
        <v>74</v>
      </c>
      <c r="BA49" s="1" t="s">
        <v>74</v>
      </c>
      <c r="BB49" s="1">
        <v>186626.0</v>
      </c>
      <c r="BC49" s="1">
        <v>186638.0</v>
      </c>
      <c r="BD49" s="1" t="s">
        <v>74</v>
      </c>
      <c r="BE49" s="1" t="s">
        <v>583</v>
      </c>
      <c r="BF49" s="2" t="str">
        <f>HYPERLINK("http://dx.doi.org/10.1109/ACCESS.2024.3482461","http://dx.doi.org/10.1109/ACCESS.2024.3482461")</f>
        <v>http://dx.doi.org/10.1109/ACCESS.2024.3482461</v>
      </c>
      <c r="BG49" s="1" t="s">
        <v>74</v>
      </c>
      <c r="BH49" s="1" t="s">
        <v>74</v>
      </c>
      <c r="BI49" s="1" t="s">
        <v>74</v>
      </c>
      <c r="BJ49" s="1" t="s">
        <v>74</v>
      </c>
      <c r="BK49" s="1" t="s">
        <v>74</v>
      </c>
      <c r="BL49" s="1" t="s">
        <v>152</v>
      </c>
      <c r="BM49" s="1" t="s">
        <v>74</v>
      </c>
      <c r="BN49" s="1" t="s">
        <v>74</v>
      </c>
      <c r="BO49" s="1" t="s">
        <v>153</v>
      </c>
      <c r="BP49" s="1" t="s">
        <v>74</v>
      </c>
      <c r="BQ49" s="1" t="s">
        <v>74</v>
      </c>
      <c r="BR49" s="1" t="s">
        <v>74</v>
      </c>
      <c r="BS49" s="1" t="s">
        <v>584</v>
      </c>
      <c r="BT49" s="1" t="str">
        <f>HYPERLINK("https%3A%2F%2Fwww.webofscience.com%2Fwos%2Fwoscc%2Ffull-record%2FWOS:001380709600040","View Full Record in Web of Science")</f>
        <v>View Full Record in Web of Science</v>
      </c>
    </row>
    <row r="50" ht="12.75" customHeight="1">
      <c r="A50" s="1" t="s">
        <v>72</v>
      </c>
      <c r="B50" s="1" t="s">
        <v>585</v>
      </c>
      <c r="C50" s="1" t="s">
        <v>74</v>
      </c>
      <c r="D50" s="1" t="s">
        <v>74</v>
      </c>
      <c r="E50" s="1" t="s">
        <v>74</v>
      </c>
      <c r="F50" s="1" t="s">
        <v>586</v>
      </c>
      <c r="G50" s="1" t="s">
        <v>74</v>
      </c>
      <c r="H50" s="1" t="s">
        <v>74</v>
      </c>
      <c r="I50" s="1" t="s">
        <v>587</v>
      </c>
      <c r="J50" s="1" t="s">
        <v>588</v>
      </c>
      <c r="K50" s="1" t="s">
        <v>74</v>
      </c>
      <c r="L50" s="1" t="s">
        <v>74</v>
      </c>
      <c r="M50" s="1" t="s">
        <v>74</v>
      </c>
      <c r="N50" s="1" t="s">
        <v>78</v>
      </c>
      <c r="O50" s="1" t="s">
        <v>74</v>
      </c>
      <c r="P50" s="1" t="s">
        <v>74</v>
      </c>
      <c r="Q50" s="1" t="s">
        <v>74</v>
      </c>
      <c r="R50" s="1" t="s">
        <v>74</v>
      </c>
      <c r="S50" s="1" t="s">
        <v>74</v>
      </c>
      <c r="T50" s="1" t="s">
        <v>589</v>
      </c>
      <c r="U50" s="1" t="s">
        <v>590</v>
      </c>
      <c r="V50" s="1" t="s">
        <v>591</v>
      </c>
      <c r="W50" s="1" t="s">
        <v>74</v>
      </c>
      <c r="X50" s="1" t="s">
        <v>74</v>
      </c>
      <c r="Y50" s="1" t="s">
        <v>74</v>
      </c>
      <c r="Z50" s="1" t="s">
        <v>74</v>
      </c>
      <c r="AA50" s="1" t="s">
        <v>74</v>
      </c>
      <c r="AB50" s="1" t="s">
        <v>74</v>
      </c>
      <c r="AC50" s="1" t="s">
        <v>74</v>
      </c>
      <c r="AD50" s="1" t="s">
        <v>74</v>
      </c>
      <c r="AE50" s="1" t="s">
        <v>74</v>
      </c>
      <c r="AF50" s="1" t="s">
        <v>74</v>
      </c>
      <c r="AG50" s="1" t="s">
        <v>74</v>
      </c>
      <c r="AH50" s="1" t="s">
        <v>74</v>
      </c>
      <c r="AI50" s="1" t="s">
        <v>74</v>
      </c>
      <c r="AJ50" s="1" t="s">
        <v>74</v>
      </c>
      <c r="AK50" s="1" t="s">
        <v>74</v>
      </c>
      <c r="AL50" s="1" t="s">
        <v>74</v>
      </c>
      <c r="AM50" s="1" t="s">
        <v>74</v>
      </c>
      <c r="AN50" s="1" t="s">
        <v>74</v>
      </c>
      <c r="AO50" s="1" t="s">
        <v>592</v>
      </c>
      <c r="AP50" s="1" t="s">
        <v>593</v>
      </c>
      <c r="AQ50" s="1" t="s">
        <v>74</v>
      </c>
      <c r="AR50" s="1" t="s">
        <v>74</v>
      </c>
      <c r="AS50" s="1" t="s">
        <v>74</v>
      </c>
      <c r="AT50" s="1" t="s">
        <v>594</v>
      </c>
      <c r="AU50" s="1">
        <v>2025.0</v>
      </c>
      <c r="AV50" s="1">
        <v>41.0</v>
      </c>
      <c r="AW50" s="1">
        <v>13.0</v>
      </c>
      <c r="AX50" s="1" t="s">
        <v>74</v>
      </c>
      <c r="AY50" s="1" t="s">
        <v>74</v>
      </c>
      <c r="AZ50" s="1" t="s">
        <v>74</v>
      </c>
      <c r="BA50" s="1" t="s">
        <v>74</v>
      </c>
      <c r="BB50" s="1">
        <v>8167.0</v>
      </c>
      <c r="BC50" s="1">
        <v>8183.0</v>
      </c>
      <c r="BD50" s="1" t="s">
        <v>74</v>
      </c>
      <c r="BE50" s="1" t="s">
        <v>595</v>
      </c>
      <c r="BF50" s="2" t="str">
        <f>HYPERLINK("http://dx.doi.org/10.1080/10447318.2024.2405786","http://dx.doi.org/10.1080/10447318.2024.2405786")</f>
        <v>http://dx.doi.org/10.1080/10447318.2024.2405786</v>
      </c>
      <c r="BG50" s="1" t="s">
        <v>74</v>
      </c>
      <c r="BH50" s="1" t="s">
        <v>453</v>
      </c>
      <c r="BI50" s="1" t="s">
        <v>74</v>
      </c>
      <c r="BJ50" s="1" t="s">
        <v>74</v>
      </c>
      <c r="BK50" s="1" t="s">
        <v>74</v>
      </c>
      <c r="BL50" s="1" t="s">
        <v>98</v>
      </c>
      <c r="BM50" s="1" t="s">
        <v>74</v>
      </c>
      <c r="BN50" s="1" t="s">
        <v>74</v>
      </c>
      <c r="BO50" s="1" t="s">
        <v>74</v>
      </c>
      <c r="BP50" s="1" t="s">
        <v>74</v>
      </c>
      <c r="BQ50" s="1" t="s">
        <v>74</v>
      </c>
      <c r="BR50" s="1" t="s">
        <v>74</v>
      </c>
      <c r="BS50" s="1" t="s">
        <v>596</v>
      </c>
      <c r="BT50" s="1" t="str">
        <f>HYPERLINK("https%3A%2F%2Fwww.webofscience.com%2Fwos%2Fwoscc%2Ffull-record%2FWOS:001322316500001","View Full Record in Web of Science")</f>
        <v>View Full Record in Web of Science</v>
      </c>
    </row>
    <row r="51" ht="12.75" customHeight="1">
      <c r="A51" s="1" t="s">
        <v>72</v>
      </c>
      <c r="B51" s="1" t="s">
        <v>597</v>
      </c>
      <c r="C51" s="1" t="s">
        <v>74</v>
      </c>
      <c r="D51" s="1" t="s">
        <v>74</v>
      </c>
      <c r="E51" s="1" t="s">
        <v>74</v>
      </c>
      <c r="F51" s="1" t="s">
        <v>598</v>
      </c>
      <c r="G51" s="1" t="s">
        <v>74</v>
      </c>
      <c r="H51" s="1" t="s">
        <v>74</v>
      </c>
      <c r="I51" s="1" t="s">
        <v>599</v>
      </c>
      <c r="J51" s="1" t="s">
        <v>600</v>
      </c>
      <c r="K51" s="1" t="s">
        <v>74</v>
      </c>
      <c r="L51" s="1" t="s">
        <v>74</v>
      </c>
      <c r="M51" s="1" t="s">
        <v>74</v>
      </c>
      <c r="N51" s="1" t="s">
        <v>78</v>
      </c>
      <c r="O51" s="1" t="s">
        <v>74</v>
      </c>
      <c r="P51" s="1" t="s">
        <v>74</v>
      </c>
      <c r="Q51" s="1" t="s">
        <v>74</v>
      </c>
      <c r="R51" s="1" t="s">
        <v>74</v>
      </c>
      <c r="S51" s="1" t="s">
        <v>74</v>
      </c>
      <c r="T51" s="1" t="s">
        <v>601</v>
      </c>
      <c r="U51" s="1" t="s">
        <v>74</v>
      </c>
      <c r="V51" s="1" t="s">
        <v>602</v>
      </c>
      <c r="W51" s="1" t="s">
        <v>74</v>
      </c>
      <c r="X51" s="1" t="s">
        <v>74</v>
      </c>
      <c r="Y51" s="1" t="s">
        <v>74</v>
      </c>
      <c r="Z51" s="1" t="s">
        <v>74</v>
      </c>
      <c r="AA51" s="1" t="s">
        <v>74</v>
      </c>
      <c r="AB51" s="1" t="s">
        <v>74</v>
      </c>
      <c r="AC51" s="1" t="s">
        <v>74</v>
      </c>
      <c r="AD51" s="1" t="s">
        <v>74</v>
      </c>
      <c r="AE51" s="1" t="s">
        <v>74</v>
      </c>
      <c r="AF51" s="1" t="s">
        <v>74</v>
      </c>
      <c r="AG51" s="1" t="s">
        <v>74</v>
      </c>
      <c r="AH51" s="1" t="s">
        <v>74</v>
      </c>
      <c r="AI51" s="1" t="s">
        <v>74</v>
      </c>
      <c r="AJ51" s="1" t="s">
        <v>74</v>
      </c>
      <c r="AK51" s="1" t="s">
        <v>74</v>
      </c>
      <c r="AL51" s="1" t="s">
        <v>74</v>
      </c>
      <c r="AM51" s="1" t="s">
        <v>74</v>
      </c>
      <c r="AN51" s="1" t="s">
        <v>74</v>
      </c>
      <c r="AO51" s="1" t="s">
        <v>74</v>
      </c>
      <c r="AP51" s="1" t="s">
        <v>603</v>
      </c>
      <c r="AQ51" s="1" t="s">
        <v>74</v>
      </c>
      <c r="AR51" s="1" t="s">
        <v>74</v>
      </c>
      <c r="AS51" s="1" t="s">
        <v>74</v>
      </c>
      <c r="AT51" s="1" t="s">
        <v>200</v>
      </c>
      <c r="AU51" s="1">
        <v>2025.0</v>
      </c>
      <c r="AV51" s="1">
        <v>7.0</v>
      </c>
      <c r="AW51" s="1" t="s">
        <v>74</v>
      </c>
      <c r="AX51" s="1" t="s">
        <v>74</v>
      </c>
      <c r="AY51" s="1" t="s">
        <v>74</v>
      </c>
      <c r="AZ51" s="1" t="s">
        <v>74</v>
      </c>
      <c r="BA51" s="1" t="s">
        <v>74</v>
      </c>
      <c r="BB51" s="1" t="s">
        <v>74</v>
      </c>
      <c r="BC51" s="1" t="s">
        <v>74</v>
      </c>
      <c r="BD51" s="1">
        <v>200396.0</v>
      </c>
      <c r="BE51" s="1" t="s">
        <v>604</v>
      </c>
      <c r="BF51" s="2" t="str">
        <f>HYPERLINK("http://dx.doi.org/10.1016/j.sasc.2025.200396","http://dx.doi.org/10.1016/j.sasc.2025.200396")</f>
        <v>http://dx.doi.org/10.1016/j.sasc.2025.200396</v>
      </c>
      <c r="BG51" s="1" t="s">
        <v>74</v>
      </c>
      <c r="BH51" s="1" t="s">
        <v>605</v>
      </c>
      <c r="BI51" s="1" t="s">
        <v>74</v>
      </c>
      <c r="BJ51" s="1" t="s">
        <v>74</v>
      </c>
      <c r="BK51" s="1" t="s">
        <v>74</v>
      </c>
      <c r="BL51" s="1" t="s">
        <v>174</v>
      </c>
      <c r="BM51" s="1" t="s">
        <v>74</v>
      </c>
      <c r="BN51" s="1" t="s">
        <v>74</v>
      </c>
      <c r="BO51" s="1" t="s">
        <v>163</v>
      </c>
      <c r="BP51" s="1" t="s">
        <v>74</v>
      </c>
      <c r="BQ51" s="1" t="s">
        <v>74</v>
      </c>
      <c r="BR51" s="1" t="s">
        <v>74</v>
      </c>
      <c r="BS51" s="1" t="s">
        <v>606</v>
      </c>
      <c r="BT51" s="1" t="str">
        <f>HYPERLINK("https%3A%2F%2Fwww.webofscience.com%2Fwos%2Fwoscc%2Ffull-record%2FWOS:001597046700003","View Full Record in Web of Science")</f>
        <v>View Full Record in Web of Science</v>
      </c>
    </row>
    <row r="52" ht="12.75" customHeight="1">
      <c r="A52" s="1" t="s">
        <v>72</v>
      </c>
      <c r="B52" s="1" t="s">
        <v>607</v>
      </c>
      <c r="C52" s="1" t="s">
        <v>74</v>
      </c>
      <c r="D52" s="1" t="s">
        <v>74</v>
      </c>
      <c r="E52" s="1" t="s">
        <v>74</v>
      </c>
      <c r="F52" s="1" t="s">
        <v>608</v>
      </c>
      <c r="G52" s="1" t="s">
        <v>74</v>
      </c>
      <c r="H52" s="1" t="s">
        <v>74</v>
      </c>
      <c r="I52" s="1" t="s">
        <v>609</v>
      </c>
      <c r="J52" s="1" t="s">
        <v>610</v>
      </c>
      <c r="K52" s="1" t="s">
        <v>74</v>
      </c>
      <c r="L52" s="1" t="s">
        <v>74</v>
      </c>
      <c r="M52" s="1" t="s">
        <v>74</v>
      </c>
      <c r="N52" s="1" t="s">
        <v>78</v>
      </c>
      <c r="O52" s="1" t="s">
        <v>74</v>
      </c>
      <c r="P52" s="1" t="s">
        <v>74</v>
      </c>
      <c r="Q52" s="1" t="s">
        <v>74</v>
      </c>
      <c r="R52" s="1" t="s">
        <v>74</v>
      </c>
      <c r="S52" s="1" t="s">
        <v>74</v>
      </c>
      <c r="T52" s="1" t="s">
        <v>611</v>
      </c>
      <c r="U52" s="1" t="s">
        <v>74</v>
      </c>
      <c r="V52" s="1" t="s">
        <v>612</v>
      </c>
      <c r="W52" s="1" t="s">
        <v>74</v>
      </c>
      <c r="X52" s="1" t="s">
        <v>74</v>
      </c>
      <c r="Y52" s="1" t="s">
        <v>74</v>
      </c>
      <c r="Z52" s="1" t="s">
        <v>74</v>
      </c>
      <c r="AA52" s="1" t="s">
        <v>74</v>
      </c>
      <c r="AB52" s="1" t="s">
        <v>74</v>
      </c>
      <c r="AC52" s="1" t="s">
        <v>74</v>
      </c>
      <c r="AD52" s="1" t="s">
        <v>74</v>
      </c>
      <c r="AE52" s="1" t="s">
        <v>74</v>
      </c>
      <c r="AF52" s="1" t="s">
        <v>74</v>
      </c>
      <c r="AG52" s="1" t="s">
        <v>74</v>
      </c>
      <c r="AH52" s="1" t="s">
        <v>74</v>
      </c>
      <c r="AI52" s="1" t="s">
        <v>74</v>
      </c>
      <c r="AJ52" s="1" t="s">
        <v>74</v>
      </c>
      <c r="AK52" s="1" t="s">
        <v>74</v>
      </c>
      <c r="AL52" s="1" t="s">
        <v>74</v>
      </c>
      <c r="AM52" s="1" t="s">
        <v>74</v>
      </c>
      <c r="AN52" s="1" t="s">
        <v>74</v>
      </c>
      <c r="AO52" s="1" t="s">
        <v>613</v>
      </c>
      <c r="AP52" s="1" t="s">
        <v>74</v>
      </c>
      <c r="AQ52" s="1" t="s">
        <v>74</v>
      </c>
      <c r="AR52" s="1" t="s">
        <v>74</v>
      </c>
      <c r="AS52" s="1" t="s">
        <v>74</v>
      </c>
      <c r="AT52" s="1" t="s">
        <v>335</v>
      </c>
      <c r="AU52" s="1">
        <v>2024.0</v>
      </c>
      <c r="AV52" s="1">
        <v>11.0</v>
      </c>
      <c r="AW52" s="1">
        <v>2.0</v>
      </c>
      <c r="AX52" s="1" t="s">
        <v>74</v>
      </c>
      <c r="AY52" s="1" t="s">
        <v>74</v>
      </c>
      <c r="AZ52" s="1" t="s">
        <v>74</v>
      </c>
      <c r="BA52" s="1" t="s">
        <v>74</v>
      </c>
      <c r="BB52" s="1" t="s">
        <v>74</v>
      </c>
      <c r="BC52" s="1" t="s">
        <v>74</v>
      </c>
      <c r="BD52" s="1">
        <v>2.053951724124784E16</v>
      </c>
      <c r="BE52" s="1" t="s">
        <v>614</v>
      </c>
      <c r="BF52" s="2" t="str">
        <f>HYPERLINK("http://dx.doi.org/10.1177/20539517241247839","http://dx.doi.org/10.1177/20539517241247839")</f>
        <v>http://dx.doi.org/10.1177/20539517241247839</v>
      </c>
      <c r="BG52" s="1" t="s">
        <v>74</v>
      </c>
      <c r="BH52" s="1" t="s">
        <v>74</v>
      </c>
      <c r="BI52" s="1" t="s">
        <v>74</v>
      </c>
      <c r="BJ52" s="1" t="s">
        <v>74</v>
      </c>
      <c r="BK52" s="1" t="s">
        <v>74</v>
      </c>
      <c r="BL52" s="1" t="s">
        <v>615</v>
      </c>
      <c r="BM52" s="1" t="s">
        <v>74</v>
      </c>
      <c r="BN52" s="1" t="s">
        <v>74</v>
      </c>
      <c r="BO52" s="1" t="s">
        <v>163</v>
      </c>
      <c r="BP52" s="1" t="s">
        <v>74</v>
      </c>
      <c r="BQ52" s="1" t="s">
        <v>74</v>
      </c>
      <c r="BR52" s="1" t="s">
        <v>74</v>
      </c>
      <c r="BS52" s="1" t="s">
        <v>616</v>
      </c>
      <c r="BT52" s="1" t="str">
        <f>HYPERLINK("https%3A%2F%2Fwww.webofscience.com%2Fwos%2Fwoscc%2Ffull-record%2FWOS:001206166000001","View Full Record in Web of Science")</f>
        <v>View Full Record in Web of Science</v>
      </c>
    </row>
    <row r="53" ht="12.75" customHeight="1">
      <c r="A53" s="1" t="s">
        <v>72</v>
      </c>
      <c r="B53" s="1" t="s">
        <v>617</v>
      </c>
      <c r="C53" s="1" t="s">
        <v>74</v>
      </c>
      <c r="D53" s="1" t="s">
        <v>74</v>
      </c>
      <c r="E53" s="1" t="s">
        <v>74</v>
      </c>
      <c r="F53" s="1" t="s">
        <v>618</v>
      </c>
      <c r="G53" s="1" t="s">
        <v>74</v>
      </c>
      <c r="H53" s="1" t="s">
        <v>74</v>
      </c>
      <c r="I53" s="1" t="s">
        <v>619</v>
      </c>
      <c r="J53" s="1" t="s">
        <v>620</v>
      </c>
      <c r="K53" s="1" t="s">
        <v>74</v>
      </c>
      <c r="L53" s="1" t="s">
        <v>74</v>
      </c>
      <c r="M53" s="1" t="s">
        <v>74</v>
      </c>
      <c r="N53" s="1" t="s">
        <v>78</v>
      </c>
      <c r="O53" s="1" t="s">
        <v>74</v>
      </c>
      <c r="P53" s="1" t="s">
        <v>74</v>
      </c>
      <c r="Q53" s="1" t="s">
        <v>74</v>
      </c>
      <c r="R53" s="1" t="s">
        <v>74</v>
      </c>
      <c r="S53" s="1" t="s">
        <v>74</v>
      </c>
      <c r="T53" s="1" t="s">
        <v>621</v>
      </c>
      <c r="U53" s="1" t="s">
        <v>622</v>
      </c>
      <c r="V53" s="1" t="s">
        <v>623</v>
      </c>
      <c r="W53" s="1" t="s">
        <v>74</v>
      </c>
      <c r="X53" s="1" t="s">
        <v>74</v>
      </c>
      <c r="Y53" s="1" t="s">
        <v>74</v>
      </c>
      <c r="Z53" s="1" t="s">
        <v>74</v>
      </c>
      <c r="AA53" s="1" t="s">
        <v>74</v>
      </c>
      <c r="AB53" s="1" t="s">
        <v>74</v>
      </c>
      <c r="AC53" s="1" t="s">
        <v>74</v>
      </c>
      <c r="AD53" s="1" t="s">
        <v>74</v>
      </c>
      <c r="AE53" s="1" t="s">
        <v>74</v>
      </c>
      <c r="AF53" s="1" t="s">
        <v>74</v>
      </c>
      <c r="AG53" s="1" t="s">
        <v>74</v>
      </c>
      <c r="AH53" s="1" t="s">
        <v>74</v>
      </c>
      <c r="AI53" s="1" t="s">
        <v>74</v>
      </c>
      <c r="AJ53" s="1" t="s">
        <v>74</v>
      </c>
      <c r="AK53" s="1" t="s">
        <v>74</v>
      </c>
      <c r="AL53" s="1" t="s">
        <v>74</v>
      </c>
      <c r="AM53" s="1" t="s">
        <v>74</v>
      </c>
      <c r="AN53" s="1" t="s">
        <v>74</v>
      </c>
      <c r="AO53" s="1" t="s">
        <v>624</v>
      </c>
      <c r="AP53" s="1" t="s">
        <v>625</v>
      </c>
      <c r="AQ53" s="1" t="s">
        <v>74</v>
      </c>
      <c r="AR53" s="1" t="s">
        <v>74</v>
      </c>
      <c r="AS53" s="1" t="s">
        <v>74</v>
      </c>
      <c r="AT53" s="1" t="s">
        <v>172</v>
      </c>
      <c r="AU53" s="1">
        <v>2024.0</v>
      </c>
      <c r="AV53" s="1">
        <v>81.0</v>
      </c>
      <c r="AW53" s="1" t="s">
        <v>74</v>
      </c>
      <c r="AX53" s="1" t="s">
        <v>74</v>
      </c>
      <c r="AY53" s="1" t="s">
        <v>74</v>
      </c>
      <c r="AZ53" s="1" t="s">
        <v>74</v>
      </c>
      <c r="BA53" s="1" t="s">
        <v>74</v>
      </c>
      <c r="BB53" s="1" t="s">
        <v>74</v>
      </c>
      <c r="BC53" s="1" t="s">
        <v>74</v>
      </c>
      <c r="BD53" s="1">
        <v>103975.0</v>
      </c>
      <c r="BE53" s="1" t="s">
        <v>626</v>
      </c>
      <c r="BF53" s="2" t="str">
        <f>HYPERLINK("http://dx.doi.org/10.1016/j.jretconser.2024.103975","http://dx.doi.org/10.1016/j.jretconser.2024.103975")</f>
        <v>http://dx.doi.org/10.1016/j.jretconser.2024.103975</v>
      </c>
      <c r="BG53" s="1" t="s">
        <v>74</v>
      </c>
      <c r="BH53" s="1" t="s">
        <v>545</v>
      </c>
      <c r="BI53" s="1" t="s">
        <v>74</v>
      </c>
      <c r="BJ53" s="1" t="s">
        <v>74</v>
      </c>
      <c r="BK53" s="1" t="s">
        <v>74</v>
      </c>
      <c r="BL53" s="1" t="s">
        <v>214</v>
      </c>
      <c r="BM53" s="1" t="s">
        <v>74</v>
      </c>
      <c r="BN53" s="1" t="s">
        <v>74</v>
      </c>
      <c r="BO53" s="1" t="s">
        <v>74</v>
      </c>
      <c r="BP53" s="1" t="s">
        <v>74</v>
      </c>
      <c r="BQ53" s="1" t="s">
        <v>74</v>
      </c>
      <c r="BR53" s="1" t="s">
        <v>74</v>
      </c>
      <c r="BS53" s="1" t="s">
        <v>627</v>
      </c>
      <c r="BT53" s="1" t="str">
        <f>HYPERLINK("https%3A%2F%2Fwww.webofscience.com%2Fwos%2Fwoscc%2Ffull-record%2FWOS:001268385100001","View Full Record in Web of Science")</f>
        <v>View Full Record in Web of Science</v>
      </c>
    </row>
    <row r="54" ht="12.75" customHeight="1">
      <c r="A54" s="1" t="s">
        <v>72</v>
      </c>
      <c r="B54" s="1" t="s">
        <v>628</v>
      </c>
      <c r="C54" s="1" t="s">
        <v>74</v>
      </c>
      <c r="D54" s="1" t="s">
        <v>74</v>
      </c>
      <c r="E54" s="1" t="s">
        <v>74</v>
      </c>
      <c r="F54" s="1" t="s">
        <v>629</v>
      </c>
      <c r="G54" s="1" t="s">
        <v>74</v>
      </c>
      <c r="H54" s="1" t="s">
        <v>74</v>
      </c>
      <c r="I54" s="1" t="s">
        <v>630</v>
      </c>
      <c r="J54" s="1" t="s">
        <v>631</v>
      </c>
      <c r="K54" s="1" t="s">
        <v>74</v>
      </c>
      <c r="L54" s="1" t="s">
        <v>74</v>
      </c>
      <c r="M54" s="1" t="s">
        <v>74</v>
      </c>
      <c r="N54" s="1" t="s">
        <v>78</v>
      </c>
      <c r="O54" s="1" t="s">
        <v>74</v>
      </c>
      <c r="P54" s="1" t="s">
        <v>74</v>
      </c>
      <c r="Q54" s="1" t="s">
        <v>74</v>
      </c>
      <c r="R54" s="1" t="s">
        <v>74</v>
      </c>
      <c r="S54" s="1" t="s">
        <v>74</v>
      </c>
      <c r="T54" s="1" t="s">
        <v>632</v>
      </c>
      <c r="U54" s="1" t="s">
        <v>633</v>
      </c>
      <c r="V54" s="1" t="s">
        <v>634</v>
      </c>
      <c r="W54" s="1" t="s">
        <v>74</v>
      </c>
      <c r="X54" s="1" t="s">
        <v>74</v>
      </c>
      <c r="Y54" s="1" t="s">
        <v>74</v>
      </c>
      <c r="Z54" s="1" t="s">
        <v>74</v>
      </c>
      <c r="AA54" s="1" t="s">
        <v>74</v>
      </c>
      <c r="AB54" s="1" t="s">
        <v>74</v>
      </c>
      <c r="AC54" s="1" t="s">
        <v>74</v>
      </c>
      <c r="AD54" s="1" t="s">
        <v>74</v>
      </c>
      <c r="AE54" s="1" t="s">
        <v>74</v>
      </c>
      <c r="AF54" s="1" t="s">
        <v>74</v>
      </c>
      <c r="AG54" s="1" t="s">
        <v>74</v>
      </c>
      <c r="AH54" s="1" t="s">
        <v>74</v>
      </c>
      <c r="AI54" s="1" t="s">
        <v>74</v>
      </c>
      <c r="AJ54" s="1" t="s">
        <v>74</v>
      </c>
      <c r="AK54" s="1" t="s">
        <v>74</v>
      </c>
      <c r="AL54" s="1" t="s">
        <v>74</v>
      </c>
      <c r="AM54" s="1" t="s">
        <v>74</v>
      </c>
      <c r="AN54" s="1" t="s">
        <v>74</v>
      </c>
      <c r="AO54" s="1" t="s">
        <v>635</v>
      </c>
      <c r="AP54" s="1" t="s">
        <v>636</v>
      </c>
      <c r="AQ54" s="1" t="s">
        <v>74</v>
      </c>
      <c r="AR54" s="1" t="s">
        <v>74</v>
      </c>
      <c r="AS54" s="1" t="s">
        <v>74</v>
      </c>
      <c r="AT54" s="1" t="s">
        <v>74</v>
      </c>
      <c r="AU54" s="1">
        <v>2025.0</v>
      </c>
      <c r="AV54" s="1">
        <v>72.0</v>
      </c>
      <c r="AW54" s="1" t="s">
        <v>74</v>
      </c>
      <c r="AX54" s="1" t="s">
        <v>74</v>
      </c>
      <c r="AY54" s="1" t="s">
        <v>74</v>
      </c>
      <c r="AZ54" s="1" t="s">
        <v>74</v>
      </c>
      <c r="BA54" s="1" t="s">
        <v>74</v>
      </c>
      <c r="BB54" s="1">
        <v>1262.0</v>
      </c>
      <c r="BC54" s="1">
        <v>1280.0</v>
      </c>
      <c r="BD54" s="1" t="s">
        <v>74</v>
      </c>
      <c r="BE54" s="1" t="s">
        <v>637</v>
      </c>
      <c r="BF54" s="2" t="str">
        <f>HYPERLINK("http://dx.doi.org/10.1109/TEM.2025.3553595","http://dx.doi.org/10.1109/TEM.2025.3553595")</f>
        <v>http://dx.doi.org/10.1109/TEM.2025.3553595</v>
      </c>
      <c r="BG54" s="1" t="s">
        <v>74</v>
      </c>
      <c r="BH54" s="1" t="s">
        <v>74</v>
      </c>
      <c r="BI54" s="1" t="s">
        <v>74</v>
      </c>
      <c r="BJ54" s="1" t="s">
        <v>74</v>
      </c>
      <c r="BK54" s="1" t="s">
        <v>74</v>
      </c>
      <c r="BL54" s="1" t="s">
        <v>638</v>
      </c>
      <c r="BM54" s="1" t="s">
        <v>74</v>
      </c>
      <c r="BN54" s="1" t="s">
        <v>74</v>
      </c>
      <c r="BO54" s="1" t="s">
        <v>74</v>
      </c>
      <c r="BP54" s="1" t="s">
        <v>74</v>
      </c>
      <c r="BQ54" s="1" t="s">
        <v>74</v>
      </c>
      <c r="BR54" s="1" t="s">
        <v>74</v>
      </c>
      <c r="BS54" s="1" t="s">
        <v>639</v>
      </c>
      <c r="BT54" s="1" t="str">
        <f>HYPERLINK("https%3A%2F%2Fwww.webofscience.com%2Fwos%2Fwoscc%2Ffull-record%2FWOS:001468771900008","View Full Record in Web of Science")</f>
        <v>View Full Record in Web of Science</v>
      </c>
    </row>
    <row r="55" ht="12.75" customHeight="1">
      <c r="A55" s="1" t="s">
        <v>72</v>
      </c>
      <c r="B55" s="1" t="s">
        <v>640</v>
      </c>
      <c r="C55" s="1" t="s">
        <v>74</v>
      </c>
      <c r="D55" s="1" t="s">
        <v>74</v>
      </c>
      <c r="E55" s="1" t="s">
        <v>74</v>
      </c>
      <c r="F55" s="1" t="s">
        <v>641</v>
      </c>
      <c r="G55" s="1" t="s">
        <v>74</v>
      </c>
      <c r="H55" s="1" t="s">
        <v>74</v>
      </c>
      <c r="I55" s="1" t="s">
        <v>642</v>
      </c>
      <c r="J55" s="1" t="s">
        <v>643</v>
      </c>
      <c r="K55" s="1" t="s">
        <v>74</v>
      </c>
      <c r="L55" s="1" t="s">
        <v>74</v>
      </c>
      <c r="M55" s="1" t="s">
        <v>74</v>
      </c>
      <c r="N55" s="1" t="s">
        <v>78</v>
      </c>
      <c r="O55" s="1" t="s">
        <v>74</v>
      </c>
      <c r="P55" s="1" t="s">
        <v>74</v>
      </c>
      <c r="Q55" s="1" t="s">
        <v>74</v>
      </c>
      <c r="R55" s="1" t="s">
        <v>74</v>
      </c>
      <c r="S55" s="1" t="s">
        <v>74</v>
      </c>
      <c r="T55" s="1" t="s">
        <v>74</v>
      </c>
      <c r="U55" s="1" t="s">
        <v>74</v>
      </c>
      <c r="V55" s="1" t="s">
        <v>644</v>
      </c>
      <c r="W55" s="1" t="s">
        <v>74</v>
      </c>
      <c r="X55" s="1" t="s">
        <v>74</v>
      </c>
      <c r="Y55" s="1" t="s">
        <v>74</v>
      </c>
      <c r="Z55" s="1" t="s">
        <v>74</v>
      </c>
      <c r="AA55" s="1" t="s">
        <v>74</v>
      </c>
      <c r="AB55" s="1" t="s">
        <v>74</v>
      </c>
      <c r="AC55" s="1" t="s">
        <v>74</v>
      </c>
      <c r="AD55" s="1" t="s">
        <v>74</v>
      </c>
      <c r="AE55" s="1" t="s">
        <v>74</v>
      </c>
      <c r="AF55" s="1" t="s">
        <v>74</v>
      </c>
      <c r="AG55" s="1" t="s">
        <v>74</v>
      </c>
      <c r="AH55" s="1" t="s">
        <v>74</v>
      </c>
      <c r="AI55" s="1" t="s">
        <v>74</v>
      </c>
      <c r="AJ55" s="1" t="s">
        <v>74</v>
      </c>
      <c r="AK55" s="1" t="s">
        <v>74</v>
      </c>
      <c r="AL55" s="1" t="s">
        <v>74</v>
      </c>
      <c r="AM55" s="1" t="s">
        <v>74</v>
      </c>
      <c r="AN55" s="1" t="s">
        <v>74</v>
      </c>
      <c r="AO55" s="1" t="s">
        <v>645</v>
      </c>
      <c r="AP55" s="1" t="s">
        <v>646</v>
      </c>
      <c r="AQ55" s="1" t="s">
        <v>74</v>
      </c>
      <c r="AR55" s="1" t="s">
        <v>74</v>
      </c>
      <c r="AS55" s="1" t="s">
        <v>74</v>
      </c>
      <c r="AT55" s="1" t="s">
        <v>647</v>
      </c>
      <c r="AU55" s="1">
        <v>2022.0</v>
      </c>
      <c r="AV55" s="1">
        <v>2022.0</v>
      </c>
      <c r="AW55" s="1" t="s">
        <v>74</v>
      </c>
      <c r="AX55" s="1" t="s">
        <v>74</v>
      </c>
      <c r="AY55" s="1" t="s">
        <v>74</v>
      </c>
      <c r="AZ55" s="1" t="s">
        <v>74</v>
      </c>
      <c r="BA55" s="1" t="s">
        <v>74</v>
      </c>
      <c r="BB55" s="1" t="s">
        <v>74</v>
      </c>
      <c r="BC55" s="1" t="s">
        <v>74</v>
      </c>
      <c r="BD55" s="1">
        <v>6603576.0</v>
      </c>
      <c r="BE55" s="1" t="s">
        <v>648</v>
      </c>
      <c r="BF55" s="2" t="str">
        <f>HYPERLINK("http://dx.doi.org/10.1155/2022/6603576","http://dx.doi.org/10.1155/2022/6603576")</f>
        <v>http://dx.doi.org/10.1155/2022/6603576</v>
      </c>
      <c r="BG55" s="1" t="s">
        <v>74</v>
      </c>
      <c r="BH55" s="1" t="s">
        <v>74</v>
      </c>
      <c r="BI55" s="1" t="s">
        <v>74</v>
      </c>
      <c r="BJ55" s="1" t="s">
        <v>74</v>
      </c>
      <c r="BK55" s="1" t="s">
        <v>74</v>
      </c>
      <c r="BL55" s="1" t="s">
        <v>394</v>
      </c>
      <c r="BM55" s="1" t="s">
        <v>74</v>
      </c>
      <c r="BN55" s="1" t="s">
        <v>74</v>
      </c>
      <c r="BO55" s="1" t="s">
        <v>114</v>
      </c>
      <c r="BP55" s="1" t="s">
        <v>74</v>
      </c>
      <c r="BQ55" s="1" t="s">
        <v>74</v>
      </c>
      <c r="BR55" s="1" t="s">
        <v>74</v>
      </c>
      <c r="BS55" s="1" t="s">
        <v>649</v>
      </c>
      <c r="BT55" s="1" t="str">
        <f>HYPERLINK("https%3A%2F%2Fwww.webofscience.com%2Fwos%2Fwoscc%2Ffull-record%2FWOS:000813927700001","View Full Record in Web of Science")</f>
        <v>View Full Record in Web of Science</v>
      </c>
    </row>
    <row r="56" ht="12.75" customHeight="1">
      <c r="A56" s="1" t="s">
        <v>72</v>
      </c>
      <c r="B56" s="1" t="s">
        <v>650</v>
      </c>
      <c r="C56" s="1" t="s">
        <v>74</v>
      </c>
      <c r="D56" s="1" t="s">
        <v>74</v>
      </c>
      <c r="E56" s="1" t="s">
        <v>74</v>
      </c>
      <c r="F56" s="1" t="s">
        <v>651</v>
      </c>
      <c r="G56" s="1" t="s">
        <v>74</v>
      </c>
      <c r="H56" s="1" t="s">
        <v>74</v>
      </c>
      <c r="I56" s="1" t="s">
        <v>652</v>
      </c>
      <c r="J56" s="1" t="s">
        <v>653</v>
      </c>
      <c r="K56" s="1" t="s">
        <v>74</v>
      </c>
      <c r="L56" s="1" t="s">
        <v>74</v>
      </c>
      <c r="M56" s="1" t="s">
        <v>74</v>
      </c>
      <c r="N56" s="1" t="s">
        <v>78</v>
      </c>
      <c r="O56" s="1" t="s">
        <v>74</v>
      </c>
      <c r="P56" s="1" t="s">
        <v>74</v>
      </c>
      <c r="Q56" s="1" t="s">
        <v>74</v>
      </c>
      <c r="R56" s="1" t="s">
        <v>74</v>
      </c>
      <c r="S56" s="1" t="s">
        <v>74</v>
      </c>
      <c r="T56" s="1" t="s">
        <v>654</v>
      </c>
      <c r="U56" s="1" t="s">
        <v>74</v>
      </c>
      <c r="V56" s="1" t="s">
        <v>655</v>
      </c>
      <c r="W56" s="1" t="s">
        <v>74</v>
      </c>
      <c r="X56" s="1" t="s">
        <v>74</v>
      </c>
      <c r="Y56" s="1" t="s">
        <v>74</v>
      </c>
      <c r="Z56" s="1" t="s">
        <v>74</v>
      </c>
      <c r="AA56" s="1" t="s">
        <v>74</v>
      </c>
      <c r="AB56" s="1" t="s">
        <v>74</v>
      </c>
      <c r="AC56" s="1" t="s">
        <v>74</v>
      </c>
      <c r="AD56" s="1" t="s">
        <v>74</v>
      </c>
      <c r="AE56" s="1" t="s">
        <v>74</v>
      </c>
      <c r="AF56" s="1" t="s">
        <v>74</v>
      </c>
      <c r="AG56" s="1" t="s">
        <v>74</v>
      </c>
      <c r="AH56" s="1" t="s">
        <v>74</v>
      </c>
      <c r="AI56" s="1" t="s">
        <v>74</v>
      </c>
      <c r="AJ56" s="1" t="s">
        <v>74</v>
      </c>
      <c r="AK56" s="1" t="s">
        <v>74</v>
      </c>
      <c r="AL56" s="1" t="s">
        <v>74</v>
      </c>
      <c r="AM56" s="1" t="s">
        <v>74</v>
      </c>
      <c r="AN56" s="1" t="s">
        <v>74</v>
      </c>
      <c r="AO56" s="1" t="s">
        <v>74</v>
      </c>
      <c r="AP56" s="1" t="s">
        <v>656</v>
      </c>
      <c r="AQ56" s="1" t="s">
        <v>74</v>
      </c>
      <c r="AR56" s="1" t="s">
        <v>74</v>
      </c>
      <c r="AS56" s="1" t="s">
        <v>74</v>
      </c>
      <c r="AT56" s="1" t="s">
        <v>657</v>
      </c>
      <c r="AU56" s="1">
        <v>2025.0</v>
      </c>
      <c r="AV56" s="1">
        <v>11.0</v>
      </c>
      <c r="AW56" s="1" t="s">
        <v>74</v>
      </c>
      <c r="AX56" s="1" t="s">
        <v>74</v>
      </c>
      <c r="AY56" s="1" t="s">
        <v>74</v>
      </c>
      <c r="AZ56" s="1" t="s">
        <v>74</v>
      </c>
      <c r="BA56" s="1" t="s">
        <v>74</v>
      </c>
      <c r="BB56" s="1" t="s">
        <v>74</v>
      </c>
      <c r="BC56" s="1" t="s">
        <v>74</v>
      </c>
      <c r="BD56" s="1" t="s">
        <v>658</v>
      </c>
      <c r="BE56" s="1" t="s">
        <v>659</v>
      </c>
      <c r="BF56" s="2" t="str">
        <f>HYPERLINK("http://dx.doi.org/10.7717/peerj-cs.2694","http://dx.doi.org/10.7717/peerj-cs.2694")</f>
        <v>http://dx.doi.org/10.7717/peerj-cs.2694</v>
      </c>
      <c r="BG56" s="1" t="s">
        <v>74</v>
      </c>
      <c r="BH56" s="1" t="s">
        <v>74</v>
      </c>
      <c r="BI56" s="1" t="s">
        <v>74</v>
      </c>
      <c r="BJ56" s="1" t="s">
        <v>74</v>
      </c>
      <c r="BK56" s="1" t="s">
        <v>74</v>
      </c>
      <c r="BL56" s="1" t="s">
        <v>174</v>
      </c>
      <c r="BM56" s="1" t="s">
        <v>74</v>
      </c>
      <c r="BN56" s="1" t="s">
        <v>74</v>
      </c>
      <c r="BO56" s="1" t="s">
        <v>153</v>
      </c>
      <c r="BP56" s="1" t="s">
        <v>74</v>
      </c>
      <c r="BQ56" s="1" t="s">
        <v>74</v>
      </c>
      <c r="BR56" s="1" t="s">
        <v>74</v>
      </c>
      <c r="BS56" s="1" t="s">
        <v>660</v>
      </c>
      <c r="BT56" s="1" t="str">
        <f>HYPERLINK("https%3A%2F%2Fwww.webofscience.com%2Fwos%2Fwoscc%2Ffull-record%2FWOS:001480037600001","View Full Record in Web of Science")</f>
        <v>View Full Record in Web of Science</v>
      </c>
    </row>
    <row r="57" ht="12.75" customHeight="1">
      <c r="A57" s="1" t="s">
        <v>72</v>
      </c>
      <c r="B57" s="1" t="s">
        <v>661</v>
      </c>
      <c r="C57" s="1" t="s">
        <v>74</v>
      </c>
      <c r="D57" s="1" t="s">
        <v>74</v>
      </c>
      <c r="E57" s="1" t="s">
        <v>74</v>
      </c>
      <c r="F57" s="1" t="s">
        <v>662</v>
      </c>
      <c r="G57" s="1" t="s">
        <v>74</v>
      </c>
      <c r="H57" s="1" t="s">
        <v>74</v>
      </c>
      <c r="I57" s="1" t="s">
        <v>663</v>
      </c>
      <c r="J57" s="1" t="s">
        <v>664</v>
      </c>
      <c r="K57" s="1" t="s">
        <v>74</v>
      </c>
      <c r="L57" s="1" t="s">
        <v>74</v>
      </c>
      <c r="M57" s="1" t="s">
        <v>74</v>
      </c>
      <c r="N57" s="1" t="s">
        <v>78</v>
      </c>
      <c r="O57" s="1" t="s">
        <v>74</v>
      </c>
      <c r="P57" s="1" t="s">
        <v>74</v>
      </c>
      <c r="Q57" s="1" t="s">
        <v>74</v>
      </c>
      <c r="R57" s="1" t="s">
        <v>74</v>
      </c>
      <c r="S57" s="1" t="s">
        <v>74</v>
      </c>
      <c r="T57" s="1" t="s">
        <v>665</v>
      </c>
      <c r="U57" s="1" t="s">
        <v>74</v>
      </c>
      <c r="V57" s="1" t="s">
        <v>666</v>
      </c>
      <c r="W57" s="1" t="s">
        <v>74</v>
      </c>
      <c r="X57" s="1" t="s">
        <v>74</v>
      </c>
      <c r="Y57" s="1" t="s">
        <v>74</v>
      </c>
      <c r="Z57" s="1" t="s">
        <v>74</v>
      </c>
      <c r="AA57" s="1" t="s">
        <v>74</v>
      </c>
      <c r="AB57" s="1" t="s">
        <v>74</v>
      </c>
      <c r="AC57" s="1" t="s">
        <v>74</v>
      </c>
      <c r="AD57" s="1" t="s">
        <v>74</v>
      </c>
      <c r="AE57" s="1" t="s">
        <v>74</v>
      </c>
      <c r="AF57" s="1" t="s">
        <v>74</v>
      </c>
      <c r="AG57" s="1" t="s">
        <v>74</v>
      </c>
      <c r="AH57" s="1" t="s">
        <v>74</v>
      </c>
      <c r="AI57" s="1" t="s">
        <v>74</v>
      </c>
      <c r="AJ57" s="1" t="s">
        <v>74</v>
      </c>
      <c r="AK57" s="1" t="s">
        <v>74</v>
      </c>
      <c r="AL57" s="1" t="s">
        <v>74</v>
      </c>
      <c r="AM57" s="1" t="s">
        <v>74</v>
      </c>
      <c r="AN57" s="1" t="s">
        <v>74</v>
      </c>
      <c r="AO57" s="1" t="s">
        <v>667</v>
      </c>
      <c r="AP57" s="1" t="s">
        <v>668</v>
      </c>
      <c r="AQ57" s="1" t="s">
        <v>74</v>
      </c>
      <c r="AR57" s="1" t="s">
        <v>74</v>
      </c>
      <c r="AS57" s="1" t="s">
        <v>74</v>
      </c>
      <c r="AT57" s="1" t="s">
        <v>669</v>
      </c>
      <c r="AU57" s="1">
        <v>2025.0</v>
      </c>
      <c r="AV57" s="1">
        <v>40.0</v>
      </c>
      <c r="AW57" s="1">
        <v>4.0</v>
      </c>
      <c r="AX57" s="1" t="s">
        <v>74</v>
      </c>
      <c r="AY57" s="1" t="s">
        <v>74</v>
      </c>
      <c r="AZ57" s="1" t="s">
        <v>74</v>
      </c>
      <c r="BA57" s="1" t="s">
        <v>74</v>
      </c>
      <c r="BB57" s="1">
        <v>46.0</v>
      </c>
      <c r="BC57" s="1">
        <v>54.0</v>
      </c>
      <c r="BD57" s="1" t="s">
        <v>74</v>
      </c>
      <c r="BE57" s="1" t="s">
        <v>670</v>
      </c>
      <c r="BF57" s="2" t="str">
        <f>HYPERLINK("http://dx.doi.org/10.1109/MIS.2025.3567372","http://dx.doi.org/10.1109/MIS.2025.3567372")</f>
        <v>http://dx.doi.org/10.1109/MIS.2025.3567372</v>
      </c>
      <c r="BG57" s="1" t="s">
        <v>74</v>
      </c>
      <c r="BH57" s="1" t="s">
        <v>74</v>
      </c>
      <c r="BI57" s="1" t="s">
        <v>74</v>
      </c>
      <c r="BJ57" s="1" t="s">
        <v>74</v>
      </c>
      <c r="BK57" s="1" t="s">
        <v>74</v>
      </c>
      <c r="BL57" s="1" t="s">
        <v>98</v>
      </c>
      <c r="BM57" s="1" t="s">
        <v>74</v>
      </c>
      <c r="BN57" s="1" t="s">
        <v>74</v>
      </c>
      <c r="BO57" s="1" t="s">
        <v>74</v>
      </c>
      <c r="BP57" s="1" t="s">
        <v>74</v>
      </c>
      <c r="BQ57" s="1" t="s">
        <v>74</v>
      </c>
      <c r="BR57" s="1" t="s">
        <v>74</v>
      </c>
      <c r="BS57" s="1" t="s">
        <v>671</v>
      </c>
      <c r="BT57" s="1" t="str">
        <f>HYPERLINK("https%3A%2F%2Fwww.webofscience.com%2Fwos%2Fwoscc%2Ffull-record%2FWOS:001554164100002","View Full Record in Web of Science")</f>
        <v>View Full Record in Web of Science</v>
      </c>
    </row>
    <row r="58" ht="12.75" customHeight="1">
      <c r="A58" s="1" t="s">
        <v>72</v>
      </c>
      <c r="B58" s="1" t="s">
        <v>672</v>
      </c>
      <c r="C58" s="1" t="s">
        <v>74</v>
      </c>
      <c r="D58" s="1" t="s">
        <v>74</v>
      </c>
      <c r="E58" s="1" t="s">
        <v>74</v>
      </c>
      <c r="F58" s="1" t="s">
        <v>673</v>
      </c>
      <c r="G58" s="1" t="s">
        <v>74</v>
      </c>
      <c r="H58" s="1" t="s">
        <v>74</v>
      </c>
      <c r="I58" s="1" t="s">
        <v>674</v>
      </c>
      <c r="J58" s="1" t="s">
        <v>675</v>
      </c>
      <c r="K58" s="1" t="s">
        <v>74</v>
      </c>
      <c r="L58" s="1" t="s">
        <v>74</v>
      </c>
      <c r="M58" s="1" t="s">
        <v>74</v>
      </c>
      <c r="N58" s="1" t="s">
        <v>78</v>
      </c>
      <c r="O58" s="1" t="s">
        <v>74</v>
      </c>
      <c r="P58" s="1" t="s">
        <v>74</v>
      </c>
      <c r="Q58" s="1" t="s">
        <v>74</v>
      </c>
      <c r="R58" s="1" t="s">
        <v>74</v>
      </c>
      <c r="S58" s="1" t="s">
        <v>74</v>
      </c>
      <c r="T58" s="1" t="s">
        <v>676</v>
      </c>
      <c r="U58" s="1" t="s">
        <v>677</v>
      </c>
      <c r="V58" s="1" t="s">
        <v>678</v>
      </c>
      <c r="W58" s="1" t="s">
        <v>74</v>
      </c>
      <c r="X58" s="1" t="s">
        <v>74</v>
      </c>
      <c r="Y58" s="1" t="s">
        <v>74</v>
      </c>
      <c r="Z58" s="1" t="s">
        <v>74</v>
      </c>
      <c r="AA58" s="1" t="s">
        <v>74</v>
      </c>
      <c r="AB58" s="1" t="s">
        <v>74</v>
      </c>
      <c r="AC58" s="1" t="s">
        <v>74</v>
      </c>
      <c r="AD58" s="1" t="s">
        <v>74</v>
      </c>
      <c r="AE58" s="1" t="s">
        <v>74</v>
      </c>
      <c r="AF58" s="1" t="s">
        <v>74</v>
      </c>
      <c r="AG58" s="1" t="s">
        <v>74</v>
      </c>
      <c r="AH58" s="1" t="s">
        <v>74</v>
      </c>
      <c r="AI58" s="1" t="s">
        <v>74</v>
      </c>
      <c r="AJ58" s="1" t="s">
        <v>74</v>
      </c>
      <c r="AK58" s="1" t="s">
        <v>74</v>
      </c>
      <c r="AL58" s="1" t="s">
        <v>74</v>
      </c>
      <c r="AM58" s="1" t="s">
        <v>74</v>
      </c>
      <c r="AN58" s="1" t="s">
        <v>74</v>
      </c>
      <c r="AO58" s="1" t="s">
        <v>74</v>
      </c>
      <c r="AP58" s="1" t="s">
        <v>679</v>
      </c>
      <c r="AQ58" s="1" t="s">
        <v>74</v>
      </c>
      <c r="AR58" s="1" t="s">
        <v>74</v>
      </c>
      <c r="AS58" s="1" t="s">
        <v>74</v>
      </c>
      <c r="AT58" s="1" t="s">
        <v>680</v>
      </c>
      <c r="AU58" s="1">
        <v>2025.0</v>
      </c>
      <c r="AV58" s="1">
        <v>8.0</v>
      </c>
      <c r="AW58" s="1" t="s">
        <v>74</v>
      </c>
      <c r="AX58" s="1" t="s">
        <v>74</v>
      </c>
      <c r="AY58" s="1" t="s">
        <v>74</v>
      </c>
      <c r="AZ58" s="1" t="s">
        <v>74</v>
      </c>
      <c r="BA58" s="1" t="s">
        <v>74</v>
      </c>
      <c r="BB58" s="1" t="s">
        <v>74</v>
      </c>
      <c r="BC58" s="1" t="s">
        <v>74</v>
      </c>
      <c r="BD58" s="1">
        <v>1669896.0</v>
      </c>
      <c r="BE58" s="1" t="s">
        <v>681</v>
      </c>
      <c r="BF58" s="2" t="str">
        <f>HYPERLINK("http://dx.doi.org/10.3389/frai.2025.1669896","http://dx.doi.org/10.3389/frai.2025.1669896")</f>
        <v>http://dx.doi.org/10.3389/frai.2025.1669896</v>
      </c>
      <c r="BG58" s="1" t="s">
        <v>74</v>
      </c>
      <c r="BH58" s="1" t="s">
        <v>74</v>
      </c>
      <c r="BI58" s="1" t="s">
        <v>74</v>
      </c>
      <c r="BJ58" s="1" t="s">
        <v>74</v>
      </c>
      <c r="BK58" s="1" t="s">
        <v>74</v>
      </c>
      <c r="BL58" s="1" t="s">
        <v>174</v>
      </c>
      <c r="BM58" s="1" t="s">
        <v>74</v>
      </c>
      <c r="BN58" s="1" t="s">
        <v>74</v>
      </c>
      <c r="BO58" s="1" t="s">
        <v>153</v>
      </c>
      <c r="BP58" s="1" t="s">
        <v>74</v>
      </c>
      <c r="BQ58" s="1" t="s">
        <v>74</v>
      </c>
      <c r="BR58" s="1" t="s">
        <v>74</v>
      </c>
      <c r="BS58" s="1" t="s">
        <v>682</v>
      </c>
      <c r="BT58" s="1" t="str">
        <f>HYPERLINK("https%3A%2F%2Fwww.webofscience.com%2Fwos%2Fwoscc%2Ffull-record%2FWOS:001618827000001","View Full Record in Web of Science")</f>
        <v>View Full Record in Web of Science</v>
      </c>
    </row>
    <row r="59" ht="12.75" customHeight="1">
      <c r="A59" s="1" t="s">
        <v>72</v>
      </c>
      <c r="B59" s="1" t="s">
        <v>683</v>
      </c>
      <c r="C59" s="1" t="s">
        <v>74</v>
      </c>
      <c r="D59" s="1" t="s">
        <v>74</v>
      </c>
      <c r="E59" s="1" t="s">
        <v>74</v>
      </c>
      <c r="F59" s="1" t="s">
        <v>684</v>
      </c>
      <c r="G59" s="1" t="s">
        <v>74</v>
      </c>
      <c r="H59" s="1" t="s">
        <v>74</v>
      </c>
      <c r="I59" s="1" t="s">
        <v>685</v>
      </c>
      <c r="J59" s="1" t="s">
        <v>239</v>
      </c>
      <c r="K59" s="1" t="s">
        <v>74</v>
      </c>
      <c r="L59" s="1" t="s">
        <v>74</v>
      </c>
      <c r="M59" s="1" t="s">
        <v>74</v>
      </c>
      <c r="N59" s="1" t="s">
        <v>78</v>
      </c>
      <c r="O59" s="1" t="s">
        <v>74</v>
      </c>
      <c r="P59" s="1" t="s">
        <v>74</v>
      </c>
      <c r="Q59" s="1" t="s">
        <v>74</v>
      </c>
      <c r="R59" s="1" t="s">
        <v>74</v>
      </c>
      <c r="S59" s="1" t="s">
        <v>74</v>
      </c>
      <c r="T59" s="1" t="s">
        <v>686</v>
      </c>
      <c r="U59" s="1" t="s">
        <v>74</v>
      </c>
      <c r="V59" s="1" t="s">
        <v>687</v>
      </c>
      <c r="W59" s="1" t="s">
        <v>74</v>
      </c>
      <c r="X59" s="1" t="s">
        <v>74</v>
      </c>
      <c r="Y59" s="1" t="s">
        <v>74</v>
      </c>
      <c r="Z59" s="1" t="s">
        <v>74</v>
      </c>
      <c r="AA59" s="1" t="s">
        <v>74</v>
      </c>
      <c r="AB59" s="1" t="s">
        <v>74</v>
      </c>
      <c r="AC59" s="1" t="s">
        <v>74</v>
      </c>
      <c r="AD59" s="1" t="s">
        <v>74</v>
      </c>
      <c r="AE59" s="1" t="s">
        <v>74</v>
      </c>
      <c r="AF59" s="1" t="s">
        <v>74</v>
      </c>
      <c r="AG59" s="1" t="s">
        <v>74</v>
      </c>
      <c r="AH59" s="1" t="s">
        <v>74</v>
      </c>
      <c r="AI59" s="1" t="s">
        <v>74</v>
      </c>
      <c r="AJ59" s="1" t="s">
        <v>74</v>
      </c>
      <c r="AK59" s="1" t="s">
        <v>74</v>
      </c>
      <c r="AL59" s="1" t="s">
        <v>74</v>
      </c>
      <c r="AM59" s="1" t="s">
        <v>74</v>
      </c>
      <c r="AN59" s="1" t="s">
        <v>74</v>
      </c>
      <c r="AO59" s="1" t="s">
        <v>74</v>
      </c>
      <c r="AP59" s="1" t="s">
        <v>242</v>
      </c>
      <c r="AQ59" s="1" t="s">
        <v>74</v>
      </c>
      <c r="AR59" s="1" t="s">
        <v>74</v>
      </c>
      <c r="AS59" s="1" t="s">
        <v>74</v>
      </c>
      <c r="AT59" s="1" t="s">
        <v>688</v>
      </c>
      <c r="AU59" s="1">
        <v>2024.0</v>
      </c>
      <c r="AV59" s="1">
        <v>13.0</v>
      </c>
      <c r="AW59" s="1">
        <v>5.0</v>
      </c>
      <c r="AX59" s="1" t="s">
        <v>74</v>
      </c>
      <c r="AY59" s="1" t="s">
        <v>74</v>
      </c>
      <c r="AZ59" s="1" t="s">
        <v>74</v>
      </c>
      <c r="BA59" s="1" t="s">
        <v>74</v>
      </c>
      <c r="BB59" s="1" t="s">
        <v>74</v>
      </c>
      <c r="BC59" s="1" t="s">
        <v>74</v>
      </c>
      <c r="BD59" s="1">
        <v>816.0</v>
      </c>
      <c r="BE59" s="1" t="s">
        <v>689</v>
      </c>
      <c r="BF59" s="2" t="str">
        <f>HYPERLINK("http://dx.doi.org/10.3390/electronics13050816","http://dx.doi.org/10.3390/electronics13050816")</f>
        <v>http://dx.doi.org/10.3390/electronics13050816</v>
      </c>
      <c r="BG59" s="1" t="s">
        <v>74</v>
      </c>
      <c r="BH59" s="1" t="s">
        <v>74</v>
      </c>
      <c r="BI59" s="1" t="s">
        <v>74</v>
      </c>
      <c r="BJ59" s="1" t="s">
        <v>74</v>
      </c>
      <c r="BK59" s="1" t="s">
        <v>74</v>
      </c>
      <c r="BL59" s="1" t="s">
        <v>244</v>
      </c>
      <c r="BM59" s="1" t="s">
        <v>74</v>
      </c>
      <c r="BN59" s="1" t="s">
        <v>74</v>
      </c>
      <c r="BO59" s="1" t="s">
        <v>163</v>
      </c>
      <c r="BP59" s="1" t="s">
        <v>74</v>
      </c>
      <c r="BQ59" s="1" t="s">
        <v>74</v>
      </c>
      <c r="BR59" s="1" t="s">
        <v>74</v>
      </c>
      <c r="BS59" s="1" t="s">
        <v>690</v>
      </c>
      <c r="BT59" s="1" t="str">
        <f>HYPERLINK("https%3A%2F%2Fwww.webofscience.com%2Fwos%2Fwoscc%2Ffull-record%2FWOS:001182738700001","View Full Record in Web of Science")</f>
        <v>View Full Record in Web of Science</v>
      </c>
    </row>
    <row r="60" ht="12.75" customHeight="1">
      <c r="A60" s="1" t="s">
        <v>72</v>
      </c>
      <c r="B60" s="1" t="s">
        <v>691</v>
      </c>
      <c r="C60" s="1" t="s">
        <v>74</v>
      </c>
      <c r="D60" s="1" t="s">
        <v>74</v>
      </c>
      <c r="E60" s="1" t="s">
        <v>74</v>
      </c>
      <c r="F60" s="1" t="s">
        <v>692</v>
      </c>
      <c r="G60" s="1" t="s">
        <v>74</v>
      </c>
      <c r="H60" s="1" t="s">
        <v>74</v>
      </c>
      <c r="I60" s="1" t="s">
        <v>693</v>
      </c>
      <c r="J60" s="1" t="s">
        <v>569</v>
      </c>
      <c r="K60" s="1" t="s">
        <v>74</v>
      </c>
      <c r="L60" s="1" t="s">
        <v>74</v>
      </c>
      <c r="M60" s="1" t="s">
        <v>74</v>
      </c>
      <c r="N60" s="1" t="s">
        <v>78</v>
      </c>
      <c r="O60" s="1" t="s">
        <v>74</v>
      </c>
      <c r="P60" s="1" t="s">
        <v>74</v>
      </c>
      <c r="Q60" s="1" t="s">
        <v>74</v>
      </c>
      <c r="R60" s="1" t="s">
        <v>74</v>
      </c>
      <c r="S60" s="1" t="s">
        <v>74</v>
      </c>
      <c r="T60" s="1" t="s">
        <v>694</v>
      </c>
      <c r="U60" s="1" t="s">
        <v>695</v>
      </c>
      <c r="V60" s="1" t="s">
        <v>696</v>
      </c>
      <c r="W60" s="1" t="s">
        <v>74</v>
      </c>
      <c r="X60" s="1" t="s">
        <v>74</v>
      </c>
      <c r="Y60" s="1" t="s">
        <v>74</v>
      </c>
      <c r="Z60" s="1" t="s">
        <v>74</v>
      </c>
      <c r="AA60" s="1" t="s">
        <v>74</v>
      </c>
      <c r="AB60" s="1" t="s">
        <v>74</v>
      </c>
      <c r="AC60" s="1" t="s">
        <v>74</v>
      </c>
      <c r="AD60" s="1" t="s">
        <v>74</v>
      </c>
      <c r="AE60" s="1" t="s">
        <v>74</v>
      </c>
      <c r="AF60" s="1" t="s">
        <v>74</v>
      </c>
      <c r="AG60" s="1" t="s">
        <v>74</v>
      </c>
      <c r="AH60" s="1" t="s">
        <v>74</v>
      </c>
      <c r="AI60" s="1" t="s">
        <v>74</v>
      </c>
      <c r="AJ60" s="1" t="s">
        <v>74</v>
      </c>
      <c r="AK60" s="1" t="s">
        <v>74</v>
      </c>
      <c r="AL60" s="1" t="s">
        <v>74</v>
      </c>
      <c r="AM60" s="1" t="s">
        <v>74</v>
      </c>
      <c r="AN60" s="1" t="s">
        <v>74</v>
      </c>
      <c r="AO60" s="1" t="s">
        <v>572</v>
      </c>
      <c r="AP60" s="1" t="s">
        <v>573</v>
      </c>
      <c r="AQ60" s="1" t="s">
        <v>74</v>
      </c>
      <c r="AR60" s="1" t="s">
        <v>74</v>
      </c>
      <c r="AS60" s="1" t="s">
        <v>74</v>
      </c>
      <c r="AT60" s="1" t="s">
        <v>697</v>
      </c>
      <c r="AU60" s="1">
        <v>2025.0</v>
      </c>
      <c r="AV60" s="1">
        <v>58.0</v>
      </c>
      <c r="AW60" s="1">
        <v>7.0</v>
      </c>
      <c r="AX60" s="1" t="s">
        <v>74</v>
      </c>
      <c r="AY60" s="1" t="s">
        <v>74</v>
      </c>
      <c r="AZ60" s="1" t="s">
        <v>74</v>
      </c>
      <c r="BA60" s="1" t="s">
        <v>74</v>
      </c>
      <c r="BB60" s="1" t="s">
        <v>74</v>
      </c>
      <c r="BC60" s="1" t="s">
        <v>74</v>
      </c>
      <c r="BD60" s="1">
        <v>216.0</v>
      </c>
      <c r="BE60" s="1" t="s">
        <v>698</v>
      </c>
      <c r="BF60" s="2" t="str">
        <f>HYPERLINK("http://dx.doi.org/10.1007/s10462-025-11223-9","http://dx.doi.org/10.1007/s10462-025-11223-9")</f>
        <v>http://dx.doi.org/10.1007/s10462-025-11223-9</v>
      </c>
      <c r="BG60" s="1" t="s">
        <v>74</v>
      </c>
      <c r="BH60" s="1" t="s">
        <v>74</v>
      </c>
      <c r="BI60" s="1" t="s">
        <v>74</v>
      </c>
      <c r="BJ60" s="1" t="s">
        <v>74</v>
      </c>
      <c r="BK60" s="1" t="s">
        <v>74</v>
      </c>
      <c r="BL60" s="1" t="s">
        <v>174</v>
      </c>
      <c r="BM60" s="1" t="s">
        <v>74</v>
      </c>
      <c r="BN60" s="1" t="s">
        <v>74</v>
      </c>
      <c r="BO60" s="1" t="s">
        <v>114</v>
      </c>
      <c r="BP60" s="1" t="s">
        <v>74</v>
      </c>
      <c r="BQ60" s="1" t="s">
        <v>74</v>
      </c>
      <c r="BR60" s="1" t="s">
        <v>74</v>
      </c>
      <c r="BS60" s="1" t="s">
        <v>699</v>
      </c>
      <c r="BT60" s="1" t="str">
        <f>HYPERLINK("https%3A%2F%2Fwww.webofscience.com%2Fwos%2Fwoscc%2Ffull-record%2FWOS:001473445600001","View Full Record in Web of Science")</f>
        <v>View Full Record in Web of Science</v>
      </c>
    </row>
    <row r="61" ht="12.75" customHeight="1">
      <c r="A61" s="1" t="s">
        <v>72</v>
      </c>
      <c r="B61" s="1" t="s">
        <v>700</v>
      </c>
      <c r="C61" s="1" t="s">
        <v>74</v>
      </c>
      <c r="D61" s="1" t="s">
        <v>74</v>
      </c>
      <c r="E61" s="1" t="s">
        <v>74</v>
      </c>
      <c r="F61" s="1" t="s">
        <v>701</v>
      </c>
      <c r="G61" s="1" t="s">
        <v>74</v>
      </c>
      <c r="H61" s="1" t="s">
        <v>74</v>
      </c>
      <c r="I61" s="1" t="s">
        <v>702</v>
      </c>
      <c r="J61" s="1" t="s">
        <v>703</v>
      </c>
      <c r="K61" s="1" t="s">
        <v>74</v>
      </c>
      <c r="L61" s="1" t="s">
        <v>74</v>
      </c>
      <c r="M61" s="1" t="s">
        <v>74</v>
      </c>
      <c r="N61" s="1" t="s">
        <v>78</v>
      </c>
      <c r="O61" s="1" t="s">
        <v>74</v>
      </c>
      <c r="P61" s="1" t="s">
        <v>74</v>
      </c>
      <c r="Q61" s="1" t="s">
        <v>74</v>
      </c>
      <c r="R61" s="1" t="s">
        <v>74</v>
      </c>
      <c r="S61" s="1" t="s">
        <v>74</v>
      </c>
      <c r="T61" s="1" t="s">
        <v>704</v>
      </c>
      <c r="U61" s="1" t="s">
        <v>74</v>
      </c>
      <c r="V61" s="1" t="s">
        <v>705</v>
      </c>
      <c r="W61" s="1" t="s">
        <v>74</v>
      </c>
      <c r="X61" s="1" t="s">
        <v>74</v>
      </c>
      <c r="Y61" s="1" t="s">
        <v>74</v>
      </c>
      <c r="Z61" s="1" t="s">
        <v>74</v>
      </c>
      <c r="AA61" s="1" t="s">
        <v>74</v>
      </c>
      <c r="AB61" s="1" t="s">
        <v>74</v>
      </c>
      <c r="AC61" s="1" t="s">
        <v>74</v>
      </c>
      <c r="AD61" s="1" t="s">
        <v>74</v>
      </c>
      <c r="AE61" s="1" t="s">
        <v>74</v>
      </c>
      <c r="AF61" s="1" t="s">
        <v>74</v>
      </c>
      <c r="AG61" s="1" t="s">
        <v>74</v>
      </c>
      <c r="AH61" s="1" t="s">
        <v>74</v>
      </c>
      <c r="AI61" s="1" t="s">
        <v>74</v>
      </c>
      <c r="AJ61" s="1" t="s">
        <v>74</v>
      </c>
      <c r="AK61" s="1" t="s">
        <v>74</v>
      </c>
      <c r="AL61" s="1" t="s">
        <v>74</v>
      </c>
      <c r="AM61" s="1" t="s">
        <v>74</v>
      </c>
      <c r="AN61" s="1" t="s">
        <v>74</v>
      </c>
      <c r="AO61" s="1" t="s">
        <v>706</v>
      </c>
      <c r="AP61" s="1" t="s">
        <v>74</v>
      </c>
      <c r="AQ61" s="1" t="s">
        <v>74</v>
      </c>
      <c r="AR61" s="1" t="s">
        <v>74</v>
      </c>
      <c r="AS61" s="1" t="s">
        <v>74</v>
      </c>
      <c r="AT61" s="1" t="s">
        <v>357</v>
      </c>
      <c r="AU61" s="1">
        <v>2024.0</v>
      </c>
      <c r="AV61" s="1">
        <v>25.0</v>
      </c>
      <c r="AW61" s="1">
        <v>6.0</v>
      </c>
      <c r="AX61" s="1" t="s">
        <v>74</v>
      </c>
      <c r="AY61" s="1" t="s">
        <v>74</v>
      </c>
      <c r="AZ61" s="1" t="s">
        <v>707</v>
      </c>
      <c r="BA61" s="1" t="s">
        <v>74</v>
      </c>
      <c r="BB61" s="1">
        <v>5722.0</v>
      </c>
      <c r="BC61" s="1">
        <v>5733.0</v>
      </c>
      <c r="BD61" s="1" t="s">
        <v>74</v>
      </c>
      <c r="BE61" s="1" t="s">
        <v>708</v>
      </c>
      <c r="BF61" s="2" t="str">
        <f>HYPERLINK("http://dx.doi.org/10.12694/scpe.v25i6.4967","http://dx.doi.org/10.12694/scpe.v25i6.4967")</f>
        <v>http://dx.doi.org/10.12694/scpe.v25i6.4967</v>
      </c>
      <c r="BG61" s="1" t="s">
        <v>74</v>
      </c>
      <c r="BH61" s="1" t="s">
        <v>74</v>
      </c>
      <c r="BI61" s="1" t="s">
        <v>74</v>
      </c>
      <c r="BJ61" s="1" t="s">
        <v>74</v>
      </c>
      <c r="BK61" s="1" t="s">
        <v>74</v>
      </c>
      <c r="BL61" s="1" t="s">
        <v>174</v>
      </c>
      <c r="BM61" s="1" t="s">
        <v>74</v>
      </c>
      <c r="BN61" s="1" t="s">
        <v>74</v>
      </c>
      <c r="BO61" s="1" t="s">
        <v>163</v>
      </c>
      <c r="BP61" s="1" t="s">
        <v>74</v>
      </c>
      <c r="BQ61" s="1" t="s">
        <v>74</v>
      </c>
      <c r="BR61" s="1" t="s">
        <v>74</v>
      </c>
      <c r="BS61" s="1" t="s">
        <v>709</v>
      </c>
      <c r="BT61" s="1" t="str">
        <f>HYPERLINK("https%3A%2F%2Fwww.webofscience.com%2Fwos%2Fwoscc%2Ffull-record%2FWOS:001337737600115","View Full Record in Web of Science")</f>
        <v>View Full Record in Web of Science</v>
      </c>
    </row>
    <row r="62" ht="12.75" customHeight="1">
      <c r="A62" s="1" t="s">
        <v>72</v>
      </c>
      <c r="B62" s="1" t="s">
        <v>710</v>
      </c>
      <c r="C62" s="1" t="s">
        <v>74</v>
      </c>
      <c r="D62" s="1" t="s">
        <v>74</v>
      </c>
      <c r="E62" s="1" t="s">
        <v>74</v>
      </c>
      <c r="F62" s="1" t="s">
        <v>711</v>
      </c>
      <c r="G62" s="1" t="s">
        <v>74</v>
      </c>
      <c r="H62" s="1" t="s">
        <v>74</v>
      </c>
      <c r="I62" s="1" t="s">
        <v>712</v>
      </c>
      <c r="J62" s="1" t="s">
        <v>307</v>
      </c>
      <c r="K62" s="1" t="s">
        <v>74</v>
      </c>
      <c r="L62" s="1" t="s">
        <v>74</v>
      </c>
      <c r="M62" s="1" t="s">
        <v>74</v>
      </c>
      <c r="N62" s="1" t="s">
        <v>78</v>
      </c>
      <c r="O62" s="1" t="s">
        <v>74</v>
      </c>
      <c r="P62" s="1" t="s">
        <v>74</v>
      </c>
      <c r="Q62" s="1" t="s">
        <v>74</v>
      </c>
      <c r="R62" s="1" t="s">
        <v>74</v>
      </c>
      <c r="S62" s="1" t="s">
        <v>74</v>
      </c>
      <c r="T62" s="1" t="s">
        <v>713</v>
      </c>
      <c r="U62" s="1" t="s">
        <v>74</v>
      </c>
      <c r="V62" s="1" t="s">
        <v>714</v>
      </c>
      <c r="W62" s="1" t="s">
        <v>74</v>
      </c>
      <c r="X62" s="1" t="s">
        <v>74</v>
      </c>
      <c r="Y62" s="1" t="s">
        <v>74</v>
      </c>
      <c r="Z62" s="1" t="s">
        <v>74</v>
      </c>
      <c r="AA62" s="1" t="s">
        <v>74</v>
      </c>
      <c r="AB62" s="1" t="s">
        <v>74</v>
      </c>
      <c r="AC62" s="1" t="s">
        <v>74</v>
      </c>
      <c r="AD62" s="1" t="s">
        <v>74</v>
      </c>
      <c r="AE62" s="1" t="s">
        <v>74</v>
      </c>
      <c r="AF62" s="1" t="s">
        <v>74</v>
      </c>
      <c r="AG62" s="1" t="s">
        <v>74</v>
      </c>
      <c r="AH62" s="1" t="s">
        <v>74</v>
      </c>
      <c r="AI62" s="1" t="s">
        <v>74</v>
      </c>
      <c r="AJ62" s="1" t="s">
        <v>74</v>
      </c>
      <c r="AK62" s="1" t="s">
        <v>74</v>
      </c>
      <c r="AL62" s="1" t="s">
        <v>74</v>
      </c>
      <c r="AM62" s="1" t="s">
        <v>74</v>
      </c>
      <c r="AN62" s="1" t="s">
        <v>74</v>
      </c>
      <c r="AO62" s="1" t="s">
        <v>311</v>
      </c>
      <c r="AP62" s="1" t="s">
        <v>312</v>
      </c>
      <c r="AQ62" s="1" t="s">
        <v>74</v>
      </c>
      <c r="AR62" s="1" t="s">
        <v>74</v>
      </c>
      <c r="AS62" s="1" t="s">
        <v>74</v>
      </c>
      <c r="AT62" s="1" t="s">
        <v>225</v>
      </c>
      <c r="AU62" s="1">
        <v>2024.0</v>
      </c>
      <c r="AV62" s="1">
        <v>222.0</v>
      </c>
      <c r="AW62" s="1" t="s">
        <v>74</v>
      </c>
      <c r="AX62" s="1" t="s">
        <v>74</v>
      </c>
      <c r="AY62" s="1" t="s">
        <v>74</v>
      </c>
      <c r="AZ62" s="1" t="s">
        <v>74</v>
      </c>
      <c r="BA62" s="1" t="s">
        <v>74</v>
      </c>
      <c r="BB62" s="1" t="s">
        <v>74</v>
      </c>
      <c r="BC62" s="1" t="s">
        <v>74</v>
      </c>
      <c r="BD62" s="1">
        <v>109032.0</v>
      </c>
      <c r="BE62" s="1" t="s">
        <v>715</v>
      </c>
      <c r="BF62" s="2" t="str">
        <f>HYPERLINK("http://dx.doi.org/10.1016/j.compag.2024.109032","http://dx.doi.org/10.1016/j.compag.2024.109032")</f>
        <v>http://dx.doi.org/10.1016/j.compag.2024.109032</v>
      </c>
      <c r="BG62" s="1" t="s">
        <v>74</v>
      </c>
      <c r="BH62" s="1" t="s">
        <v>466</v>
      </c>
      <c r="BI62" s="1" t="s">
        <v>74</v>
      </c>
      <c r="BJ62" s="1" t="s">
        <v>74</v>
      </c>
      <c r="BK62" s="1" t="s">
        <v>74</v>
      </c>
      <c r="BL62" s="1" t="s">
        <v>315</v>
      </c>
      <c r="BM62" s="1" t="s">
        <v>74</v>
      </c>
      <c r="BN62" s="1" t="s">
        <v>74</v>
      </c>
      <c r="BO62" s="1" t="s">
        <v>74</v>
      </c>
      <c r="BP62" s="1" t="s">
        <v>74</v>
      </c>
      <c r="BQ62" s="1" t="s">
        <v>74</v>
      </c>
      <c r="BR62" s="1" t="s">
        <v>74</v>
      </c>
      <c r="BS62" s="1" t="s">
        <v>716</v>
      </c>
      <c r="BT62" s="1" t="str">
        <f>HYPERLINK("https%3A%2F%2Fwww.webofscience.com%2Fwos%2Fwoscc%2Ffull-record%2FWOS:001248038200001","View Full Record in Web of Science")</f>
        <v>View Full Record in Web of Science</v>
      </c>
    </row>
    <row r="63" ht="12.75" customHeight="1">
      <c r="A63" s="1" t="s">
        <v>72</v>
      </c>
      <c r="B63" s="1" t="s">
        <v>717</v>
      </c>
      <c r="C63" s="1" t="s">
        <v>74</v>
      </c>
      <c r="D63" s="1" t="s">
        <v>74</v>
      </c>
      <c r="E63" s="1" t="s">
        <v>74</v>
      </c>
      <c r="F63" s="1" t="s">
        <v>718</v>
      </c>
      <c r="G63" s="1" t="s">
        <v>74</v>
      </c>
      <c r="H63" s="1" t="s">
        <v>74</v>
      </c>
      <c r="I63" s="1" t="s">
        <v>719</v>
      </c>
      <c r="J63" s="1" t="s">
        <v>720</v>
      </c>
      <c r="K63" s="1" t="s">
        <v>74</v>
      </c>
      <c r="L63" s="1" t="s">
        <v>74</v>
      </c>
      <c r="M63" s="1" t="s">
        <v>74</v>
      </c>
      <c r="N63" s="1" t="s">
        <v>78</v>
      </c>
      <c r="O63" s="1" t="s">
        <v>74</v>
      </c>
      <c r="P63" s="1" t="s">
        <v>74</v>
      </c>
      <c r="Q63" s="1" t="s">
        <v>74</v>
      </c>
      <c r="R63" s="1" t="s">
        <v>74</v>
      </c>
      <c r="S63" s="1" t="s">
        <v>74</v>
      </c>
      <c r="T63" s="1" t="s">
        <v>721</v>
      </c>
      <c r="U63" s="1" t="s">
        <v>74</v>
      </c>
      <c r="V63" s="1" t="s">
        <v>722</v>
      </c>
      <c r="W63" s="1" t="s">
        <v>74</v>
      </c>
      <c r="X63" s="1" t="s">
        <v>74</v>
      </c>
      <c r="Y63" s="1" t="s">
        <v>74</v>
      </c>
      <c r="Z63" s="1" t="s">
        <v>74</v>
      </c>
      <c r="AA63" s="1" t="s">
        <v>74</v>
      </c>
      <c r="AB63" s="1" t="s">
        <v>74</v>
      </c>
      <c r="AC63" s="1" t="s">
        <v>74</v>
      </c>
      <c r="AD63" s="1" t="s">
        <v>74</v>
      </c>
      <c r="AE63" s="1" t="s">
        <v>74</v>
      </c>
      <c r="AF63" s="1" t="s">
        <v>74</v>
      </c>
      <c r="AG63" s="1" t="s">
        <v>74</v>
      </c>
      <c r="AH63" s="1" t="s">
        <v>74</v>
      </c>
      <c r="AI63" s="1" t="s">
        <v>74</v>
      </c>
      <c r="AJ63" s="1" t="s">
        <v>74</v>
      </c>
      <c r="AK63" s="1" t="s">
        <v>74</v>
      </c>
      <c r="AL63" s="1" t="s">
        <v>74</v>
      </c>
      <c r="AM63" s="1" t="s">
        <v>74</v>
      </c>
      <c r="AN63" s="1" t="s">
        <v>74</v>
      </c>
      <c r="AO63" s="1" t="s">
        <v>723</v>
      </c>
      <c r="AP63" s="1" t="s">
        <v>724</v>
      </c>
      <c r="AQ63" s="1" t="s">
        <v>74</v>
      </c>
      <c r="AR63" s="1" t="s">
        <v>74</v>
      </c>
      <c r="AS63" s="1" t="s">
        <v>74</v>
      </c>
      <c r="AT63" s="1" t="s">
        <v>475</v>
      </c>
      <c r="AU63" s="1">
        <v>2025.0</v>
      </c>
      <c r="AV63" s="1">
        <v>626.0</v>
      </c>
      <c r="AW63" s="1" t="s">
        <v>74</v>
      </c>
      <c r="AX63" s="1" t="s">
        <v>74</v>
      </c>
      <c r="AY63" s="1" t="s">
        <v>74</v>
      </c>
      <c r="AZ63" s="1" t="s">
        <v>74</v>
      </c>
      <c r="BA63" s="1" t="s">
        <v>74</v>
      </c>
      <c r="BB63" s="1" t="s">
        <v>74</v>
      </c>
      <c r="BC63" s="1" t="s">
        <v>74</v>
      </c>
      <c r="BD63" s="1">
        <v>129589.0</v>
      </c>
      <c r="BE63" s="1" t="s">
        <v>725</v>
      </c>
      <c r="BF63" s="2" t="str">
        <f>HYPERLINK("http://dx.doi.org/10.1016/j.neucom.2025.129589","http://dx.doi.org/10.1016/j.neucom.2025.129589")</f>
        <v>http://dx.doi.org/10.1016/j.neucom.2025.129589</v>
      </c>
      <c r="BG63" s="1" t="s">
        <v>74</v>
      </c>
      <c r="BH63" s="1" t="s">
        <v>314</v>
      </c>
      <c r="BI63" s="1" t="s">
        <v>74</v>
      </c>
      <c r="BJ63" s="1" t="s">
        <v>74</v>
      </c>
      <c r="BK63" s="1" t="s">
        <v>74</v>
      </c>
      <c r="BL63" s="1" t="s">
        <v>174</v>
      </c>
      <c r="BM63" s="1" t="s">
        <v>74</v>
      </c>
      <c r="BN63" s="1" t="s">
        <v>74</v>
      </c>
      <c r="BO63" s="1" t="s">
        <v>74</v>
      </c>
      <c r="BP63" s="1" t="s">
        <v>74</v>
      </c>
      <c r="BQ63" s="1" t="s">
        <v>74</v>
      </c>
      <c r="BR63" s="1" t="s">
        <v>74</v>
      </c>
      <c r="BS63" s="1" t="s">
        <v>726</v>
      </c>
      <c r="BT63" s="1" t="str">
        <f>HYPERLINK("https%3A%2F%2Fwww.webofscience.com%2Fwos%2Fwoscc%2Ffull-record%2FWOS:001423855200001","View Full Record in Web of Science")</f>
        <v>View Full Record in Web of Science</v>
      </c>
    </row>
    <row r="64" ht="12.75" customHeight="1">
      <c r="A64" s="1" t="s">
        <v>72</v>
      </c>
      <c r="B64" s="1" t="s">
        <v>727</v>
      </c>
      <c r="C64" s="1" t="s">
        <v>74</v>
      </c>
      <c r="D64" s="1" t="s">
        <v>74</v>
      </c>
      <c r="E64" s="1" t="s">
        <v>74</v>
      </c>
      <c r="F64" s="1" t="s">
        <v>728</v>
      </c>
      <c r="G64" s="1" t="s">
        <v>74</v>
      </c>
      <c r="H64" s="1" t="s">
        <v>74</v>
      </c>
      <c r="I64" s="1" t="s">
        <v>729</v>
      </c>
      <c r="J64" s="1" t="s">
        <v>730</v>
      </c>
      <c r="K64" s="1" t="s">
        <v>74</v>
      </c>
      <c r="L64" s="1" t="s">
        <v>74</v>
      </c>
      <c r="M64" s="1" t="s">
        <v>74</v>
      </c>
      <c r="N64" s="1" t="s">
        <v>78</v>
      </c>
      <c r="O64" s="1" t="s">
        <v>74</v>
      </c>
      <c r="P64" s="1" t="s">
        <v>74</v>
      </c>
      <c r="Q64" s="1" t="s">
        <v>74</v>
      </c>
      <c r="R64" s="1" t="s">
        <v>74</v>
      </c>
      <c r="S64" s="1" t="s">
        <v>74</v>
      </c>
      <c r="T64" s="1" t="s">
        <v>731</v>
      </c>
      <c r="U64" s="1" t="s">
        <v>732</v>
      </c>
      <c r="V64" s="1" t="s">
        <v>733</v>
      </c>
      <c r="W64" s="1" t="s">
        <v>74</v>
      </c>
      <c r="X64" s="1" t="s">
        <v>74</v>
      </c>
      <c r="Y64" s="1" t="s">
        <v>74</v>
      </c>
      <c r="Z64" s="1" t="s">
        <v>74</v>
      </c>
      <c r="AA64" s="1" t="s">
        <v>74</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734</v>
      </c>
      <c r="AP64" s="1" t="s">
        <v>735</v>
      </c>
      <c r="AQ64" s="1" t="s">
        <v>74</v>
      </c>
      <c r="AR64" s="1" t="s">
        <v>74</v>
      </c>
      <c r="AS64" s="1" t="s">
        <v>74</v>
      </c>
      <c r="AT64" s="1" t="s">
        <v>736</v>
      </c>
      <c r="AU64" s="1">
        <v>2026.0</v>
      </c>
      <c r="AV64" s="1">
        <v>142.0</v>
      </c>
      <c r="AW64" s="1" t="s">
        <v>74</v>
      </c>
      <c r="AX64" s="1" t="s">
        <v>74</v>
      </c>
      <c r="AY64" s="1" t="s">
        <v>74</v>
      </c>
      <c r="AZ64" s="1" t="s">
        <v>74</v>
      </c>
      <c r="BA64" s="1" t="s">
        <v>74</v>
      </c>
      <c r="BB64" s="1" t="s">
        <v>74</v>
      </c>
      <c r="BC64" s="1" t="s">
        <v>74</v>
      </c>
      <c r="BD64" s="1">
        <v>109356.0</v>
      </c>
      <c r="BE64" s="1" t="s">
        <v>737</v>
      </c>
      <c r="BF64" s="2" t="str">
        <f>HYPERLINK("http://dx.doi.org/10.1016/j.pec.2025.109356","http://dx.doi.org/10.1016/j.pec.2025.109356")</f>
        <v>http://dx.doi.org/10.1016/j.pec.2025.109356</v>
      </c>
      <c r="BG64" s="1" t="s">
        <v>74</v>
      </c>
      <c r="BH64" s="1" t="s">
        <v>738</v>
      </c>
      <c r="BI64" s="1" t="s">
        <v>74</v>
      </c>
      <c r="BJ64" s="1" t="s">
        <v>74</v>
      </c>
      <c r="BK64" s="1" t="s">
        <v>74</v>
      </c>
      <c r="BL64" s="1" t="s">
        <v>739</v>
      </c>
      <c r="BM64" s="1" t="s">
        <v>74</v>
      </c>
      <c r="BN64" s="1" t="s">
        <v>74</v>
      </c>
      <c r="BO64" s="1" t="s">
        <v>74</v>
      </c>
      <c r="BP64" s="1" t="s">
        <v>74</v>
      </c>
      <c r="BQ64" s="1" t="s">
        <v>74</v>
      </c>
      <c r="BR64" s="1" t="s">
        <v>74</v>
      </c>
      <c r="BS64" s="1" t="s">
        <v>740</v>
      </c>
      <c r="BT64" s="1" t="str">
        <f>HYPERLINK("https%3A%2F%2Fwww.webofscience.com%2Fwos%2Fwoscc%2Ffull-record%2FWOS:001580246000001","View Full Record in Web of Science")</f>
        <v>View Full Record in Web of Science</v>
      </c>
    </row>
    <row r="65" ht="12.75" customHeight="1">
      <c r="A65" s="1" t="s">
        <v>72</v>
      </c>
      <c r="B65" s="1" t="s">
        <v>741</v>
      </c>
      <c r="C65" s="1" t="s">
        <v>74</v>
      </c>
      <c r="D65" s="1" t="s">
        <v>74</v>
      </c>
      <c r="E65" s="1" t="s">
        <v>74</v>
      </c>
      <c r="F65" s="1" t="s">
        <v>742</v>
      </c>
      <c r="G65" s="1" t="s">
        <v>74</v>
      </c>
      <c r="H65" s="1" t="s">
        <v>74</v>
      </c>
      <c r="I65" s="1" t="s">
        <v>743</v>
      </c>
      <c r="J65" s="1" t="s">
        <v>744</v>
      </c>
      <c r="K65" s="1" t="s">
        <v>74</v>
      </c>
      <c r="L65" s="1" t="s">
        <v>74</v>
      </c>
      <c r="M65" s="1" t="s">
        <v>74</v>
      </c>
      <c r="N65" s="1" t="s">
        <v>78</v>
      </c>
      <c r="O65" s="1" t="s">
        <v>74</v>
      </c>
      <c r="P65" s="1" t="s">
        <v>74</v>
      </c>
      <c r="Q65" s="1" t="s">
        <v>74</v>
      </c>
      <c r="R65" s="1" t="s">
        <v>74</v>
      </c>
      <c r="S65" s="1" t="s">
        <v>74</v>
      </c>
      <c r="T65" s="1" t="s">
        <v>745</v>
      </c>
      <c r="U65" s="1" t="s">
        <v>74</v>
      </c>
      <c r="V65" s="1" t="s">
        <v>746</v>
      </c>
      <c r="W65" s="1" t="s">
        <v>74</v>
      </c>
      <c r="X65" s="1" t="s">
        <v>74</v>
      </c>
      <c r="Y65" s="1" t="s">
        <v>74</v>
      </c>
      <c r="Z65" s="1" t="s">
        <v>74</v>
      </c>
      <c r="AA65" s="1" t="s">
        <v>74</v>
      </c>
      <c r="AB65" s="1" t="s">
        <v>74</v>
      </c>
      <c r="AC65" s="1" t="s">
        <v>74</v>
      </c>
      <c r="AD65" s="1" t="s">
        <v>74</v>
      </c>
      <c r="AE65" s="1" t="s">
        <v>74</v>
      </c>
      <c r="AF65" s="1" t="s">
        <v>74</v>
      </c>
      <c r="AG65" s="1" t="s">
        <v>74</v>
      </c>
      <c r="AH65" s="1" t="s">
        <v>74</v>
      </c>
      <c r="AI65" s="1" t="s">
        <v>74</v>
      </c>
      <c r="AJ65" s="1" t="s">
        <v>74</v>
      </c>
      <c r="AK65" s="1" t="s">
        <v>74</v>
      </c>
      <c r="AL65" s="1" t="s">
        <v>74</v>
      </c>
      <c r="AM65" s="1" t="s">
        <v>74</v>
      </c>
      <c r="AN65" s="1" t="s">
        <v>74</v>
      </c>
      <c r="AO65" s="1" t="s">
        <v>747</v>
      </c>
      <c r="AP65" s="1" t="s">
        <v>748</v>
      </c>
      <c r="AQ65" s="1" t="s">
        <v>74</v>
      </c>
      <c r="AR65" s="1" t="s">
        <v>74</v>
      </c>
      <c r="AS65" s="1" t="s">
        <v>74</v>
      </c>
      <c r="AT65" s="1" t="s">
        <v>749</v>
      </c>
      <c r="AU65" s="1">
        <v>2025.0</v>
      </c>
      <c r="AV65" s="1">
        <v>27.0</v>
      </c>
      <c r="AW65" s="1">
        <v>2.0</v>
      </c>
      <c r="AX65" s="1" t="s">
        <v>74</v>
      </c>
      <c r="AY65" s="1" t="s">
        <v>74</v>
      </c>
      <c r="AZ65" s="1" t="s">
        <v>74</v>
      </c>
      <c r="BA65" s="1" t="s">
        <v>74</v>
      </c>
      <c r="BB65" s="1">
        <v>21.0</v>
      </c>
      <c r="BC65" s="1">
        <v>27.0</v>
      </c>
      <c r="BD65" s="1" t="s">
        <v>74</v>
      </c>
      <c r="BE65" s="1" t="s">
        <v>750</v>
      </c>
      <c r="BF65" s="2" t="str">
        <f>HYPERLINK("http://dx.doi.org/10.1109/MITP.2025.3543555","http://dx.doi.org/10.1109/MITP.2025.3543555")</f>
        <v>http://dx.doi.org/10.1109/MITP.2025.3543555</v>
      </c>
      <c r="BG65" s="1" t="s">
        <v>74</v>
      </c>
      <c r="BH65" s="1" t="s">
        <v>74</v>
      </c>
      <c r="BI65" s="1" t="s">
        <v>74</v>
      </c>
      <c r="BJ65" s="1" t="s">
        <v>74</v>
      </c>
      <c r="BK65" s="1" t="s">
        <v>74</v>
      </c>
      <c r="BL65" s="1" t="s">
        <v>394</v>
      </c>
      <c r="BM65" s="1" t="s">
        <v>74</v>
      </c>
      <c r="BN65" s="1" t="s">
        <v>74</v>
      </c>
      <c r="BO65" s="1" t="s">
        <v>74</v>
      </c>
      <c r="BP65" s="1" t="s">
        <v>74</v>
      </c>
      <c r="BQ65" s="1" t="s">
        <v>74</v>
      </c>
      <c r="BR65" s="1" t="s">
        <v>74</v>
      </c>
      <c r="BS65" s="1" t="s">
        <v>751</v>
      </c>
      <c r="BT65" s="1" t="str">
        <f>HYPERLINK("https%3A%2F%2Fwww.webofscience.com%2Fwos%2Fwoscc%2Ffull-record%2FWOS:001470343300008","View Full Record in Web of Science")</f>
        <v>View Full Record in Web of Science</v>
      </c>
    </row>
    <row r="66" ht="12.75" customHeight="1">
      <c r="A66" s="1" t="s">
        <v>72</v>
      </c>
      <c r="B66" s="1" t="s">
        <v>752</v>
      </c>
      <c r="C66" s="1" t="s">
        <v>74</v>
      </c>
      <c r="D66" s="1" t="s">
        <v>74</v>
      </c>
      <c r="E66" s="1" t="s">
        <v>74</v>
      </c>
      <c r="F66" s="1" t="s">
        <v>753</v>
      </c>
      <c r="G66" s="1" t="s">
        <v>74</v>
      </c>
      <c r="H66" s="1" t="s">
        <v>74</v>
      </c>
      <c r="I66" s="1" t="s">
        <v>754</v>
      </c>
      <c r="J66" s="1" t="s">
        <v>755</v>
      </c>
      <c r="K66" s="1" t="s">
        <v>74</v>
      </c>
      <c r="L66" s="1" t="s">
        <v>74</v>
      </c>
      <c r="M66" s="1" t="s">
        <v>74</v>
      </c>
      <c r="N66" s="1" t="s">
        <v>78</v>
      </c>
      <c r="O66" s="1" t="s">
        <v>74</v>
      </c>
      <c r="P66" s="1" t="s">
        <v>74</v>
      </c>
      <c r="Q66" s="1" t="s">
        <v>74</v>
      </c>
      <c r="R66" s="1" t="s">
        <v>74</v>
      </c>
      <c r="S66" s="1" t="s">
        <v>74</v>
      </c>
      <c r="T66" s="1" t="s">
        <v>756</v>
      </c>
      <c r="U66" s="1" t="s">
        <v>74</v>
      </c>
      <c r="V66" s="1" t="s">
        <v>757</v>
      </c>
      <c r="W66" s="1" t="s">
        <v>74</v>
      </c>
      <c r="X66" s="1" t="s">
        <v>74</v>
      </c>
      <c r="Y66" s="1" t="s">
        <v>74</v>
      </c>
      <c r="Z66" s="1" t="s">
        <v>74</v>
      </c>
      <c r="AA66" s="1" t="s">
        <v>74</v>
      </c>
      <c r="AB66" s="1" t="s">
        <v>74</v>
      </c>
      <c r="AC66" s="1" t="s">
        <v>74</v>
      </c>
      <c r="AD66" s="1" t="s">
        <v>74</v>
      </c>
      <c r="AE66" s="1" t="s">
        <v>74</v>
      </c>
      <c r="AF66" s="1" t="s">
        <v>74</v>
      </c>
      <c r="AG66" s="1" t="s">
        <v>74</v>
      </c>
      <c r="AH66" s="1" t="s">
        <v>74</v>
      </c>
      <c r="AI66" s="1" t="s">
        <v>74</v>
      </c>
      <c r="AJ66" s="1" t="s">
        <v>74</v>
      </c>
      <c r="AK66" s="1" t="s">
        <v>74</v>
      </c>
      <c r="AL66" s="1" t="s">
        <v>74</v>
      </c>
      <c r="AM66" s="1" t="s">
        <v>74</v>
      </c>
      <c r="AN66" s="1" t="s">
        <v>74</v>
      </c>
      <c r="AO66" s="1" t="s">
        <v>758</v>
      </c>
      <c r="AP66" s="1" t="s">
        <v>759</v>
      </c>
      <c r="AQ66" s="1" t="s">
        <v>74</v>
      </c>
      <c r="AR66" s="1" t="s">
        <v>74</v>
      </c>
      <c r="AS66" s="1" t="s">
        <v>74</v>
      </c>
      <c r="AT66" s="1" t="s">
        <v>172</v>
      </c>
      <c r="AU66" s="1">
        <v>2025.0</v>
      </c>
      <c r="AV66" s="1">
        <v>33.0</v>
      </c>
      <c r="AW66" s="1">
        <v>11.0</v>
      </c>
      <c r="AX66" s="1" t="s">
        <v>74</v>
      </c>
      <c r="AY66" s="1" t="s">
        <v>74</v>
      </c>
      <c r="AZ66" s="1" t="s">
        <v>74</v>
      </c>
      <c r="BA66" s="1" t="s">
        <v>74</v>
      </c>
      <c r="BB66" s="1">
        <v>3916.0</v>
      </c>
      <c r="BC66" s="1">
        <v>3929.0</v>
      </c>
      <c r="BD66" s="1" t="s">
        <v>74</v>
      </c>
      <c r="BE66" s="1" t="s">
        <v>760</v>
      </c>
      <c r="BF66" s="2" t="str">
        <f>HYPERLINK("http://dx.doi.org/10.1109/TFUZZ.2025.3594756","http://dx.doi.org/10.1109/TFUZZ.2025.3594756")</f>
        <v>http://dx.doi.org/10.1109/TFUZZ.2025.3594756</v>
      </c>
      <c r="BG66" s="1" t="s">
        <v>74</v>
      </c>
      <c r="BH66" s="1" t="s">
        <v>74</v>
      </c>
      <c r="BI66" s="1" t="s">
        <v>74</v>
      </c>
      <c r="BJ66" s="1" t="s">
        <v>74</v>
      </c>
      <c r="BK66" s="1" t="s">
        <v>74</v>
      </c>
      <c r="BL66" s="1" t="s">
        <v>98</v>
      </c>
      <c r="BM66" s="1" t="s">
        <v>74</v>
      </c>
      <c r="BN66" s="1" t="s">
        <v>74</v>
      </c>
      <c r="BO66" s="1" t="s">
        <v>74</v>
      </c>
      <c r="BP66" s="1" t="s">
        <v>74</v>
      </c>
      <c r="BQ66" s="1" t="s">
        <v>74</v>
      </c>
      <c r="BR66" s="1" t="s">
        <v>74</v>
      </c>
      <c r="BS66" s="1" t="s">
        <v>761</v>
      </c>
      <c r="BT66" s="1" t="str">
        <f>HYPERLINK("https%3A%2F%2Fwww.webofscience.com%2Fwos%2Fwoscc%2Ffull-record%2FWOS:001607907400015","View Full Record in Web of Science")</f>
        <v>View Full Record in Web of Science</v>
      </c>
    </row>
    <row r="67" ht="12.75" customHeight="1">
      <c r="A67" s="1" t="s">
        <v>72</v>
      </c>
      <c r="B67" s="1" t="s">
        <v>762</v>
      </c>
      <c r="C67" s="1" t="s">
        <v>74</v>
      </c>
      <c r="D67" s="1" t="s">
        <v>74</v>
      </c>
      <c r="E67" s="1" t="s">
        <v>74</v>
      </c>
      <c r="F67" s="1" t="s">
        <v>763</v>
      </c>
      <c r="G67" s="1" t="s">
        <v>74</v>
      </c>
      <c r="H67" s="1" t="s">
        <v>74</v>
      </c>
      <c r="I67" s="1" t="s">
        <v>764</v>
      </c>
      <c r="J67" s="1" t="s">
        <v>765</v>
      </c>
      <c r="K67" s="1" t="s">
        <v>74</v>
      </c>
      <c r="L67" s="1" t="s">
        <v>74</v>
      </c>
      <c r="M67" s="1" t="s">
        <v>74</v>
      </c>
      <c r="N67" s="1" t="s">
        <v>78</v>
      </c>
      <c r="O67" s="1" t="s">
        <v>74</v>
      </c>
      <c r="P67" s="1" t="s">
        <v>74</v>
      </c>
      <c r="Q67" s="1" t="s">
        <v>74</v>
      </c>
      <c r="R67" s="1" t="s">
        <v>74</v>
      </c>
      <c r="S67" s="1" t="s">
        <v>74</v>
      </c>
      <c r="T67" s="1" t="s">
        <v>766</v>
      </c>
      <c r="U67" s="1" t="s">
        <v>74</v>
      </c>
      <c r="V67" s="1" t="s">
        <v>767</v>
      </c>
      <c r="W67" s="1" t="s">
        <v>74</v>
      </c>
      <c r="X67" s="1" t="s">
        <v>74</v>
      </c>
      <c r="Y67" s="1" t="s">
        <v>74</v>
      </c>
      <c r="Z67" s="1" t="s">
        <v>74</v>
      </c>
      <c r="AA67" s="1" t="s">
        <v>74</v>
      </c>
      <c r="AB67" s="1" t="s">
        <v>74</v>
      </c>
      <c r="AC67" s="1" t="s">
        <v>74</v>
      </c>
      <c r="AD67" s="1" t="s">
        <v>74</v>
      </c>
      <c r="AE67" s="1" t="s">
        <v>74</v>
      </c>
      <c r="AF67" s="1" t="s">
        <v>74</v>
      </c>
      <c r="AG67" s="1" t="s">
        <v>74</v>
      </c>
      <c r="AH67" s="1" t="s">
        <v>74</v>
      </c>
      <c r="AI67" s="1" t="s">
        <v>74</v>
      </c>
      <c r="AJ67" s="1" t="s">
        <v>74</v>
      </c>
      <c r="AK67" s="1" t="s">
        <v>74</v>
      </c>
      <c r="AL67" s="1" t="s">
        <v>74</v>
      </c>
      <c r="AM67" s="1" t="s">
        <v>74</v>
      </c>
      <c r="AN67" s="1" t="s">
        <v>74</v>
      </c>
      <c r="AO67" s="1" t="s">
        <v>768</v>
      </c>
      <c r="AP67" s="1" t="s">
        <v>769</v>
      </c>
      <c r="AQ67" s="1" t="s">
        <v>74</v>
      </c>
      <c r="AR67" s="1" t="s">
        <v>74</v>
      </c>
      <c r="AS67" s="1" t="s">
        <v>74</v>
      </c>
      <c r="AT67" s="1" t="s">
        <v>770</v>
      </c>
      <c r="AU67" s="1">
        <v>2026.0</v>
      </c>
      <c r="AV67" s="1">
        <v>29.0</v>
      </c>
      <c r="AW67" s="1">
        <v>1.0</v>
      </c>
      <c r="AX67" s="1" t="s">
        <v>74</v>
      </c>
      <c r="AY67" s="1" t="s">
        <v>74</v>
      </c>
      <c r="AZ67" s="1" t="s">
        <v>74</v>
      </c>
      <c r="BA67" s="1" t="s">
        <v>74</v>
      </c>
      <c r="BB67" s="1" t="s">
        <v>74</v>
      </c>
      <c r="BC67" s="1" t="s">
        <v>74</v>
      </c>
      <c r="BD67" s="1">
        <v>15.0</v>
      </c>
      <c r="BE67" s="1" t="s">
        <v>771</v>
      </c>
      <c r="BF67" s="2" t="str">
        <f>HYPERLINK("http://dx.doi.org/10.1007/s10791-025-09804-x","http://dx.doi.org/10.1007/s10791-025-09804-x")</f>
        <v>http://dx.doi.org/10.1007/s10791-025-09804-x</v>
      </c>
      <c r="BG67" s="1" t="s">
        <v>74</v>
      </c>
      <c r="BH67" s="1" t="s">
        <v>74</v>
      </c>
      <c r="BI67" s="1" t="s">
        <v>74</v>
      </c>
      <c r="BJ67" s="1" t="s">
        <v>74</v>
      </c>
      <c r="BK67" s="1" t="s">
        <v>74</v>
      </c>
      <c r="BL67" s="1" t="s">
        <v>174</v>
      </c>
      <c r="BM67" s="1" t="s">
        <v>74</v>
      </c>
      <c r="BN67" s="1" t="s">
        <v>74</v>
      </c>
      <c r="BO67" s="1" t="s">
        <v>163</v>
      </c>
      <c r="BP67" s="1" t="s">
        <v>74</v>
      </c>
      <c r="BQ67" s="1" t="s">
        <v>74</v>
      </c>
      <c r="BR67" s="1" t="s">
        <v>74</v>
      </c>
      <c r="BS67" s="1" t="s">
        <v>772</v>
      </c>
      <c r="BT67" s="1" t="str">
        <f>HYPERLINK("https%3A%2F%2Fwww.webofscience.com%2Fwos%2Fwoscc%2Ffull-record%2FWOS:001656728300002","View Full Record in Web of Science")</f>
        <v>View Full Record in Web of Science</v>
      </c>
    </row>
    <row r="68" ht="12.75" customHeight="1">
      <c r="A68" s="1" t="s">
        <v>72</v>
      </c>
      <c r="B68" s="1" t="s">
        <v>773</v>
      </c>
      <c r="C68" s="1" t="s">
        <v>74</v>
      </c>
      <c r="D68" s="1" t="s">
        <v>74</v>
      </c>
      <c r="E68" s="1" t="s">
        <v>74</v>
      </c>
      <c r="F68" s="1" t="s">
        <v>774</v>
      </c>
      <c r="G68" s="1" t="s">
        <v>74</v>
      </c>
      <c r="H68" s="1" t="s">
        <v>74</v>
      </c>
      <c r="I68" s="1" t="s">
        <v>775</v>
      </c>
      <c r="J68" s="1" t="s">
        <v>776</v>
      </c>
      <c r="K68" s="1" t="s">
        <v>74</v>
      </c>
      <c r="L68" s="1" t="s">
        <v>74</v>
      </c>
      <c r="M68" s="1" t="s">
        <v>74</v>
      </c>
      <c r="N68" s="1" t="s">
        <v>78</v>
      </c>
      <c r="O68" s="1" t="s">
        <v>74</v>
      </c>
      <c r="P68" s="1" t="s">
        <v>74</v>
      </c>
      <c r="Q68" s="1" t="s">
        <v>74</v>
      </c>
      <c r="R68" s="1" t="s">
        <v>74</v>
      </c>
      <c r="S68" s="1" t="s">
        <v>74</v>
      </c>
      <c r="T68" s="1" t="s">
        <v>777</v>
      </c>
      <c r="U68" s="1" t="s">
        <v>74</v>
      </c>
      <c r="V68" s="1" t="s">
        <v>778</v>
      </c>
      <c r="W68" s="1" t="s">
        <v>74</v>
      </c>
      <c r="X68" s="1" t="s">
        <v>74</v>
      </c>
      <c r="Y68" s="1" t="s">
        <v>74</v>
      </c>
      <c r="Z68" s="1" t="s">
        <v>74</v>
      </c>
      <c r="AA68" s="1" t="s">
        <v>74</v>
      </c>
      <c r="AB68" s="1" t="s">
        <v>74</v>
      </c>
      <c r="AC68" s="1" t="s">
        <v>74</v>
      </c>
      <c r="AD68" s="1" t="s">
        <v>74</v>
      </c>
      <c r="AE68" s="1" t="s">
        <v>74</v>
      </c>
      <c r="AF68" s="1" t="s">
        <v>74</v>
      </c>
      <c r="AG68" s="1" t="s">
        <v>74</v>
      </c>
      <c r="AH68" s="1" t="s">
        <v>74</v>
      </c>
      <c r="AI68" s="1" t="s">
        <v>74</v>
      </c>
      <c r="AJ68" s="1" t="s">
        <v>74</v>
      </c>
      <c r="AK68" s="1" t="s">
        <v>74</v>
      </c>
      <c r="AL68" s="1" t="s">
        <v>74</v>
      </c>
      <c r="AM68" s="1" t="s">
        <v>74</v>
      </c>
      <c r="AN68" s="1" t="s">
        <v>74</v>
      </c>
      <c r="AO68" s="1" t="s">
        <v>779</v>
      </c>
      <c r="AP68" s="1" t="s">
        <v>74</v>
      </c>
      <c r="AQ68" s="1" t="s">
        <v>74</v>
      </c>
      <c r="AR68" s="1" t="s">
        <v>74</v>
      </c>
      <c r="AS68" s="1" t="s">
        <v>74</v>
      </c>
      <c r="AT68" s="1" t="s">
        <v>74</v>
      </c>
      <c r="AU68" s="1">
        <v>2024.0</v>
      </c>
      <c r="AV68" s="1">
        <v>25.0</v>
      </c>
      <c r="AW68" s="1" t="s">
        <v>74</v>
      </c>
      <c r="AX68" s="1" t="s">
        <v>74</v>
      </c>
      <c r="AY68" s="1" t="s">
        <v>74</v>
      </c>
      <c r="AZ68" s="1" t="s">
        <v>74</v>
      </c>
      <c r="BA68" s="1" t="s">
        <v>74</v>
      </c>
      <c r="BB68" s="1">
        <v>1.0</v>
      </c>
      <c r="BC68" s="1">
        <v>22.0</v>
      </c>
      <c r="BD68" s="1" t="s">
        <v>74</v>
      </c>
      <c r="BE68" s="1" t="s">
        <v>74</v>
      </c>
      <c r="BF68" s="1" t="s">
        <v>74</v>
      </c>
      <c r="BG68" s="1" t="s">
        <v>74</v>
      </c>
      <c r="BH68" s="1" t="s">
        <v>74</v>
      </c>
      <c r="BI68" s="1" t="s">
        <v>74</v>
      </c>
      <c r="BJ68" s="1" t="s">
        <v>74</v>
      </c>
      <c r="BK68" s="1" t="s">
        <v>74</v>
      </c>
      <c r="BL68" s="1" t="s">
        <v>780</v>
      </c>
      <c r="BM68" s="1" t="s">
        <v>74</v>
      </c>
      <c r="BN68" s="1" t="s">
        <v>74</v>
      </c>
      <c r="BO68" s="1" t="s">
        <v>74</v>
      </c>
      <c r="BP68" s="1" t="s">
        <v>74</v>
      </c>
      <c r="BQ68" s="1" t="s">
        <v>74</v>
      </c>
      <c r="BR68" s="1" t="s">
        <v>74</v>
      </c>
      <c r="BS68" s="1" t="s">
        <v>781</v>
      </c>
      <c r="BT68" s="1" t="str">
        <f>HYPERLINK("https%3A%2F%2Fwww.webofscience.com%2Fwos%2Fwoscc%2Ffull-record%2FWOS:001346299700001","View Full Record in Web of Science")</f>
        <v>View Full Record in Web of Science</v>
      </c>
    </row>
    <row r="69" ht="12.75" customHeight="1">
      <c r="A69" s="1" t="s">
        <v>72</v>
      </c>
      <c r="B69" s="1" t="s">
        <v>782</v>
      </c>
      <c r="C69" s="1" t="s">
        <v>74</v>
      </c>
      <c r="D69" s="1" t="s">
        <v>74</v>
      </c>
      <c r="E69" s="1" t="s">
        <v>74</v>
      </c>
      <c r="F69" s="1" t="s">
        <v>783</v>
      </c>
      <c r="G69" s="1" t="s">
        <v>74</v>
      </c>
      <c r="H69" s="1" t="s">
        <v>74</v>
      </c>
      <c r="I69" s="1" t="s">
        <v>784</v>
      </c>
      <c r="J69" s="1" t="s">
        <v>785</v>
      </c>
      <c r="K69" s="1" t="s">
        <v>74</v>
      </c>
      <c r="L69" s="1" t="s">
        <v>74</v>
      </c>
      <c r="M69" s="1" t="s">
        <v>74</v>
      </c>
      <c r="N69" s="1" t="s">
        <v>78</v>
      </c>
      <c r="O69" s="1" t="s">
        <v>74</v>
      </c>
      <c r="P69" s="1" t="s">
        <v>74</v>
      </c>
      <c r="Q69" s="1" t="s">
        <v>74</v>
      </c>
      <c r="R69" s="1" t="s">
        <v>74</v>
      </c>
      <c r="S69" s="1" t="s">
        <v>74</v>
      </c>
      <c r="T69" s="1" t="s">
        <v>786</v>
      </c>
      <c r="U69" s="1" t="s">
        <v>74</v>
      </c>
      <c r="V69" s="1" t="s">
        <v>787</v>
      </c>
      <c r="W69" s="1" t="s">
        <v>74</v>
      </c>
      <c r="X69" s="1" t="s">
        <v>74</v>
      </c>
      <c r="Y69" s="1" t="s">
        <v>74</v>
      </c>
      <c r="Z69" s="1" t="s">
        <v>74</v>
      </c>
      <c r="AA69" s="1" t="s">
        <v>74</v>
      </c>
      <c r="AB69" s="1" t="s">
        <v>74</v>
      </c>
      <c r="AC69" s="1" t="s">
        <v>74</v>
      </c>
      <c r="AD69" s="1" t="s">
        <v>74</v>
      </c>
      <c r="AE69" s="1" t="s">
        <v>74</v>
      </c>
      <c r="AF69" s="1" t="s">
        <v>74</v>
      </c>
      <c r="AG69" s="1" t="s">
        <v>74</v>
      </c>
      <c r="AH69" s="1" t="s">
        <v>74</v>
      </c>
      <c r="AI69" s="1" t="s">
        <v>74</v>
      </c>
      <c r="AJ69" s="1" t="s">
        <v>74</v>
      </c>
      <c r="AK69" s="1" t="s">
        <v>74</v>
      </c>
      <c r="AL69" s="1" t="s">
        <v>74</v>
      </c>
      <c r="AM69" s="1" t="s">
        <v>74</v>
      </c>
      <c r="AN69" s="1" t="s">
        <v>74</v>
      </c>
      <c r="AO69" s="1" t="s">
        <v>74</v>
      </c>
      <c r="AP69" s="1" t="s">
        <v>788</v>
      </c>
      <c r="AQ69" s="1" t="s">
        <v>74</v>
      </c>
      <c r="AR69" s="1" t="s">
        <v>74</v>
      </c>
      <c r="AS69" s="1" t="s">
        <v>74</v>
      </c>
      <c r="AT69" s="1" t="s">
        <v>74</v>
      </c>
      <c r="AU69" s="1">
        <v>2024.0</v>
      </c>
      <c r="AV69" s="1">
        <v>4.0</v>
      </c>
      <c r="AW69" s="1">
        <v>1.0</v>
      </c>
      <c r="AX69" s="1" t="s">
        <v>74</v>
      </c>
      <c r="AY69" s="1" t="s">
        <v>74</v>
      </c>
      <c r="AZ69" s="1" t="s">
        <v>74</v>
      </c>
      <c r="BA69" s="1" t="s">
        <v>74</v>
      </c>
      <c r="BB69" s="1">
        <v>2077.0</v>
      </c>
      <c r="BC69" s="1">
        <v>2090.0</v>
      </c>
      <c r="BD69" s="1" t="s">
        <v>74</v>
      </c>
      <c r="BE69" s="1" t="s">
        <v>74</v>
      </c>
      <c r="BF69" s="1" t="s">
        <v>74</v>
      </c>
      <c r="BG69" s="1" t="s">
        <v>74</v>
      </c>
      <c r="BH69" s="1" t="s">
        <v>74</v>
      </c>
      <c r="BI69" s="1" t="s">
        <v>74</v>
      </c>
      <c r="BJ69" s="1" t="s">
        <v>74</v>
      </c>
      <c r="BK69" s="1" t="s">
        <v>74</v>
      </c>
      <c r="BL69" s="1" t="s">
        <v>174</v>
      </c>
      <c r="BM69" s="1" t="s">
        <v>74</v>
      </c>
      <c r="BN69" s="1" t="s">
        <v>74</v>
      </c>
      <c r="BO69" s="1" t="s">
        <v>74</v>
      </c>
      <c r="BP69" s="1" t="s">
        <v>74</v>
      </c>
      <c r="BQ69" s="1" t="s">
        <v>74</v>
      </c>
      <c r="BR69" s="1" t="s">
        <v>74</v>
      </c>
      <c r="BS69" s="1" t="s">
        <v>789</v>
      </c>
      <c r="BT69" s="1" t="str">
        <f>HYPERLINK("https%3A%2F%2Fwww.webofscience.com%2Fwos%2Fwoscc%2Ffull-record%2FWOS:001306047300011","View Full Record in Web of Science")</f>
        <v>View Full Record in Web of Science</v>
      </c>
    </row>
    <row r="70" ht="12.75" customHeight="1">
      <c r="A70" s="1" t="s">
        <v>72</v>
      </c>
      <c r="B70" s="1" t="s">
        <v>790</v>
      </c>
      <c r="C70" s="1" t="s">
        <v>74</v>
      </c>
      <c r="D70" s="1" t="s">
        <v>74</v>
      </c>
      <c r="E70" s="1" t="s">
        <v>74</v>
      </c>
      <c r="F70" s="1" t="s">
        <v>791</v>
      </c>
      <c r="G70" s="1" t="s">
        <v>74</v>
      </c>
      <c r="H70" s="1" t="s">
        <v>74</v>
      </c>
      <c r="I70" s="1" t="s">
        <v>792</v>
      </c>
      <c r="J70" s="1" t="s">
        <v>793</v>
      </c>
      <c r="K70" s="1" t="s">
        <v>74</v>
      </c>
      <c r="L70" s="1" t="s">
        <v>74</v>
      </c>
      <c r="M70" s="1" t="s">
        <v>74</v>
      </c>
      <c r="N70" s="1" t="s">
        <v>78</v>
      </c>
      <c r="O70" s="1" t="s">
        <v>74</v>
      </c>
      <c r="P70" s="1" t="s">
        <v>74</v>
      </c>
      <c r="Q70" s="1" t="s">
        <v>74</v>
      </c>
      <c r="R70" s="1" t="s">
        <v>74</v>
      </c>
      <c r="S70" s="1" t="s">
        <v>74</v>
      </c>
      <c r="T70" s="1" t="s">
        <v>794</v>
      </c>
      <c r="U70" s="1" t="s">
        <v>795</v>
      </c>
      <c r="V70" s="1" t="s">
        <v>796</v>
      </c>
      <c r="W70" s="1" t="s">
        <v>74</v>
      </c>
      <c r="X70" s="1" t="s">
        <v>74</v>
      </c>
      <c r="Y70" s="1" t="s">
        <v>74</v>
      </c>
      <c r="Z70" s="1" t="s">
        <v>74</v>
      </c>
      <c r="AA70" s="1" t="s">
        <v>74</v>
      </c>
      <c r="AB70" s="1" t="s">
        <v>74</v>
      </c>
      <c r="AC70" s="1" t="s">
        <v>74</v>
      </c>
      <c r="AD70" s="1" t="s">
        <v>74</v>
      </c>
      <c r="AE70" s="1" t="s">
        <v>74</v>
      </c>
      <c r="AF70" s="1" t="s">
        <v>74</v>
      </c>
      <c r="AG70" s="1" t="s">
        <v>74</v>
      </c>
      <c r="AH70" s="1" t="s">
        <v>74</v>
      </c>
      <c r="AI70" s="1" t="s">
        <v>74</v>
      </c>
      <c r="AJ70" s="1" t="s">
        <v>74</v>
      </c>
      <c r="AK70" s="1" t="s">
        <v>74</v>
      </c>
      <c r="AL70" s="1" t="s">
        <v>74</v>
      </c>
      <c r="AM70" s="1" t="s">
        <v>74</v>
      </c>
      <c r="AN70" s="1" t="s">
        <v>74</v>
      </c>
      <c r="AO70" s="1" t="s">
        <v>797</v>
      </c>
      <c r="AP70" s="1" t="s">
        <v>74</v>
      </c>
      <c r="AQ70" s="1" t="s">
        <v>74</v>
      </c>
      <c r="AR70" s="1" t="s">
        <v>74</v>
      </c>
      <c r="AS70" s="1" t="s">
        <v>74</v>
      </c>
      <c r="AT70" s="1" t="s">
        <v>798</v>
      </c>
      <c r="AU70" s="1">
        <v>2025.0</v>
      </c>
      <c r="AV70" s="1">
        <v>17.0</v>
      </c>
      <c r="AW70" s="1">
        <v>9.0</v>
      </c>
      <c r="AX70" s="1" t="s">
        <v>74</v>
      </c>
      <c r="AY70" s="1" t="s">
        <v>74</v>
      </c>
      <c r="AZ70" s="1" t="s">
        <v>74</v>
      </c>
      <c r="BA70" s="1" t="s">
        <v>74</v>
      </c>
      <c r="BB70" s="1" t="s">
        <v>74</v>
      </c>
      <c r="BC70" s="1" t="s">
        <v>74</v>
      </c>
      <c r="BD70" s="1">
        <v>381.0</v>
      </c>
      <c r="BE70" s="1" t="s">
        <v>799</v>
      </c>
      <c r="BF70" s="2" t="str">
        <f>HYPERLINK("http://dx.doi.org/10.3390/fi17090381","http://dx.doi.org/10.3390/fi17090381")</f>
        <v>http://dx.doi.org/10.3390/fi17090381</v>
      </c>
      <c r="BG70" s="1" t="s">
        <v>74</v>
      </c>
      <c r="BH70" s="1" t="s">
        <v>74</v>
      </c>
      <c r="BI70" s="1" t="s">
        <v>74</v>
      </c>
      <c r="BJ70" s="1" t="s">
        <v>74</v>
      </c>
      <c r="BK70" s="1" t="s">
        <v>74</v>
      </c>
      <c r="BL70" s="1" t="s">
        <v>174</v>
      </c>
      <c r="BM70" s="1" t="s">
        <v>74</v>
      </c>
      <c r="BN70" s="1" t="s">
        <v>74</v>
      </c>
      <c r="BO70" s="1" t="s">
        <v>163</v>
      </c>
      <c r="BP70" s="1" t="s">
        <v>74</v>
      </c>
      <c r="BQ70" s="1" t="s">
        <v>74</v>
      </c>
      <c r="BR70" s="1" t="s">
        <v>74</v>
      </c>
      <c r="BS70" s="1" t="s">
        <v>800</v>
      </c>
      <c r="BT70" s="1" t="str">
        <f>HYPERLINK("https%3A%2F%2Fwww.webofscience.com%2Fwos%2Fwoscc%2Ffull-record%2FWOS:001580980300001","View Full Record in Web of Science")</f>
        <v>View Full Record in Web of Science</v>
      </c>
    </row>
    <row r="71" ht="12.75" customHeight="1">
      <c r="A71" s="1" t="s">
        <v>72</v>
      </c>
      <c r="B71" s="1" t="s">
        <v>801</v>
      </c>
      <c r="C71" s="1" t="s">
        <v>74</v>
      </c>
      <c r="D71" s="1" t="s">
        <v>74</v>
      </c>
      <c r="E71" s="1" t="s">
        <v>74</v>
      </c>
      <c r="F71" s="1" t="s">
        <v>802</v>
      </c>
      <c r="G71" s="1" t="s">
        <v>74</v>
      </c>
      <c r="H71" s="1" t="s">
        <v>74</v>
      </c>
      <c r="I71" s="1" t="s">
        <v>803</v>
      </c>
      <c r="J71" s="1" t="s">
        <v>804</v>
      </c>
      <c r="K71" s="1" t="s">
        <v>74</v>
      </c>
      <c r="L71" s="1" t="s">
        <v>74</v>
      </c>
      <c r="M71" s="1" t="s">
        <v>74</v>
      </c>
      <c r="N71" s="1" t="s">
        <v>78</v>
      </c>
      <c r="O71" s="1" t="s">
        <v>74</v>
      </c>
      <c r="P71" s="1" t="s">
        <v>74</v>
      </c>
      <c r="Q71" s="1" t="s">
        <v>74</v>
      </c>
      <c r="R71" s="1" t="s">
        <v>74</v>
      </c>
      <c r="S71" s="1" t="s">
        <v>74</v>
      </c>
      <c r="T71" s="1" t="s">
        <v>805</v>
      </c>
      <c r="U71" s="1" t="s">
        <v>806</v>
      </c>
      <c r="V71" s="1" t="s">
        <v>807</v>
      </c>
      <c r="W71" s="1" t="s">
        <v>74</v>
      </c>
      <c r="X71" s="1" t="s">
        <v>74</v>
      </c>
      <c r="Y71" s="1" t="s">
        <v>74</v>
      </c>
      <c r="Z71" s="1" t="s">
        <v>74</v>
      </c>
      <c r="AA71" s="1" t="s">
        <v>74</v>
      </c>
      <c r="AB71" s="1" t="s">
        <v>74</v>
      </c>
      <c r="AC71" s="1" t="s">
        <v>74</v>
      </c>
      <c r="AD71" s="1" t="s">
        <v>74</v>
      </c>
      <c r="AE71" s="1" t="s">
        <v>74</v>
      </c>
      <c r="AF71" s="1" t="s">
        <v>74</v>
      </c>
      <c r="AG71" s="1" t="s">
        <v>74</v>
      </c>
      <c r="AH71" s="1" t="s">
        <v>74</v>
      </c>
      <c r="AI71" s="1" t="s">
        <v>74</v>
      </c>
      <c r="AJ71" s="1" t="s">
        <v>74</v>
      </c>
      <c r="AK71" s="1" t="s">
        <v>74</v>
      </c>
      <c r="AL71" s="1" t="s">
        <v>74</v>
      </c>
      <c r="AM71" s="1" t="s">
        <v>74</v>
      </c>
      <c r="AN71" s="1" t="s">
        <v>74</v>
      </c>
      <c r="AO71" s="1" t="s">
        <v>808</v>
      </c>
      <c r="AP71" s="1" t="s">
        <v>809</v>
      </c>
      <c r="AQ71" s="1" t="s">
        <v>74</v>
      </c>
      <c r="AR71" s="1" t="s">
        <v>74</v>
      </c>
      <c r="AS71" s="1" t="s">
        <v>74</v>
      </c>
      <c r="AT71" s="1" t="s">
        <v>688</v>
      </c>
      <c r="AU71" s="1">
        <v>2026.0</v>
      </c>
      <c r="AV71" s="1">
        <v>176.0</v>
      </c>
      <c r="AW71" s="1" t="s">
        <v>74</v>
      </c>
      <c r="AX71" s="1" t="s">
        <v>74</v>
      </c>
      <c r="AY71" s="1" t="s">
        <v>74</v>
      </c>
      <c r="AZ71" s="1" t="s">
        <v>74</v>
      </c>
      <c r="BA71" s="1" t="s">
        <v>74</v>
      </c>
      <c r="BB71" s="1" t="s">
        <v>74</v>
      </c>
      <c r="BC71" s="1" t="s">
        <v>74</v>
      </c>
      <c r="BD71" s="1">
        <v>108196.0</v>
      </c>
      <c r="BE71" s="1" t="s">
        <v>810</v>
      </c>
      <c r="BF71" s="2" t="str">
        <f>HYPERLINK("http://dx.doi.org/10.1016/j.future.2025.108196","http://dx.doi.org/10.1016/j.future.2025.108196")</f>
        <v>http://dx.doi.org/10.1016/j.future.2025.108196</v>
      </c>
      <c r="BG71" s="1" t="s">
        <v>74</v>
      </c>
      <c r="BH71" s="1" t="s">
        <v>811</v>
      </c>
      <c r="BI71" s="1" t="s">
        <v>74</v>
      </c>
      <c r="BJ71" s="1" t="s">
        <v>74</v>
      </c>
      <c r="BK71" s="1" t="s">
        <v>74</v>
      </c>
      <c r="BL71" s="1" t="s">
        <v>174</v>
      </c>
      <c r="BM71" s="1" t="s">
        <v>74</v>
      </c>
      <c r="BN71" s="1" t="s">
        <v>74</v>
      </c>
      <c r="BO71" s="1" t="s">
        <v>74</v>
      </c>
      <c r="BP71" s="1" t="s">
        <v>74</v>
      </c>
      <c r="BQ71" s="1" t="s">
        <v>74</v>
      </c>
      <c r="BR71" s="1" t="s">
        <v>74</v>
      </c>
      <c r="BS71" s="1" t="s">
        <v>812</v>
      </c>
      <c r="BT71" s="1" t="str">
        <f>HYPERLINK("https%3A%2F%2Fwww.webofscience.com%2Fwos%2Fwoscc%2Ffull-record%2FWOS:001606214400002","View Full Record in Web of Science")</f>
        <v>View Full Record in Web of Science</v>
      </c>
    </row>
    <row r="72" ht="12.75" customHeight="1">
      <c r="A72" s="1" t="s">
        <v>72</v>
      </c>
      <c r="B72" s="1" t="s">
        <v>813</v>
      </c>
      <c r="C72" s="1" t="s">
        <v>74</v>
      </c>
      <c r="D72" s="1" t="s">
        <v>74</v>
      </c>
      <c r="E72" s="1" t="s">
        <v>74</v>
      </c>
      <c r="F72" s="1" t="s">
        <v>814</v>
      </c>
      <c r="G72" s="1" t="s">
        <v>74</v>
      </c>
      <c r="H72" s="1" t="s">
        <v>74</v>
      </c>
      <c r="I72" s="1" t="s">
        <v>815</v>
      </c>
      <c r="J72" s="1" t="s">
        <v>816</v>
      </c>
      <c r="K72" s="1" t="s">
        <v>74</v>
      </c>
      <c r="L72" s="1" t="s">
        <v>74</v>
      </c>
      <c r="M72" s="1" t="s">
        <v>74</v>
      </c>
      <c r="N72" s="1" t="s">
        <v>158</v>
      </c>
      <c r="O72" s="1" t="s">
        <v>74</v>
      </c>
      <c r="P72" s="1" t="s">
        <v>74</v>
      </c>
      <c r="Q72" s="1" t="s">
        <v>74</v>
      </c>
      <c r="R72" s="1" t="s">
        <v>74</v>
      </c>
      <c r="S72" s="1" t="s">
        <v>74</v>
      </c>
      <c r="T72" s="1" t="s">
        <v>817</v>
      </c>
      <c r="U72" s="1" t="s">
        <v>818</v>
      </c>
      <c r="V72" s="1" t="s">
        <v>819</v>
      </c>
      <c r="W72" s="1" t="s">
        <v>74</v>
      </c>
      <c r="X72" s="1" t="s">
        <v>74</v>
      </c>
      <c r="Y72" s="1" t="s">
        <v>74</v>
      </c>
      <c r="Z72" s="1" t="s">
        <v>74</v>
      </c>
      <c r="AA72" s="1" t="s">
        <v>74</v>
      </c>
      <c r="AB72" s="1" t="s">
        <v>74</v>
      </c>
      <c r="AC72" s="1" t="s">
        <v>74</v>
      </c>
      <c r="AD72" s="1" t="s">
        <v>74</v>
      </c>
      <c r="AE72" s="1" t="s">
        <v>74</v>
      </c>
      <c r="AF72" s="1" t="s">
        <v>74</v>
      </c>
      <c r="AG72" s="1" t="s">
        <v>74</v>
      </c>
      <c r="AH72" s="1" t="s">
        <v>74</v>
      </c>
      <c r="AI72" s="1" t="s">
        <v>74</v>
      </c>
      <c r="AJ72" s="1" t="s">
        <v>74</v>
      </c>
      <c r="AK72" s="1" t="s">
        <v>74</v>
      </c>
      <c r="AL72" s="1" t="s">
        <v>74</v>
      </c>
      <c r="AM72" s="1" t="s">
        <v>74</v>
      </c>
      <c r="AN72" s="1" t="s">
        <v>74</v>
      </c>
      <c r="AO72" s="1" t="s">
        <v>820</v>
      </c>
      <c r="AP72" s="1" t="s">
        <v>821</v>
      </c>
      <c r="AQ72" s="1" t="s">
        <v>74</v>
      </c>
      <c r="AR72" s="1" t="s">
        <v>74</v>
      </c>
      <c r="AS72" s="1" t="s">
        <v>74</v>
      </c>
      <c r="AT72" s="1" t="s">
        <v>262</v>
      </c>
      <c r="AU72" s="1">
        <v>2025.0</v>
      </c>
      <c r="AV72" s="1">
        <v>169.0</v>
      </c>
      <c r="AW72" s="1" t="s">
        <v>74</v>
      </c>
      <c r="AX72" s="1" t="s">
        <v>74</v>
      </c>
      <c r="AY72" s="1" t="s">
        <v>74</v>
      </c>
      <c r="AZ72" s="1" t="s">
        <v>74</v>
      </c>
      <c r="BA72" s="1" t="s">
        <v>74</v>
      </c>
      <c r="BB72" s="1" t="s">
        <v>74</v>
      </c>
      <c r="BC72" s="1" t="s">
        <v>74</v>
      </c>
      <c r="BD72" s="1">
        <v>104895.0</v>
      </c>
      <c r="BE72" s="1" t="s">
        <v>822</v>
      </c>
      <c r="BF72" s="2" t="str">
        <f>HYPERLINK("http://dx.doi.org/10.1016/j.jbi.2025.104895","http://dx.doi.org/10.1016/j.jbi.2025.104895")</f>
        <v>http://dx.doi.org/10.1016/j.jbi.2025.104895</v>
      </c>
      <c r="BG72" s="1" t="s">
        <v>74</v>
      </c>
      <c r="BH72" s="1" t="s">
        <v>276</v>
      </c>
      <c r="BI72" s="1" t="s">
        <v>74</v>
      </c>
      <c r="BJ72" s="1" t="s">
        <v>74</v>
      </c>
      <c r="BK72" s="1" t="s">
        <v>74</v>
      </c>
      <c r="BL72" s="1" t="s">
        <v>823</v>
      </c>
      <c r="BM72" s="1" t="s">
        <v>74</v>
      </c>
      <c r="BN72" s="1" t="s">
        <v>74</v>
      </c>
      <c r="BO72" s="1" t="s">
        <v>74</v>
      </c>
      <c r="BP72" s="1" t="s">
        <v>74</v>
      </c>
      <c r="BQ72" s="1" t="s">
        <v>74</v>
      </c>
      <c r="BR72" s="1" t="s">
        <v>74</v>
      </c>
      <c r="BS72" s="1" t="s">
        <v>824</v>
      </c>
      <c r="BT72" s="1" t="str">
        <f>HYPERLINK("https%3A%2F%2Fwww.webofscience.com%2Fwos%2Fwoscc%2Ffull-record%2FWOS:001560119100001","View Full Record in Web of Science")</f>
        <v>View Full Record in Web of Science</v>
      </c>
    </row>
    <row r="73" ht="12.75" customHeight="1">
      <c r="A73" s="1" t="s">
        <v>72</v>
      </c>
      <c r="B73" s="1" t="s">
        <v>825</v>
      </c>
      <c r="C73" s="1" t="s">
        <v>74</v>
      </c>
      <c r="D73" s="1" t="s">
        <v>74</v>
      </c>
      <c r="E73" s="1" t="s">
        <v>74</v>
      </c>
      <c r="F73" s="1" t="s">
        <v>826</v>
      </c>
      <c r="G73" s="1" t="s">
        <v>74</v>
      </c>
      <c r="H73" s="1" t="s">
        <v>74</v>
      </c>
      <c r="I73" s="1" t="s">
        <v>827</v>
      </c>
      <c r="J73" s="1" t="s">
        <v>828</v>
      </c>
      <c r="K73" s="1" t="s">
        <v>74</v>
      </c>
      <c r="L73" s="1" t="s">
        <v>74</v>
      </c>
      <c r="M73" s="1" t="s">
        <v>74</v>
      </c>
      <c r="N73" s="1" t="s">
        <v>78</v>
      </c>
      <c r="O73" s="1" t="s">
        <v>74</v>
      </c>
      <c r="P73" s="1" t="s">
        <v>74</v>
      </c>
      <c r="Q73" s="1" t="s">
        <v>74</v>
      </c>
      <c r="R73" s="1" t="s">
        <v>74</v>
      </c>
      <c r="S73" s="1" t="s">
        <v>74</v>
      </c>
      <c r="T73" s="1" t="s">
        <v>829</v>
      </c>
      <c r="U73" s="1" t="s">
        <v>74</v>
      </c>
      <c r="V73" s="1" t="s">
        <v>830</v>
      </c>
      <c r="W73" s="1" t="s">
        <v>74</v>
      </c>
      <c r="X73" s="1" t="s">
        <v>74</v>
      </c>
      <c r="Y73" s="1" t="s">
        <v>74</v>
      </c>
      <c r="Z73" s="1" t="s">
        <v>74</v>
      </c>
      <c r="AA73" s="1" t="s">
        <v>74</v>
      </c>
      <c r="AB73" s="1" t="s">
        <v>74</v>
      </c>
      <c r="AC73" s="1" t="s">
        <v>74</v>
      </c>
      <c r="AD73" s="1" t="s">
        <v>74</v>
      </c>
      <c r="AE73" s="1" t="s">
        <v>74</v>
      </c>
      <c r="AF73" s="1" t="s">
        <v>74</v>
      </c>
      <c r="AG73" s="1" t="s">
        <v>74</v>
      </c>
      <c r="AH73" s="1" t="s">
        <v>74</v>
      </c>
      <c r="AI73" s="1" t="s">
        <v>74</v>
      </c>
      <c r="AJ73" s="1" t="s">
        <v>74</v>
      </c>
      <c r="AK73" s="1" t="s">
        <v>74</v>
      </c>
      <c r="AL73" s="1" t="s">
        <v>74</v>
      </c>
      <c r="AM73" s="1" t="s">
        <v>74</v>
      </c>
      <c r="AN73" s="1" t="s">
        <v>74</v>
      </c>
      <c r="AO73" s="1" t="s">
        <v>831</v>
      </c>
      <c r="AP73" s="1" t="s">
        <v>832</v>
      </c>
      <c r="AQ73" s="1" t="s">
        <v>74</v>
      </c>
      <c r="AR73" s="1" t="s">
        <v>74</v>
      </c>
      <c r="AS73" s="1" t="s">
        <v>74</v>
      </c>
      <c r="AT73" s="1" t="s">
        <v>74</v>
      </c>
      <c r="AU73" s="1">
        <v>2024.0</v>
      </c>
      <c r="AV73" s="1">
        <v>36.0</v>
      </c>
      <c r="AW73" s="1">
        <v>1.0</v>
      </c>
      <c r="AX73" s="1" t="s">
        <v>74</v>
      </c>
      <c r="AY73" s="1" t="s">
        <v>74</v>
      </c>
      <c r="AZ73" s="1" t="s">
        <v>74</v>
      </c>
      <c r="BA73" s="1" t="s">
        <v>74</v>
      </c>
      <c r="BB73" s="1" t="s">
        <v>74</v>
      </c>
      <c r="BC73" s="1" t="s">
        <v>74</v>
      </c>
      <c r="BD73" s="1">
        <v>336481.0</v>
      </c>
      <c r="BE73" s="1" t="s">
        <v>833</v>
      </c>
      <c r="BF73" s="2" t="str">
        <f>HYPERLINK("http://dx.doi.org/10.4018/JOEUC.336481","http://dx.doi.org/10.4018/JOEUC.336481")</f>
        <v>http://dx.doi.org/10.4018/JOEUC.336481</v>
      </c>
      <c r="BG73" s="1" t="s">
        <v>74</v>
      </c>
      <c r="BH73" s="1" t="s">
        <v>74</v>
      </c>
      <c r="BI73" s="1" t="s">
        <v>74</v>
      </c>
      <c r="BJ73" s="1" t="s">
        <v>74</v>
      </c>
      <c r="BK73" s="1" t="s">
        <v>74</v>
      </c>
      <c r="BL73" s="1" t="s">
        <v>834</v>
      </c>
      <c r="BM73" s="1" t="s">
        <v>74</v>
      </c>
      <c r="BN73" s="1" t="s">
        <v>74</v>
      </c>
      <c r="BO73" s="1" t="s">
        <v>163</v>
      </c>
      <c r="BP73" s="1" t="s">
        <v>74</v>
      </c>
      <c r="BQ73" s="1" t="s">
        <v>74</v>
      </c>
      <c r="BR73" s="1" t="s">
        <v>74</v>
      </c>
      <c r="BS73" s="1" t="s">
        <v>835</v>
      </c>
      <c r="BT73" s="1" t="str">
        <f>HYPERLINK("https%3A%2F%2Fwww.webofscience.com%2Fwos%2Fwoscc%2Ffull-record%2FWOS:001165615200005","View Full Record in Web of Science")</f>
        <v>View Full Record in Web of Science</v>
      </c>
    </row>
    <row r="74" ht="12.75" customHeight="1">
      <c r="A74" s="1" t="s">
        <v>72</v>
      </c>
      <c r="B74" s="1" t="s">
        <v>836</v>
      </c>
      <c r="C74" s="1" t="s">
        <v>74</v>
      </c>
      <c r="D74" s="1" t="s">
        <v>74</v>
      </c>
      <c r="E74" s="1" t="s">
        <v>74</v>
      </c>
      <c r="F74" s="1" t="s">
        <v>837</v>
      </c>
      <c r="G74" s="1" t="s">
        <v>74</v>
      </c>
      <c r="H74" s="1" t="s">
        <v>74</v>
      </c>
      <c r="I74" s="1" t="s">
        <v>838</v>
      </c>
      <c r="J74" s="1" t="s">
        <v>519</v>
      </c>
      <c r="K74" s="1" t="s">
        <v>74</v>
      </c>
      <c r="L74" s="1" t="s">
        <v>74</v>
      </c>
      <c r="M74" s="1" t="s">
        <v>74</v>
      </c>
      <c r="N74" s="1" t="s">
        <v>78</v>
      </c>
      <c r="O74" s="1" t="s">
        <v>74</v>
      </c>
      <c r="P74" s="1" t="s">
        <v>74</v>
      </c>
      <c r="Q74" s="1" t="s">
        <v>74</v>
      </c>
      <c r="R74" s="1" t="s">
        <v>74</v>
      </c>
      <c r="S74" s="1" t="s">
        <v>74</v>
      </c>
      <c r="T74" s="1" t="s">
        <v>839</v>
      </c>
      <c r="U74" s="1" t="s">
        <v>840</v>
      </c>
      <c r="V74" s="1" t="s">
        <v>841</v>
      </c>
      <c r="W74" s="1" t="s">
        <v>74</v>
      </c>
      <c r="X74" s="1" t="s">
        <v>74</v>
      </c>
      <c r="Y74" s="1" t="s">
        <v>74</v>
      </c>
      <c r="Z74" s="1" t="s">
        <v>74</v>
      </c>
      <c r="AA74" s="1" t="s">
        <v>74</v>
      </c>
      <c r="AB74" s="1" t="s">
        <v>74</v>
      </c>
      <c r="AC74" s="1" t="s">
        <v>74</v>
      </c>
      <c r="AD74" s="1" t="s">
        <v>74</v>
      </c>
      <c r="AE74" s="1" t="s">
        <v>74</v>
      </c>
      <c r="AF74" s="1" t="s">
        <v>74</v>
      </c>
      <c r="AG74" s="1" t="s">
        <v>74</v>
      </c>
      <c r="AH74" s="1" t="s">
        <v>74</v>
      </c>
      <c r="AI74" s="1" t="s">
        <v>74</v>
      </c>
      <c r="AJ74" s="1" t="s">
        <v>74</v>
      </c>
      <c r="AK74" s="1" t="s">
        <v>74</v>
      </c>
      <c r="AL74" s="1" t="s">
        <v>74</v>
      </c>
      <c r="AM74" s="1" t="s">
        <v>74</v>
      </c>
      <c r="AN74" s="1" t="s">
        <v>74</v>
      </c>
      <c r="AO74" s="1" t="s">
        <v>523</v>
      </c>
      <c r="AP74" s="1" t="s">
        <v>524</v>
      </c>
      <c r="AQ74" s="1" t="s">
        <v>74</v>
      </c>
      <c r="AR74" s="1" t="s">
        <v>74</v>
      </c>
      <c r="AS74" s="1" t="s">
        <v>74</v>
      </c>
      <c r="AT74" s="1" t="s">
        <v>84</v>
      </c>
      <c r="AU74" s="1">
        <v>2026.0</v>
      </c>
      <c r="AV74" s="1">
        <v>129.0</v>
      </c>
      <c r="AW74" s="1" t="s">
        <v>74</v>
      </c>
      <c r="AX74" s="1" t="s">
        <v>74</v>
      </c>
      <c r="AY74" s="1" t="s">
        <v>74</v>
      </c>
      <c r="AZ74" s="1" t="s">
        <v>74</v>
      </c>
      <c r="BA74" s="1" t="s">
        <v>74</v>
      </c>
      <c r="BB74" s="1" t="s">
        <v>74</v>
      </c>
      <c r="BC74" s="1" t="s">
        <v>74</v>
      </c>
      <c r="BD74" s="1">
        <v>104042.0</v>
      </c>
      <c r="BE74" s="1" t="s">
        <v>842</v>
      </c>
      <c r="BF74" s="2" t="str">
        <f>HYPERLINK("http://dx.doi.org/10.1016/j.inffus.2025.104042","http://dx.doi.org/10.1016/j.inffus.2025.104042")</f>
        <v>http://dx.doi.org/10.1016/j.inffus.2025.104042</v>
      </c>
      <c r="BG74" s="1" t="s">
        <v>74</v>
      </c>
      <c r="BH74" s="1" t="s">
        <v>605</v>
      </c>
      <c r="BI74" s="1" t="s">
        <v>74</v>
      </c>
      <c r="BJ74" s="1" t="s">
        <v>74</v>
      </c>
      <c r="BK74" s="1" t="s">
        <v>74</v>
      </c>
      <c r="BL74" s="1" t="s">
        <v>174</v>
      </c>
      <c r="BM74" s="1" t="s">
        <v>74</v>
      </c>
      <c r="BN74" s="1" t="s">
        <v>74</v>
      </c>
      <c r="BO74" s="1" t="s">
        <v>114</v>
      </c>
      <c r="BP74" s="1" t="s">
        <v>74</v>
      </c>
      <c r="BQ74" s="1" t="s">
        <v>74</v>
      </c>
      <c r="BR74" s="1" t="s">
        <v>74</v>
      </c>
      <c r="BS74" s="1" t="s">
        <v>843</v>
      </c>
      <c r="BT74" s="1" t="str">
        <f>HYPERLINK("https%3A%2F%2Fwww.webofscience.com%2Fwos%2Fwoscc%2Ffull-record%2FWOS:001639813600001","View Full Record in Web of Science")</f>
        <v>View Full Record in Web of Science</v>
      </c>
    </row>
    <row r="75" ht="12.75" customHeight="1">
      <c r="A75" s="1" t="s">
        <v>72</v>
      </c>
      <c r="B75" s="1" t="s">
        <v>844</v>
      </c>
      <c r="C75" s="1" t="s">
        <v>74</v>
      </c>
      <c r="D75" s="1" t="s">
        <v>74</v>
      </c>
      <c r="E75" s="1" t="s">
        <v>74</v>
      </c>
      <c r="F75" s="1" t="s">
        <v>845</v>
      </c>
      <c r="G75" s="1" t="s">
        <v>74</v>
      </c>
      <c r="H75" s="1" t="s">
        <v>74</v>
      </c>
      <c r="I75" s="1" t="s">
        <v>846</v>
      </c>
      <c r="J75" s="1" t="s">
        <v>147</v>
      </c>
      <c r="K75" s="1" t="s">
        <v>74</v>
      </c>
      <c r="L75" s="1" t="s">
        <v>74</v>
      </c>
      <c r="M75" s="1" t="s">
        <v>74</v>
      </c>
      <c r="N75" s="1" t="s">
        <v>78</v>
      </c>
      <c r="O75" s="1" t="s">
        <v>74</v>
      </c>
      <c r="P75" s="1" t="s">
        <v>74</v>
      </c>
      <c r="Q75" s="1" t="s">
        <v>74</v>
      </c>
      <c r="R75" s="1" t="s">
        <v>74</v>
      </c>
      <c r="S75" s="1" t="s">
        <v>74</v>
      </c>
      <c r="T75" s="1" t="s">
        <v>847</v>
      </c>
      <c r="U75" s="1" t="s">
        <v>74</v>
      </c>
      <c r="V75" s="1" t="s">
        <v>848</v>
      </c>
      <c r="W75" s="1" t="s">
        <v>74</v>
      </c>
      <c r="X75" s="1" t="s">
        <v>74</v>
      </c>
      <c r="Y75" s="1" t="s">
        <v>74</v>
      </c>
      <c r="Z75" s="1" t="s">
        <v>74</v>
      </c>
      <c r="AA75" s="1" t="s">
        <v>74</v>
      </c>
      <c r="AB75" s="1" t="s">
        <v>74</v>
      </c>
      <c r="AC75" s="1" t="s">
        <v>74</v>
      </c>
      <c r="AD75" s="1" t="s">
        <v>74</v>
      </c>
      <c r="AE75" s="1" t="s">
        <v>74</v>
      </c>
      <c r="AF75" s="1" t="s">
        <v>74</v>
      </c>
      <c r="AG75" s="1" t="s">
        <v>74</v>
      </c>
      <c r="AH75" s="1" t="s">
        <v>74</v>
      </c>
      <c r="AI75" s="1" t="s">
        <v>74</v>
      </c>
      <c r="AJ75" s="1" t="s">
        <v>74</v>
      </c>
      <c r="AK75" s="1" t="s">
        <v>74</v>
      </c>
      <c r="AL75" s="1" t="s">
        <v>74</v>
      </c>
      <c r="AM75" s="1" t="s">
        <v>74</v>
      </c>
      <c r="AN75" s="1" t="s">
        <v>74</v>
      </c>
      <c r="AO75" s="1" t="s">
        <v>150</v>
      </c>
      <c r="AP75" s="1" t="s">
        <v>74</v>
      </c>
      <c r="AQ75" s="1" t="s">
        <v>74</v>
      </c>
      <c r="AR75" s="1" t="s">
        <v>74</v>
      </c>
      <c r="AS75" s="1" t="s">
        <v>74</v>
      </c>
      <c r="AT75" s="1" t="s">
        <v>74</v>
      </c>
      <c r="AU75" s="1">
        <v>2025.0</v>
      </c>
      <c r="AV75" s="1">
        <v>13.0</v>
      </c>
      <c r="AW75" s="1" t="s">
        <v>74</v>
      </c>
      <c r="AX75" s="1" t="s">
        <v>74</v>
      </c>
      <c r="AY75" s="1" t="s">
        <v>74</v>
      </c>
      <c r="AZ75" s="1" t="s">
        <v>74</v>
      </c>
      <c r="BA75" s="1" t="s">
        <v>74</v>
      </c>
      <c r="BB75" s="1">
        <v>137709.0</v>
      </c>
      <c r="BC75" s="1">
        <v>137723.0</v>
      </c>
      <c r="BD75" s="1" t="s">
        <v>74</v>
      </c>
      <c r="BE75" s="1" t="s">
        <v>849</v>
      </c>
      <c r="BF75" s="2" t="str">
        <f>HYPERLINK("http://dx.doi.org/10.1109/ACCESS.2025.3595699","http://dx.doi.org/10.1109/ACCESS.2025.3595699")</f>
        <v>http://dx.doi.org/10.1109/ACCESS.2025.3595699</v>
      </c>
      <c r="BG75" s="1" t="s">
        <v>74</v>
      </c>
      <c r="BH75" s="1" t="s">
        <v>74</v>
      </c>
      <c r="BI75" s="1" t="s">
        <v>74</v>
      </c>
      <c r="BJ75" s="1" t="s">
        <v>74</v>
      </c>
      <c r="BK75" s="1" t="s">
        <v>74</v>
      </c>
      <c r="BL75" s="1" t="s">
        <v>152</v>
      </c>
      <c r="BM75" s="1" t="s">
        <v>74</v>
      </c>
      <c r="BN75" s="1" t="s">
        <v>74</v>
      </c>
      <c r="BO75" s="1" t="s">
        <v>153</v>
      </c>
      <c r="BP75" s="1" t="s">
        <v>74</v>
      </c>
      <c r="BQ75" s="1" t="s">
        <v>74</v>
      </c>
      <c r="BR75" s="1" t="s">
        <v>74</v>
      </c>
      <c r="BS75" s="1" t="s">
        <v>850</v>
      </c>
      <c r="BT75" s="1" t="str">
        <f>HYPERLINK("https%3A%2F%2Fwww.webofscience.com%2Fwos%2Fwoscc%2Ffull-record%2FWOS:001547311400014","View Full Record in Web of Science")</f>
        <v>View Full Record in Web of Science</v>
      </c>
    </row>
    <row r="76" ht="12.75" customHeight="1">
      <c r="A76" s="1" t="s">
        <v>72</v>
      </c>
      <c r="B76" s="1" t="s">
        <v>851</v>
      </c>
      <c r="C76" s="1" t="s">
        <v>74</v>
      </c>
      <c r="D76" s="1" t="s">
        <v>74</v>
      </c>
      <c r="E76" s="1" t="s">
        <v>74</v>
      </c>
      <c r="F76" s="1" t="s">
        <v>852</v>
      </c>
      <c r="G76" s="1" t="s">
        <v>74</v>
      </c>
      <c r="H76" s="1" t="s">
        <v>74</v>
      </c>
      <c r="I76" s="1" t="s">
        <v>853</v>
      </c>
      <c r="J76" s="1" t="s">
        <v>854</v>
      </c>
      <c r="K76" s="1" t="s">
        <v>74</v>
      </c>
      <c r="L76" s="1" t="s">
        <v>74</v>
      </c>
      <c r="M76" s="1" t="s">
        <v>74</v>
      </c>
      <c r="N76" s="1" t="s">
        <v>78</v>
      </c>
      <c r="O76" s="1" t="s">
        <v>74</v>
      </c>
      <c r="P76" s="1" t="s">
        <v>74</v>
      </c>
      <c r="Q76" s="1" t="s">
        <v>74</v>
      </c>
      <c r="R76" s="1" t="s">
        <v>74</v>
      </c>
      <c r="S76" s="1" t="s">
        <v>74</v>
      </c>
      <c r="T76" s="1" t="s">
        <v>855</v>
      </c>
      <c r="U76" s="1" t="s">
        <v>74</v>
      </c>
      <c r="V76" s="1" t="s">
        <v>856</v>
      </c>
      <c r="W76" s="1" t="s">
        <v>74</v>
      </c>
      <c r="X76" s="1" t="s">
        <v>74</v>
      </c>
      <c r="Y76" s="1" t="s">
        <v>74</v>
      </c>
      <c r="Z76" s="1" t="s">
        <v>74</v>
      </c>
      <c r="AA76" s="1" t="s">
        <v>74</v>
      </c>
      <c r="AB76" s="1" t="s">
        <v>74</v>
      </c>
      <c r="AC76" s="1" t="s">
        <v>74</v>
      </c>
      <c r="AD76" s="1" t="s">
        <v>74</v>
      </c>
      <c r="AE76" s="1" t="s">
        <v>74</v>
      </c>
      <c r="AF76" s="1" t="s">
        <v>74</v>
      </c>
      <c r="AG76" s="1" t="s">
        <v>74</v>
      </c>
      <c r="AH76" s="1" t="s">
        <v>74</v>
      </c>
      <c r="AI76" s="1" t="s">
        <v>74</v>
      </c>
      <c r="AJ76" s="1" t="s">
        <v>74</v>
      </c>
      <c r="AK76" s="1" t="s">
        <v>74</v>
      </c>
      <c r="AL76" s="1" t="s">
        <v>74</v>
      </c>
      <c r="AM76" s="1" t="s">
        <v>74</v>
      </c>
      <c r="AN76" s="1" t="s">
        <v>74</v>
      </c>
      <c r="AO76" s="1" t="s">
        <v>857</v>
      </c>
      <c r="AP76" s="1" t="s">
        <v>858</v>
      </c>
      <c r="AQ76" s="1" t="s">
        <v>74</v>
      </c>
      <c r="AR76" s="1" t="s">
        <v>74</v>
      </c>
      <c r="AS76" s="1" t="s">
        <v>74</v>
      </c>
      <c r="AT76" s="1" t="s">
        <v>74</v>
      </c>
      <c r="AU76" s="1">
        <v>2025.0</v>
      </c>
      <c r="AV76" s="1">
        <v>27.0</v>
      </c>
      <c r="AW76" s="1" t="s">
        <v>74</v>
      </c>
      <c r="AX76" s="1" t="s">
        <v>74</v>
      </c>
      <c r="AY76" s="1" t="s">
        <v>74</v>
      </c>
      <c r="AZ76" s="1" t="s">
        <v>74</v>
      </c>
      <c r="BA76" s="1" t="s">
        <v>74</v>
      </c>
      <c r="BB76" s="1">
        <v>2682.0</v>
      </c>
      <c r="BC76" s="1">
        <v>2694.0</v>
      </c>
      <c r="BD76" s="1" t="s">
        <v>74</v>
      </c>
      <c r="BE76" s="1" t="s">
        <v>859</v>
      </c>
      <c r="BF76" s="2" t="str">
        <f>HYPERLINK("http://dx.doi.org/10.1109/TMM.2025.3535323","http://dx.doi.org/10.1109/TMM.2025.3535323")</f>
        <v>http://dx.doi.org/10.1109/TMM.2025.3535323</v>
      </c>
      <c r="BG76" s="1" t="s">
        <v>74</v>
      </c>
      <c r="BH76" s="1" t="s">
        <v>74</v>
      </c>
      <c r="BI76" s="1" t="s">
        <v>74</v>
      </c>
      <c r="BJ76" s="1" t="s">
        <v>74</v>
      </c>
      <c r="BK76" s="1" t="s">
        <v>74</v>
      </c>
      <c r="BL76" s="1" t="s">
        <v>394</v>
      </c>
      <c r="BM76" s="1" t="s">
        <v>74</v>
      </c>
      <c r="BN76" s="1" t="s">
        <v>74</v>
      </c>
      <c r="BO76" s="1" t="s">
        <v>74</v>
      </c>
      <c r="BP76" s="1" t="s">
        <v>74</v>
      </c>
      <c r="BQ76" s="1" t="s">
        <v>74</v>
      </c>
      <c r="BR76" s="1" t="s">
        <v>74</v>
      </c>
      <c r="BS76" s="1" t="s">
        <v>860</v>
      </c>
      <c r="BT76" s="1" t="str">
        <f>HYPERLINK("https%3A%2F%2Fwww.webofscience.com%2Fwos%2Fwoscc%2Ffull-record%2FWOS:001488499800004","View Full Record in Web of Science")</f>
        <v>View Full Record in Web of Science</v>
      </c>
    </row>
    <row r="77" ht="12.75" customHeight="1">
      <c r="A77" s="1" t="s">
        <v>72</v>
      </c>
      <c r="B77" s="1" t="s">
        <v>861</v>
      </c>
      <c r="C77" s="1" t="s">
        <v>74</v>
      </c>
      <c r="D77" s="1" t="s">
        <v>74</v>
      </c>
      <c r="E77" s="1" t="s">
        <v>74</v>
      </c>
      <c r="F77" s="1" t="s">
        <v>862</v>
      </c>
      <c r="G77" s="1" t="s">
        <v>74</v>
      </c>
      <c r="H77" s="1" t="s">
        <v>74</v>
      </c>
      <c r="I77" s="1" t="s">
        <v>863</v>
      </c>
      <c r="J77" s="1" t="s">
        <v>569</v>
      </c>
      <c r="K77" s="1" t="s">
        <v>74</v>
      </c>
      <c r="L77" s="1" t="s">
        <v>74</v>
      </c>
      <c r="M77" s="1" t="s">
        <v>74</v>
      </c>
      <c r="N77" s="1" t="s">
        <v>78</v>
      </c>
      <c r="O77" s="1" t="s">
        <v>74</v>
      </c>
      <c r="P77" s="1" t="s">
        <v>74</v>
      </c>
      <c r="Q77" s="1" t="s">
        <v>74</v>
      </c>
      <c r="R77" s="1" t="s">
        <v>74</v>
      </c>
      <c r="S77" s="1" t="s">
        <v>74</v>
      </c>
      <c r="T77" s="1" t="s">
        <v>864</v>
      </c>
      <c r="U77" s="1" t="s">
        <v>865</v>
      </c>
      <c r="V77" s="1" t="s">
        <v>866</v>
      </c>
      <c r="W77" s="1" t="s">
        <v>74</v>
      </c>
      <c r="X77" s="1" t="s">
        <v>74</v>
      </c>
      <c r="Y77" s="1" t="s">
        <v>74</v>
      </c>
      <c r="Z77" s="1" t="s">
        <v>74</v>
      </c>
      <c r="AA77" s="1" t="s">
        <v>74</v>
      </c>
      <c r="AB77" s="1" t="s">
        <v>74</v>
      </c>
      <c r="AC77" s="1" t="s">
        <v>74</v>
      </c>
      <c r="AD77" s="1" t="s">
        <v>74</v>
      </c>
      <c r="AE77" s="1" t="s">
        <v>74</v>
      </c>
      <c r="AF77" s="1" t="s">
        <v>74</v>
      </c>
      <c r="AG77" s="1" t="s">
        <v>74</v>
      </c>
      <c r="AH77" s="1" t="s">
        <v>74</v>
      </c>
      <c r="AI77" s="1" t="s">
        <v>74</v>
      </c>
      <c r="AJ77" s="1" t="s">
        <v>74</v>
      </c>
      <c r="AK77" s="1" t="s">
        <v>74</v>
      </c>
      <c r="AL77" s="1" t="s">
        <v>74</v>
      </c>
      <c r="AM77" s="1" t="s">
        <v>74</v>
      </c>
      <c r="AN77" s="1" t="s">
        <v>74</v>
      </c>
      <c r="AO77" s="1" t="s">
        <v>572</v>
      </c>
      <c r="AP77" s="1" t="s">
        <v>573</v>
      </c>
      <c r="AQ77" s="1" t="s">
        <v>74</v>
      </c>
      <c r="AR77" s="1" t="s">
        <v>74</v>
      </c>
      <c r="AS77" s="1" t="s">
        <v>74</v>
      </c>
      <c r="AT77" s="1" t="s">
        <v>867</v>
      </c>
      <c r="AU77" s="1">
        <v>2024.0</v>
      </c>
      <c r="AV77" s="1">
        <v>57.0</v>
      </c>
      <c r="AW77" s="1">
        <v>9.0</v>
      </c>
      <c r="AX77" s="1" t="s">
        <v>74</v>
      </c>
      <c r="AY77" s="1" t="s">
        <v>74</v>
      </c>
      <c r="AZ77" s="1" t="s">
        <v>74</v>
      </c>
      <c r="BA77" s="1" t="s">
        <v>74</v>
      </c>
      <c r="BB77" s="1" t="s">
        <v>74</v>
      </c>
      <c r="BC77" s="1" t="s">
        <v>74</v>
      </c>
      <c r="BD77" s="1">
        <v>231.0</v>
      </c>
      <c r="BE77" s="1" t="s">
        <v>868</v>
      </c>
      <c r="BF77" s="2" t="str">
        <f>HYPERLINK("http://dx.doi.org/10.1007/s10462-024-10849-5","http://dx.doi.org/10.1007/s10462-024-10849-5")</f>
        <v>http://dx.doi.org/10.1007/s10462-024-10849-5</v>
      </c>
      <c r="BG77" s="1" t="s">
        <v>74</v>
      </c>
      <c r="BH77" s="1" t="s">
        <v>74</v>
      </c>
      <c r="BI77" s="1" t="s">
        <v>74</v>
      </c>
      <c r="BJ77" s="1" t="s">
        <v>74</v>
      </c>
      <c r="BK77" s="1" t="s">
        <v>74</v>
      </c>
      <c r="BL77" s="1" t="s">
        <v>174</v>
      </c>
      <c r="BM77" s="1" t="s">
        <v>74</v>
      </c>
      <c r="BN77" s="1" t="s">
        <v>74</v>
      </c>
      <c r="BO77" s="1" t="s">
        <v>869</v>
      </c>
      <c r="BP77" s="1" t="s">
        <v>74</v>
      </c>
      <c r="BQ77" s="1" t="s">
        <v>74</v>
      </c>
      <c r="BR77" s="1" t="s">
        <v>74</v>
      </c>
      <c r="BS77" s="1" t="s">
        <v>870</v>
      </c>
      <c r="BT77" s="1" t="str">
        <f>HYPERLINK("https%3A%2F%2Fwww.webofscience.com%2Fwos%2Fwoscc%2Ffull-record%2FWOS:001286307000003","View Full Record in Web of Science")</f>
        <v>View Full Record in Web of Science</v>
      </c>
    </row>
    <row r="78" ht="12.75" customHeight="1">
      <c r="A78" s="1" t="s">
        <v>72</v>
      </c>
      <c r="B78" s="1" t="s">
        <v>871</v>
      </c>
      <c r="C78" s="1" t="s">
        <v>74</v>
      </c>
      <c r="D78" s="1" t="s">
        <v>74</v>
      </c>
      <c r="E78" s="1" t="s">
        <v>74</v>
      </c>
      <c r="F78" s="1" t="s">
        <v>872</v>
      </c>
      <c r="G78" s="1" t="s">
        <v>74</v>
      </c>
      <c r="H78" s="1" t="s">
        <v>74</v>
      </c>
      <c r="I78" s="1" t="s">
        <v>873</v>
      </c>
      <c r="J78" s="1" t="s">
        <v>296</v>
      </c>
      <c r="K78" s="1" t="s">
        <v>74</v>
      </c>
      <c r="L78" s="1" t="s">
        <v>74</v>
      </c>
      <c r="M78" s="1" t="s">
        <v>74</v>
      </c>
      <c r="N78" s="1" t="s">
        <v>78</v>
      </c>
      <c r="O78" s="1" t="s">
        <v>74</v>
      </c>
      <c r="P78" s="1" t="s">
        <v>74</v>
      </c>
      <c r="Q78" s="1" t="s">
        <v>74</v>
      </c>
      <c r="R78" s="1" t="s">
        <v>74</v>
      </c>
      <c r="S78" s="1" t="s">
        <v>74</v>
      </c>
      <c r="T78" s="1" t="s">
        <v>874</v>
      </c>
      <c r="U78" s="1" t="s">
        <v>74</v>
      </c>
      <c r="V78" s="1" t="s">
        <v>875</v>
      </c>
      <c r="W78" s="1" t="s">
        <v>74</v>
      </c>
      <c r="X78" s="1" t="s">
        <v>74</v>
      </c>
      <c r="Y78" s="1" t="s">
        <v>74</v>
      </c>
      <c r="Z78" s="1" t="s">
        <v>74</v>
      </c>
      <c r="AA78" s="1" t="s">
        <v>74</v>
      </c>
      <c r="AB78" s="1" t="s">
        <v>74</v>
      </c>
      <c r="AC78" s="1" t="s">
        <v>74</v>
      </c>
      <c r="AD78" s="1" t="s">
        <v>74</v>
      </c>
      <c r="AE78" s="1" t="s">
        <v>74</v>
      </c>
      <c r="AF78" s="1" t="s">
        <v>74</v>
      </c>
      <c r="AG78" s="1" t="s">
        <v>74</v>
      </c>
      <c r="AH78" s="1" t="s">
        <v>74</v>
      </c>
      <c r="AI78" s="1" t="s">
        <v>74</v>
      </c>
      <c r="AJ78" s="1" t="s">
        <v>74</v>
      </c>
      <c r="AK78" s="1" t="s">
        <v>74</v>
      </c>
      <c r="AL78" s="1" t="s">
        <v>74</v>
      </c>
      <c r="AM78" s="1" t="s">
        <v>74</v>
      </c>
      <c r="AN78" s="1" t="s">
        <v>74</v>
      </c>
      <c r="AO78" s="1" t="s">
        <v>299</v>
      </c>
      <c r="AP78" s="1" t="s">
        <v>300</v>
      </c>
      <c r="AQ78" s="1" t="s">
        <v>74</v>
      </c>
      <c r="AR78" s="1" t="s">
        <v>74</v>
      </c>
      <c r="AS78" s="1" t="s">
        <v>74</v>
      </c>
      <c r="AT78" s="1" t="s">
        <v>74</v>
      </c>
      <c r="AU78" s="1">
        <v>2026.0</v>
      </c>
      <c r="AV78" s="1">
        <v>86.0</v>
      </c>
      <c r="AW78" s="1">
        <v>1.0</v>
      </c>
      <c r="AX78" s="1" t="s">
        <v>74</v>
      </c>
      <c r="AY78" s="1" t="s">
        <v>74</v>
      </c>
      <c r="AZ78" s="1" t="s">
        <v>74</v>
      </c>
      <c r="BA78" s="1" t="s">
        <v>74</v>
      </c>
      <c r="BB78" s="1" t="s">
        <v>74</v>
      </c>
      <c r="BC78" s="1" t="s">
        <v>74</v>
      </c>
      <c r="BD78" s="1">
        <v>6810.0</v>
      </c>
      <c r="BE78" s="1" t="s">
        <v>876</v>
      </c>
      <c r="BF78" s="2" t="str">
        <f>HYPERLINK("http://dx.doi.org/10.32604/cmc.2025.068104","http://dx.doi.org/10.32604/cmc.2025.068104")</f>
        <v>http://dx.doi.org/10.32604/cmc.2025.068104</v>
      </c>
      <c r="BG78" s="1" t="s">
        <v>74</v>
      </c>
      <c r="BH78" s="1" t="s">
        <v>74</v>
      </c>
      <c r="BI78" s="1" t="s">
        <v>74</v>
      </c>
      <c r="BJ78" s="1" t="s">
        <v>74</v>
      </c>
      <c r="BK78" s="1" t="s">
        <v>74</v>
      </c>
      <c r="BL78" s="1" t="s">
        <v>302</v>
      </c>
      <c r="BM78" s="1" t="s">
        <v>74</v>
      </c>
      <c r="BN78" s="1" t="s">
        <v>74</v>
      </c>
      <c r="BO78" s="1" t="s">
        <v>163</v>
      </c>
      <c r="BP78" s="1" t="s">
        <v>74</v>
      </c>
      <c r="BQ78" s="1" t="s">
        <v>74</v>
      </c>
      <c r="BR78" s="1" t="s">
        <v>74</v>
      </c>
      <c r="BS78" s="1" t="s">
        <v>877</v>
      </c>
      <c r="BT78" s="1" t="str">
        <f>HYPERLINK("https%3A%2F%2Fwww.webofscience.com%2Fwos%2Fwoscc%2Ffull-record%2FWOS:001622088500001","View Full Record in Web of Science")</f>
        <v>View Full Record in Web of Science</v>
      </c>
    </row>
    <row r="79" ht="12.75" customHeight="1">
      <c r="A79" s="1" t="s">
        <v>72</v>
      </c>
      <c r="B79" s="1" t="s">
        <v>878</v>
      </c>
      <c r="C79" s="1" t="s">
        <v>74</v>
      </c>
      <c r="D79" s="1" t="s">
        <v>74</v>
      </c>
      <c r="E79" s="1" t="s">
        <v>74</v>
      </c>
      <c r="F79" s="1" t="s">
        <v>879</v>
      </c>
      <c r="G79" s="1" t="s">
        <v>74</v>
      </c>
      <c r="H79" s="1" t="s">
        <v>74</v>
      </c>
      <c r="I79" s="1" t="s">
        <v>880</v>
      </c>
      <c r="J79" s="1" t="s">
        <v>881</v>
      </c>
      <c r="K79" s="1" t="s">
        <v>74</v>
      </c>
      <c r="L79" s="1" t="s">
        <v>74</v>
      </c>
      <c r="M79" s="1" t="s">
        <v>74</v>
      </c>
      <c r="N79" s="1" t="s">
        <v>78</v>
      </c>
      <c r="O79" s="1" t="s">
        <v>74</v>
      </c>
      <c r="P79" s="1" t="s">
        <v>74</v>
      </c>
      <c r="Q79" s="1" t="s">
        <v>74</v>
      </c>
      <c r="R79" s="1" t="s">
        <v>74</v>
      </c>
      <c r="S79" s="1" t="s">
        <v>74</v>
      </c>
      <c r="T79" s="1" t="s">
        <v>882</v>
      </c>
      <c r="U79" s="1" t="s">
        <v>74</v>
      </c>
      <c r="V79" s="1" t="s">
        <v>883</v>
      </c>
      <c r="W79" s="1" t="s">
        <v>74</v>
      </c>
      <c r="X79" s="1" t="s">
        <v>74</v>
      </c>
      <c r="Y79" s="1" t="s">
        <v>74</v>
      </c>
      <c r="Z79" s="1" t="s">
        <v>74</v>
      </c>
      <c r="AA79" s="1" t="s">
        <v>74</v>
      </c>
      <c r="AB79" s="1" t="s">
        <v>74</v>
      </c>
      <c r="AC79" s="1" t="s">
        <v>74</v>
      </c>
      <c r="AD79" s="1" t="s">
        <v>74</v>
      </c>
      <c r="AE79" s="1" t="s">
        <v>74</v>
      </c>
      <c r="AF79" s="1" t="s">
        <v>74</v>
      </c>
      <c r="AG79" s="1" t="s">
        <v>74</v>
      </c>
      <c r="AH79" s="1" t="s">
        <v>74</v>
      </c>
      <c r="AI79" s="1" t="s">
        <v>74</v>
      </c>
      <c r="AJ79" s="1" t="s">
        <v>74</v>
      </c>
      <c r="AK79" s="1" t="s">
        <v>74</v>
      </c>
      <c r="AL79" s="1" t="s">
        <v>74</v>
      </c>
      <c r="AM79" s="1" t="s">
        <v>74</v>
      </c>
      <c r="AN79" s="1" t="s">
        <v>74</v>
      </c>
      <c r="AO79" s="1" t="s">
        <v>74</v>
      </c>
      <c r="AP79" s="1" t="s">
        <v>884</v>
      </c>
      <c r="AQ79" s="1" t="s">
        <v>74</v>
      </c>
      <c r="AR79" s="1" t="s">
        <v>74</v>
      </c>
      <c r="AS79" s="1" t="s">
        <v>74</v>
      </c>
      <c r="AT79" s="1" t="s">
        <v>885</v>
      </c>
      <c r="AU79" s="1">
        <v>2025.0</v>
      </c>
      <c r="AV79" s="1">
        <v>16.0</v>
      </c>
      <c r="AW79" s="1">
        <v>7.0</v>
      </c>
      <c r="AX79" s="1" t="s">
        <v>74</v>
      </c>
      <c r="AY79" s="1" t="s">
        <v>74</v>
      </c>
      <c r="AZ79" s="1" t="s">
        <v>74</v>
      </c>
      <c r="BA79" s="1" t="s">
        <v>74</v>
      </c>
      <c r="BB79" s="1" t="s">
        <v>74</v>
      </c>
      <c r="BC79" s="1" t="s">
        <v>74</v>
      </c>
      <c r="BD79" s="1">
        <v>522.0</v>
      </c>
      <c r="BE79" s="1" t="s">
        <v>886</v>
      </c>
      <c r="BF79" s="2" t="str">
        <f>HYPERLINK("http://dx.doi.org/10.3390/info16070522","http://dx.doi.org/10.3390/info16070522")</f>
        <v>http://dx.doi.org/10.3390/info16070522</v>
      </c>
      <c r="BG79" s="1" t="s">
        <v>74</v>
      </c>
      <c r="BH79" s="1" t="s">
        <v>74</v>
      </c>
      <c r="BI79" s="1" t="s">
        <v>74</v>
      </c>
      <c r="BJ79" s="1" t="s">
        <v>74</v>
      </c>
      <c r="BK79" s="1" t="s">
        <v>74</v>
      </c>
      <c r="BL79" s="1" t="s">
        <v>174</v>
      </c>
      <c r="BM79" s="1" t="s">
        <v>74</v>
      </c>
      <c r="BN79" s="1" t="s">
        <v>74</v>
      </c>
      <c r="BO79" s="1" t="s">
        <v>163</v>
      </c>
      <c r="BP79" s="1" t="s">
        <v>74</v>
      </c>
      <c r="BQ79" s="1" t="s">
        <v>74</v>
      </c>
      <c r="BR79" s="1" t="s">
        <v>74</v>
      </c>
      <c r="BS79" s="1" t="s">
        <v>887</v>
      </c>
      <c r="BT79" s="1" t="str">
        <f>HYPERLINK("https%3A%2F%2Fwww.webofscience.com%2Fwos%2Fwoscc%2Ffull-record%2FWOS:001535339700001","View Full Record in Web of Science")</f>
        <v>View Full Record in Web of Science</v>
      </c>
    </row>
    <row r="80" ht="12.75" customHeight="1">
      <c r="A80" s="1" t="s">
        <v>72</v>
      </c>
      <c r="B80" s="1" t="s">
        <v>888</v>
      </c>
      <c r="C80" s="1" t="s">
        <v>74</v>
      </c>
      <c r="D80" s="1" t="s">
        <v>74</v>
      </c>
      <c r="E80" s="1" t="s">
        <v>74</v>
      </c>
      <c r="F80" s="1" t="s">
        <v>889</v>
      </c>
      <c r="G80" s="1" t="s">
        <v>74</v>
      </c>
      <c r="H80" s="1" t="s">
        <v>74</v>
      </c>
      <c r="I80" s="1" t="s">
        <v>890</v>
      </c>
      <c r="J80" s="1" t="s">
        <v>147</v>
      </c>
      <c r="K80" s="1" t="s">
        <v>74</v>
      </c>
      <c r="L80" s="1" t="s">
        <v>74</v>
      </c>
      <c r="M80" s="1" t="s">
        <v>74</v>
      </c>
      <c r="N80" s="1" t="s">
        <v>78</v>
      </c>
      <c r="O80" s="1" t="s">
        <v>74</v>
      </c>
      <c r="P80" s="1" t="s">
        <v>74</v>
      </c>
      <c r="Q80" s="1" t="s">
        <v>74</v>
      </c>
      <c r="R80" s="1" t="s">
        <v>74</v>
      </c>
      <c r="S80" s="1" t="s">
        <v>74</v>
      </c>
      <c r="T80" s="1" t="s">
        <v>891</v>
      </c>
      <c r="U80" s="1" t="s">
        <v>74</v>
      </c>
      <c r="V80" s="1" t="s">
        <v>892</v>
      </c>
      <c r="W80" s="1" t="s">
        <v>74</v>
      </c>
      <c r="X80" s="1" t="s">
        <v>74</v>
      </c>
      <c r="Y80" s="1" t="s">
        <v>74</v>
      </c>
      <c r="Z80" s="1" t="s">
        <v>74</v>
      </c>
      <c r="AA80" s="1" t="s">
        <v>74</v>
      </c>
      <c r="AB80" s="1" t="s">
        <v>74</v>
      </c>
      <c r="AC80" s="1" t="s">
        <v>74</v>
      </c>
      <c r="AD80" s="1" t="s">
        <v>74</v>
      </c>
      <c r="AE80" s="1" t="s">
        <v>74</v>
      </c>
      <c r="AF80" s="1" t="s">
        <v>74</v>
      </c>
      <c r="AG80" s="1" t="s">
        <v>74</v>
      </c>
      <c r="AH80" s="1" t="s">
        <v>74</v>
      </c>
      <c r="AI80" s="1" t="s">
        <v>74</v>
      </c>
      <c r="AJ80" s="1" t="s">
        <v>74</v>
      </c>
      <c r="AK80" s="1" t="s">
        <v>74</v>
      </c>
      <c r="AL80" s="1" t="s">
        <v>74</v>
      </c>
      <c r="AM80" s="1" t="s">
        <v>74</v>
      </c>
      <c r="AN80" s="1" t="s">
        <v>74</v>
      </c>
      <c r="AO80" s="1" t="s">
        <v>150</v>
      </c>
      <c r="AP80" s="1" t="s">
        <v>74</v>
      </c>
      <c r="AQ80" s="1" t="s">
        <v>74</v>
      </c>
      <c r="AR80" s="1" t="s">
        <v>74</v>
      </c>
      <c r="AS80" s="1" t="s">
        <v>74</v>
      </c>
      <c r="AT80" s="1" t="s">
        <v>74</v>
      </c>
      <c r="AU80" s="1">
        <v>2025.0</v>
      </c>
      <c r="AV80" s="1">
        <v>13.0</v>
      </c>
      <c r="AW80" s="1" t="s">
        <v>74</v>
      </c>
      <c r="AX80" s="1" t="s">
        <v>74</v>
      </c>
      <c r="AY80" s="1" t="s">
        <v>74</v>
      </c>
      <c r="AZ80" s="1" t="s">
        <v>74</v>
      </c>
      <c r="BA80" s="1" t="s">
        <v>74</v>
      </c>
      <c r="BB80" s="1">
        <v>108076.0</v>
      </c>
      <c r="BC80" s="1">
        <v>108092.0</v>
      </c>
      <c r="BD80" s="1" t="s">
        <v>74</v>
      </c>
      <c r="BE80" s="1" t="s">
        <v>893</v>
      </c>
      <c r="BF80" s="2" t="str">
        <f>HYPERLINK("http://dx.doi.org/10.1109/ACCESS.2025.3580641","http://dx.doi.org/10.1109/ACCESS.2025.3580641")</f>
        <v>http://dx.doi.org/10.1109/ACCESS.2025.3580641</v>
      </c>
      <c r="BG80" s="1" t="s">
        <v>74</v>
      </c>
      <c r="BH80" s="1" t="s">
        <v>74</v>
      </c>
      <c r="BI80" s="1" t="s">
        <v>74</v>
      </c>
      <c r="BJ80" s="1" t="s">
        <v>74</v>
      </c>
      <c r="BK80" s="1" t="s">
        <v>74</v>
      </c>
      <c r="BL80" s="1" t="s">
        <v>152</v>
      </c>
      <c r="BM80" s="1" t="s">
        <v>74</v>
      </c>
      <c r="BN80" s="1" t="s">
        <v>74</v>
      </c>
      <c r="BO80" s="1" t="s">
        <v>153</v>
      </c>
      <c r="BP80" s="1" t="s">
        <v>74</v>
      </c>
      <c r="BQ80" s="1" t="s">
        <v>74</v>
      </c>
      <c r="BR80" s="1" t="s">
        <v>74</v>
      </c>
      <c r="BS80" s="1" t="s">
        <v>894</v>
      </c>
      <c r="BT80" s="1" t="str">
        <f>HYPERLINK("https%3A%2F%2Fwww.webofscience.com%2Fwos%2Fwoscc%2Ffull-record%2FWOS:001518769800026","View Full Record in Web of Science")</f>
        <v>View Full Record in Web of Science</v>
      </c>
    </row>
    <row r="81" ht="12.75" customHeight="1">
      <c r="A81" s="1" t="s">
        <v>72</v>
      </c>
      <c r="B81" s="1" t="s">
        <v>895</v>
      </c>
      <c r="C81" s="1" t="s">
        <v>74</v>
      </c>
      <c r="D81" s="1" t="s">
        <v>74</v>
      </c>
      <c r="E81" s="1" t="s">
        <v>74</v>
      </c>
      <c r="F81" s="1" t="s">
        <v>896</v>
      </c>
      <c r="G81" s="1" t="s">
        <v>74</v>
      </c>
      <c r="H81" s="1" t="s">
        <v>74</v>
      </c>
      <c r="I81" s="1" t="s">
        <v>897</v>
      </c>
      <c r="J81" s="1" t="s">
        <v>147</v>
      </c>
      <c r="K81" s="1" t="s">
        <v>74</v>
      </c>
      <c r="L81" s="1" t="s">
        <v>74</v>
      </c>
      <c r="M81" s="1" t="s">
        <v>74</v>
      </c>
      <c r="N81" s="1" t="s">
        <v>78</v>
      </c>
      <c r="O81" s="1" t="s">
        <v>74</v>
      </c>
      <c r="P81" s="1" t="s">
        <v>74</v>
      </c>
      <c r="Q81" s="1" t="s">
        <v>74</v>
      </c>
      <c r="R81" s="1" t="s">
        <v>74</v>
      </c>
      <c r="S81" s="1" t="s">
        <v>74</v>
      </c>
      <c r="T81" s="1" t="s">
        <v>898</v>
      </c>
      <c r="U81" s="1" t="s">
        <v>74</v>
      </c>
      <c r="V81" s="1" t="s">
        <v>899</v>
      </c>
      <c r="W81" s="1" t="s">
        <v>74</v>
      </c>
      <c r="X81" s="1" t="s">
        <v>74</v>
      </c>
      <c r="Y81" s="1" t="s">
        <v>74</v>
      </c>
      <c r="Z81" s="1" t="s">
        <v>74</v>
      </c>
      <c r="AA81" s="1" t="s">
        <v>74</v>
      </c>
      <c r="AB81" s="1" t="s">
        <v>74</v>
      </c>
      <c r="AC81" s="1" t="s">
        <v>74</v>
      </c>
      <c r="AD81" s="1" t="s">
        <v>74</v>
      </c>
      <c r="AE81" s="1" t="s">
        <v>74</v>
      </c>
      <c r="AF81" s="1" t="s">
        <v>74</v>
      </c>
      <c r="AG81" s="1" t="s">
        <v>74</v>
      </c>
      <c r="AH81" s="1" t="s">
        <v>74</v>
      </c>
      <c r="AI81" s="1" t="s">
        <v>74</v>
      </c>
      <c r="AJ81" s="1" t="s">
        <v>74</v>
      </c>
      <c r="AK81" s="1" t="s">
        <v>74</v>
      </c>
      <c r="AL81" s="1" t="s">
        <v>74</v>
      </c>
      <c r="AM81" s="1" t="s">
        <v>74</v>
      </c>
      <c r="AN81" s="1" t="s">
        <v>74</v>
      </c>
      <c r="AO81" s="1" t="s">
        <v>150</v>
      </c>
      <c r="AP81" s="1" t="s">
        <v>74</v>
      </c>
      <c r="AQ81" s="1" t="s">
        <v>74</v>
      </c>
      <c r="AR81" s="1" t="s">
        <v>74</v>
      </c>
      <c r="AS81" s="1" t="s">
        <v>74</v>
      </c>
      <c r="AT81" s="1" t="s">
        <v>74</v>
      </c>
      <c r="AU81" s="1">
        <v>2025.0</v>
      </c>
      <c r="AV81" s="1">
        <v>13.0</v>
      </c>
      <c r="AW81" s="1" t="s">
        <v>74</v>
      </c>
      <c r="AX81" s="1" t="s">
        <v>74</v>
      </c>
      <c r="AY81" s="1" t="s">
        <v>74</v>
      </c>
      <c r="AZ81" s="1" t="s">
        <v>74</v>
      </c>
      <c r="BA81" s="1" t="s">
        <v>74</v>
      </c>
      <c r="BB81" s="1">
        <v>12846.0</v>
      </c>
      <c r="BC81" s="1">
        <v>12858.0</v>
      </c>
      <c r="BD81" s="1" t="s">
        <v>74</v>
      </c>
      <c r="BE81" s="1" t="s">
        <v>900</v>
      </c>
      <c r="BF81" s="2" t="str">
        <f>HYPERLINK("http://dx.doi.org/10.1109/ACCESS.2025.3531380","http://dx.doi.org/10.1109/ACCESS.2025.3531380")</f>
        <v>http://dx.doi.org/10.1109/ACCESS.2025.3531380</v>
      </c>
      <c r="BG81" s="1" t="s">
        <v>74</v>
      </c>
      <c r="BH81" s="1" t="s">
        <v>74</v>
      </c>
      <c r="BI81" s="1" t="s">
        <v>74</v>
      </c>
      <c r="BJ81" s="1" t="s">
        <v>74</v>
      </c>
      <c r="BK81" s="1" t="s">
        <v>74</v>
      </c>
      <c r="BL81" s="1" t="s">
        <v>152</v>
      </c>
      <c r="BM81" s="1" t="s">
        <v>74</v>
      </c>
      <c r="BN81" s="1" t="s">
        <v>74</v>
      </c>
      <c r="BO81" s="1" t="s">
        <v>153</v>
      </c>
      <c r="BP81" s="1" t="s">
        <v>74</v>
      </c>
      <c r="BQ81" s="1" t="s">
        <v>74</v>
      </c>
      <c r="BR81" s="1" t="s">
        <v>74</v>
      </c>
      <c r="BS81" s="1" t="s">
        <v>901</v>
      </c>
      <c r="BT81" s="1" t="str">
        <f>HYPERLINK("https%3A%2F%2Fwww.webofscience.com%2Fwos%2Fwoscc%2Ffull-record%2FWOS:001405883900001","View Full Record in Web of Science")</f>
        <v>View Full Record in Web of Science</v>
      </c>
    </row>
    <row r="82" ht="12.75" customHeight="1">
      <c r="A82" s="1" t="s">
        <v>72</v>
      </c>
      <c r="B82" s="1" t="s">
        <v>902</v>
      </c>
      <c r="C82" s="1" t="s">
        <v>74</v>
      </c>
      <c r="D82" s="1" t="s">
        <v>74</v>
      </c>
      <c r="E82" s="1" t="s">
        <v>74</v>
      </c>
      <c r="F82" s="1" t="s">
        <v>903</v>
      </c>
      <c r="G82" s="1" t="s">
        <v>74</v>
      </c>
      <c r="H82" s="1" t="s">
        <v>74</v>
      </c>
      <c r="I82" s="1" t="s">
        <v>904</v>
      </c>
      <c r="J82" s="1" t="s">
        <v>905</v>
      </c>
      <c r="K82" s="1" t="s">
        <v>74</v>
      </c>
      <c r="L82" s="1" t="s">
        <v>74</v>
      </c>
      <c r="M82" s="1" t="s">
        <v>74</v>
      </c>
      <c r="N82" s="1" t="s">
        <v>78</v>
      </c>
      <c r="O82" s="1" t="s">
        <v>74</v>
      </c>
      <c r="P82" s="1" t="s">
        <v>74</v>
      </c>
      <c r="Q82" s="1" t="s">
        <v>74</v>
      </c>
      <c r="R82" s="1" t="s">
        <v>74</v>
      </c>
      <c r="S82" s="1" t="s">
        <v>74</v>
      </c>
      <c r="T82" s="1" t="s">
        <v>906</v>
      </c>
      <c r="U82" s="1" t="s">
        <v>907</v>
      </c>
      <c r="V82" s="1" t="s">
        <v>908</v>
      </c>
      <c r="W82" s="1" t="s">
        <v>74</v>
      </c>
      <c r="X82" s="1" t="s">
        <v>74</v>
      </c>
      <c r="Y82" s="1" t="s">
        <v>74</v>
      </c>
      <c r="Z82" s="1" t="s">
        <v>74</v>
      </c>
      <c r="AA82" s="1" t="s">
        <v>74</v>
      </c>
      <c r="AB82" s="1" t="s">
        <v>74</v>
      </c>
      <c r="AC82" s="1" t="s">
        <v>74</v>
      </c>
      <c r="AD82" s="1" t="s">
        <v>74</v>
      </c>
      <c r="AE82" s="1" t="s">
        <v>74</v>
      </c>
      <c r="AF82" s="1" t="s">
        <v>74</v>
      </c>
      <c r="AG82" s="1" t="s">
        <v>74</v>
      </c>
      <c r="AH82" s="1" t="s">
        <v>74</v>
      </c>
      <c r="AI82" s="1" t="s">
        <v>74</v>
      </c>
      <c r="AJ82" s="1" t="s">
        <v>74</v>
      </c>
      <c r="AK82" s="1" t="s">
        <v>74</v>
      </c>
      <c r="AL82" s="1" t="s">
        <v>74</v>
      </c>
      <c r="AM82" s="1" t="s">
        <v>74</v>
      </c>
      <c r="AN82" s="1" t="s">
        <v>74</v>
      </c>
      <c r="AO82" s="1" t="s">
        <v>909</v>
      </c>
      <c r="AP82" s="1" t="s">
        <v>910</v>
      </c>
      <c r="AQ82" s="1" t="s">
        <v>74</v>
      </c>
      <c r="AR82" s="1" t="s">
        <v>74</v>
      </c>
      <c r="AS82" s="1" t="s">
        <v>74</v>
      </c>
      <c r="AT82" s="1" t="s">
        <v>464</v>
      </c>
      <c r="AU82" s="1">
        <v>2024.0</v>
      </c>
      <c r="AV82" s="1">
        <v>113.0</v>
      </c>
      <c r="AW82" s="1">
        <v>8.0</v>
      </c>
      <c r="AX82" s="1" t="s">
        <v>74</v>
      </c>
      <c r="AY82" s="1" t="s">
        <v>74</v>
      </c>
      <c r="AZ82" s="1" t="s">
        <v>74</v>
      </c>
      <c r="BA82" s="1" t="s">
        <v>74</v>
      </c>
      <c r="BB82" s="1">
        <v>5847.0</v>
      </c>
      <c r="BC82" s="1">
        <v>5890.0</v>
      </c>
      <c r="BD82" s="1" t="s">
        <v>74</v>
      </c>
      <c r="BE82" s="1" t="s">
        <v>911</v>
      </c>
      <c r="BF82" s="2" t="str">
        <f>HYPERLINK("http://dx.doi.org/10.1007/s10994-024-06543-w","http://dx.doi.org/10.1007/s10994-024-06543-w")</f>
        <v>http://dx.doi.org/10.1007/s10994-024-06543-w</v>
      </c>
      <c r="BG82" s="1" t="s">
        <v>74</v>
      </c>
      <c r="BH82" s="1" t="s">
        <v>126</v>
      </c>
      <c r="BI82" s="1" t="s">
        <v>74</v>
      </c>
      <c r="BJ82" s="1" t="s">
        <v>74</v>
      </c>
      <c r="BK82" s="1" t="s">
        <v>74</v>
      </c>
      <c r="BL82" s="1" t="s">
        <v>174</v>
      </c>
      <c r="BM82" s="1" t="s">
        <v>74</v>
      </c>
      <c r="BN82" s="1" t="s">
        <v>74</v>
      </c>
      <c r="BO82" s="1" t="s">
        <v>74</v>
      </c>
      <c r="BP82" s="1" t="s">
        <v>74</v>
      </c>
      <c r="BQ82" s="1" t="s">
        <v>74</v>
      </c>
      <c r="BR82" s="1" t="s">
        <v>74</v>
      </c>
      <c r="BS82" s="1" t="s">
        <v>912</v>
      </c>
      <c r="BT82" s="1" t="str">
        <f>HYPERLINK("https%3A%2F%2Fwww.webofscience.com%2Fwos%2Fwoscc%2Ffull-record%2FWOS:001205148600001","View Full Record in Web of Science")</f>
        <v>View Full Record in Web of Science</v>
      </c>
    </row>
    <row r="83" ht="12.75" customHeight="1">
      <c r="A83" s="1" t="s">
        <v>72</v>
      </c>
      <c r="B83" s="1" t="s">
        <v>913</v>
      </c>
      <c r="C83" s="1" t="s">
        <v>74</v>
      </c>
      <c r="D83" s="1" t="s">
        <v>74</v>
      </c>
      <c r="E83" s="1" t="s">
        <v>74</v>
      </c>
      <c r="F83" s="1" t="s">
        <v>914</v>
      </c>
      <c r="G83" s="1" t="s">
        <v>74</v>
      </c>
      <c r="H83" s="1" t="s">
        <v>74</v>
      </c>
      <c r="I83" s="1" t="s">
        <v>915</v>
      </c>
      <c r="J83" s="1" t="s">
        <v>916</v>
      </c>
      <c r="K83" s="1" t="s">
        <v>74</v>
      </c>
      <c r="L83" s="1" t="s">
        <v>74</v>
      </c>
      <c r="M83" s="1" t="s">
        <v>74</v>
      </c>
      <c r="N83" s="1" t="s">
        <v>78</v>
      </c>
      <c r="O83" s="1" t="s">
        <v>74</v>
      </c>
      <c r="P83" s="1" t="s">
        <v>74</v>
      </c>
      <c r="Q83" s="1" t="s">
        <v>74</v>
      </c>
      <c r="R83" s="1" t="s">
        <v>74</v>
      </c>
      <c r="S83" s="1" t="s">
        <v>74</v>
      </c>
      <c r="T83" s="1" t="s">
        <v>917</v>
      </c>
      <c r="U83" s="1" t="s">
        <v>74</v>
      </c>
      <c r="V83" s="1" t="s">
        <v>918</v>
      </c>
      <c r="W83" s="1" t="s">
        <v>74</v>
      </c>
      <c r="X83" s="1" t="s">
        <v>74</v>
      </c>
      <c r="Y83" s="1" t="s">
        <v>74</v>
      </c>
      <c r="Z83" s="1" t="s">
        <v>74</v>
      </c>
      <c r="AA83" s="1" t="s">
        <v>74</v>
      </c>
      <c r="AB83" s="1" t="s">
        <v>74</v>
      </c>
      <c r="AC83" s="1" t="s">
        <v>74</v>
      </c>
      <c r="AD83" s="1" t="s">
        <v>74</v>
      </c>
      <c r="AE83" s="1" t="s">
        <v>74</v>
      </c>
      <c r="AF83" s="1" t="s">
        <v>74</v>
      </c>
      <c r="AG83" s="1" t="s">
        <v>74</v>
      </c>
      <c r="AH83" s="1" t="s">
        <v>74</v>
      </c>
      <c r="AI83" s="1" t="s">
        <v>74</v>
      </c>
      <c r="AJ83" s="1" t="s">
        <v>74</v>
      </c>
      <c r="AK83" s="1" t="s">
        <v>74</v>
      </c>
      <c r="AL83" s="1" t="s">
        <v>74</v>
      </c>
      <c r="AM83" s="1" t="s">
        <v>74</v>
      </c>
      <c r="AN83" s="1" t="s">
        <v>74</v>
      </c>
      <c r="AO83" s="1" t="s">
        <v>919</v>
      </c>
      <c r="AP83" s="1" t="s">
        <v>920</v>
      </c>
      <c r="AQ83" s="1" t="s">
        <v>74</v>
      </c>
      <c r="AR83" s="1" t="s">
        <v>74</v>
      </c>
      <c r="AS83" s="1" t="s">
        <v>74</v>
      </c>
      <c r="AT83" s="1" t="s">
        <v>736</v>
      </c>
      <c r="AU83" s="1">
        <v>2026.0</v>
      </c>
      <c r="AV83" s="1">
        <v>723.0</v>
      </c>
      <c r="AW83" s="1" t="s">
        <v>74</v>
      </c>
      <c r="AX83" s="1" t="s">
        <v>74</v>
      </c>
      <c r="AY83" s="1" t="s">
        <v>74</v>
      </c>
      <c r="AZ83" s="1" t="s">
        <v>74</v>
      </c>
      <c r="BA83" s="1" t="s">
        <v>74</v>
      </c>
      <c r="BB83" s="1" t="s">
        <v>74</v>
      </c>
      <c r="BC83" s="1" t="s">
        <v>74</v>
      </c>
      <c r="BD83" s="1">
        <v>122688.0</v>
      </c>
      <c r="BE83" s="1" t="s">
        <v>921</v>
      </c>
      <c r="BF83" s="2" t="str">
        <f>HYPERLINK("http://dx.doi.org/10.1016/j.ins.2025.122688","http://dx.doi.org/10.1016/j.ins.2025.122688")</f>
        <v>http://dx.doi.org/10.1016/j.ins.2025.122688</v>
      </c>
      <c r="BG83" s="1" t="s">
        <v>74</v>
      </c>
      <c r="BH83" s="1" t="s">
        <v>738</v>
      </c>
      <c r="BI83" s="1" t="s">
        <v>74</v>
      </c>
      <c r="BJ83" s="1" t="s">
        <v>74</v>
      </c>
      <c r="BK83" s="1" t="s">
        <v>74</v>
      </c>
      <c r="BL83" s="1" t="s">
        <v>174</v>
      </c>
      <c r="BM83" s="1" t="s">
        <v>74</v>
      </c>
      <c r="BN83" s="1" t="s">
        <v>74</v>
      </c>
      <c r="BO83" s="1" t="s">
        <v>74</v>
      </c>
      <c r="BP83" s="1" t="s">
        <v>74</v>
      </c>
      <c r="BQ83" s="1" t="s">
        <v>74</v>
      </c>
      <c r="BR83" s="1" t="s">
        <v>74</v>
      </c>
      <c r="BS83" s="1" t="s">
        <v>922</v>
      </c>
      <c r="BT83" s="1" t="str">
        <f>HYPERLINK("https%3A%2F%2Fwww.webofscience.com%2Fwos%2Fwoscc%2Ffull-record%2FWOS:001578809700001","View Full Record in Web of Science")</f>
        <v>View Full Record in Web of Science</v>
      </c>
    </row>
    <row r="84" ht="12.75" customHeight="1">
      <c r="A84" s="1" t="s">
        <v>72</v>
      </c>
      <c r="B84" s="1" t="s">
        <v>923</v>
      </c>
      <c r="C84" s="1" t="s">
        <v>74</v>
      </c>
      <c r="D84" s="1" t="s">
        <v>74</v>
      </c>
      <c r="E84" s="1" t="s">
        <v>74</v>
      </c>
      <c r="F84" s="1" t="s">
        <v>924</v>
      </c>
      <c r="G84" s="1" t="s">
        <v>74</v>
      </c>
      <c r="H84" s="1" t="s">
        <v>74</v>
      </c>
      <c r="I84" s="1" t="s">
        <v>925</v>
      </c>
      <c r="J84" s="1" t="s">
        <v>239</v>
      </c>
      <c r="K84" s="1" t="s">
        <v>74</v>
      </c>
      <c r="L84" s="1" t="s">
        <v>74</v>
      </c>
      <c r="M84" s="1" t="s">
        <v>74</v>
      </c>
      <c r="N84" s="1" t="s">
        <v>78</v>
      </c>
      <c r="O84" s="1" t="s">
        <v>74</v>
      </c>
      <c r="P84" s="1" t="s">
        <v>74</v>
      </c>
      <c r="Q84" s="1" t="s">
        <v>74</v>
      </c>
      <c r="R84" s="1" t="s">
        <v>74</v>
      </c>
      <c r="S84" s="1" t="s">
        <v>74</v>
      </c>
      <c r="T84" s="1" t="s">
        <v>926</v>
      </c>
      <c r="U84" s="1" t="s">
        <v>74</v>
      </c>
      <c r="V84" s="1" t="s">
        <v>927</v>
      </c>
      <c r="W84" s="1" t="s">
        <v>74</v>
      </c>
      <c r="X84" s="1" t="s">
        <v>74</v>
      </c>
      <c r="Y84" s="1" t="s">
        <v>74</v>
      </c>
      <c r="Z84" s="1" t="s">
        <v>74</v>
      </c>
      <c r="AA84" s="1" t="s">
        <v>74</v>
      </c>
      <c r="AB84" s="1" t="s">
        <v>74</v>
      </c>
      <c r="AC84" s="1" t="s">
        <v>74</v>
      </c>
      <c r="AD84" s="1" t="s">
        <v>74</v>
      </c>
      <c r="AE84" s="1" t="s">
        <v>74</v>
      </c>
      <c r="AF84" s="1" t="s">
        <v>74</v>
      </c>
      <c r="AG84" s="1" t="s">
        <v>74</v>
      </c>
      <c r="AH84" s="1" t="s">
        <v>74</v>
      </c>
      <c r="AI84" s="1" t="s">
        <v>74</v>
      </c>
      <c r="AJ84" s="1" t="s">
        <v>74</v>
      </c>
      <c r="AK84" s="1" t="s">
        <v>74</v>
      </c>
      <c r="AL84" s="1" t="s">
        <v>74</v>
      </c>
      <c r="AM84" s="1" t="s">
        <v>74</v>
      </c>
      <c r="AN84" s="1" t="s">
        <v>74</v>
      </c>
      <c r="AO84" s="1" t="s">
        <v>242</v>
      </c>
      <c r="AP84" s="1" t="s">
        <v>74</v>
      </c>
      <c r="AQ84" s="1" t="s">
        <v>74</v>
      </c>
      <c r="AR84" s="1" t="s">
        <v>74</v>
      </c>
      <c r="AS84" s="1" t="s">
        <v>74</v>
      </c>
      <c r="AT84" s="1" t="s">
        <v>928</v>
      </c>
      <c r="AU84" s="1">
        <v>2025.0</v>
      </c>
      <c r="AV84" s="1">
        <v>14.0</v>
      </c>
      <c r="AW84" s="1">
        <v>11.0</v>
      </c>
      <c r="AX84" s="1" t="s">
        <v>74</v>
      </c>
      <c r="AY84" s="1" t="s">
        <v>74</v>
      </c>
      <c r="AZ84" s="1" t="s">
        <v>74</v>
      </c>
      <c r="BA84" s="1" t="s">
        <v>74</v>
      </c>
      <c r="BB84" s="1" t="s">
        <v>74</v>
      </c>
      <c r="BC84" s="1" t="s">
        <v>74</v>
      </c>
      <c r="BD84" s="1">
        <v>2145.0</v>
      </c>
      <c r="BE84" s="1" t="s">
        <v>929</v>
      </c>
      <c r="BF84" s="2" t="str">
        <f>HYPERLINK("http://dx.doi.org/10.3390/electronics14112145","http://dx.doi.org/10.3390/electronics14112145")</f>
        <v>http://dx.doi.org/10.3390/electronics14112145</v>
      </c>
      <c r="BG84" s="1" t="s">
        <v>74</v>
      </c>
      <c r="BH84" s="1" t="s">
        <v>74</v>
      </c>
      <c r="BI84" s="1" t="s">
        <v>74</v>
      </c>
      <c r="BJ84" s="1" t="s">
        <v>74</v>
      </c>
      <c r="BK84" s="1" t="s">
        <v>74</v>
      </c>
      <c r="BL84" s="1" t="s">
        <v>244</v>
      </c>
      <c r="BM84" s="1" t="s">
        <v>74</v>
      </c>
      <c r="BN84" s="1" t="s">
        <v>74</v>
      </c>
      <c r="BO84" s="1" t="s">
        <v>163</v>
      </c>
      <c r="BP84" s="1" t="s">
        <v>74</v>
      </c>
      <c r="BQ84" s="1" t="s">
        <v>74</v>
      </c>
      <c r="BR84" s="1" t="s">
        <v>74</v>
      </c>
      <c r="BS84" s="1" t="s">
        <v>930</v>
      </c>
      <c r="BT84" s="1" t="str">
        <f>HYPERLINK("https%3A%2F%2Fwww.webofscience.com%2Fwos%2Fwoscc%2Ffull-record%2FWOS:001505880200001","View Full Record in Web of Science")</f>
        <v>View Full Record in Web of Science</v>
      </c>
    </row>
    <row r="85" ht="12.75" customHeight="1">
      <c r="A85" s="1" t="s">
        <v>72</v>
      </c>
      <c r="B85" s="1" t="s">
        <v>931</v>
      </c>
      <c r="C85" s="1" t="s">
        <v>74</v>
      </c>
      <c r="D85" s="1" t="s">
        <v>74</v>
      </c>
      <c r="E85" s="1" t="s">
        <v>74</v>
      </c>
      <c r="F85" s="1" t="s">
        <v>932</v>
      </c>
      <c r="G85" s="1" t="s">
        <v>74</v>
      </c>
      <c r="H85" s="1" t="s">
        <v>74</v>
      </c>
      <c r="I85" s="1" t="s">
        <v>933</v>
      </c>
      <c r="J85" s="1" t="s">
        <v>119</v>
      </c>
      <c r="K85" s="1" t="s">
        <v>74</v>
      </c>
      <c r="L85" s="1" t="s">
        <v>74</v>
      </c>
      <c r="M85" s="1" t="s">
        <v>74</v>
      </c>
      <c r="N85" s="1" t="s">
        <v>78</v>
      </c>
      <c r="O85" s="1" t="s">
        <v>74</v>
      </c>
      <c r="P85" s="1" t="s">
        <v>74</v>
      </c>
      <c r="Q85" s="1" t="s">
        <v>74</v>
      </c>
      <c r="R85" s="1" t="s">
        <v>74</v>
      </c>
      <c r="S85" s="1" t="s">
        <v>74</v>
      </c>
      <c r="T85" s="1" t="s">
        <v>934</v>
      </c>
      <c r="U85" s="1" t="s">
        <v>74</v>
      </c>
      <c r="V85" s="1" t="s">
        <v>935</v>
      </c>
      <c r="W85" s="1" t="s">
        <v>74</v>
      </c>
      <c r="X85" s="1" t="s">
        <v>74</v>
      </c>
      <c r="Y85" s="1" t="s">
        <v>74</v>
      </c>
      <c r="Z85" s="1" t="s">
        <v>74</v>
      </c>
      <c r="AA85" s="1" t="s">
        <v>74</v>
      </c>
      <c r="AB85" s="1" t="s">
        <v>74</v>
      </c>
      <c r="AC85" s="1" t="s">
        <v>74</v>
      </c>
      <c r="AD85" s="1" t="s">
        <v>74</v>
      </c>
      <c r="AE85" s="1" t="s">
        <v>74</v>
      </c>
      <c r="AF85" s="1" t="s">
        <v>74</v>
      </c>
      <c r="AG85" s="1" t="s">
        <v>74</v>
      </c>
      <c r="AH85" s="1" t="s">
        <v>74</v>
      </c>
      <c r="AI85" s="1" t="s">
        <v>74</v>
      </c>
      <c r="AJ85" s="1" t="s">
        <v>74</v>
      </c>
      <c r="AK85" s="1" t="s">
        <v>74</v>
      </c>
      <c r="AL85" s="1" t="s">
        <v>74</v>
      </c>
      <c r="AM85" s="1" t="s">
        <v>74</v>
      </c>
      <c r="AN85" s="1" t="s">
        <v>74</v>
      </c>
      <c r="AO85" s="1" t="s">
        <v>122</v>
      </c>
      <c r="AP85" s="1" t="s">
        <v>123</v>
      </c>
      <c r="AQ85" s="1" t="s">
        <v>74</v>
      </c>
      <c r="AR85" s="1" t="s">
        <v>74</v>
      </c>
      <c r="AS85" s="1" t="s">
        <v>74</v>
      </c>
      <c r="AT85" s="1" t="s">
        <v>139</v>
      </c>
      <c r="AU85" s="1">
        <v>2025.0</v>
      </c>
      <c r="AV85" s="1">
        <v>36.0</v>
      </c>
      <c r="AW85" s="1">
        <v>2.0</v>
      </c>
      <c r="AX85" s="1" t="s">
        <v>74</v>
      </c>
      <c r="AY85" s="1" t="s">
        <v>74</v>
      </c>
      <c r="AZ85" s="1" t="s">
        <v>74</v>
      </c>
      <c r="BA85" s="1" t="s">
        <v>74</v>
      </c>
      <c r="BB85" s="1">
        <v>1141.0</v>
      </c>
      <c r="BC85" s="1">
        <v>1157.0</v>
      </c>
      <c r="BD85" s="1" t="s">
        <v>74</v>
      </c>
      <c r="BE85" s="1" t="s">
        <v>936</v>
      </c>
      <c r="BF85" s="2" t="str">
        <f>HYPERLINK("http://dx.doi.org/10.1007/s10845-023-02294-y","http://dx.doi.org/10.1007/s10845-023-02294-y")</f>
        <v>http://dx.doi.org/10.1007/s10845-023-02294-y</v>
      </c>
      <c r="BG85" s="1" t="s">
        <v>74</v>
      </c>
      <c r="BH85" s="1" t="s">
        <v>937</v>
      </c>
      <c r="BI85" s="1" t="s">
        <v>74</v>
      </c>
      <c r="BJ85" s="1" t="s">
        <v>74</v>
      </c>
      <c r="BK85" s="1" t="s">
        <v>74</v>
      </c>
      <c r="BL85" s="1" t="s">
        <v>98</v>
      </c>
      <c r="BM85" s="1" t="s">
        <v>74</v>
      </c>
      <c r="BN85" s="1" t="s">
        <v>74</v>
      </c>
      <c r="BO85" s="1" t="s">
        <v>74</v>
      </c>
      <c r="BP85" s="1" t="s">
        <v>74</v>
      </c>
      <c r="BQ85" s="1" t="s">
        <v>74</v>
      </c>
      <c r="BR85" s="1" t="s">
        <v>74</v>
      </c>
      <c r="BS85" s="1" t="s">
        <v>938</v>
      </c>
      <c r="BT85" s="1" t="str">
        <f>HYPERLINK("https%3A%2F%2Fwww.webofscience.com%2Fwos%2Fwoscc%2Ffull-record%2FWOS:001138238100001","View Full Record in Web of Science")</f>
        <v>View Full Record in Web of Science</v>
      </c>
    </row>
    <row r="86" ht="12.75" customHeight="1">
      <c r="A86" s="1" t="s">
        <v>72</v>
      </c>
      <c r="B86" s="1" t="s">
        <v>939</v>
      </c>
      <c r="C86" s="1" t="s">
        <v>74</v>
      </c>
      <c r="D86" s="1" t="s">
        <v>74</v>
      </c>
      <c r="E86" s="1" t="s">
        <v>74</v>
      </c>
      <c r="F86" s="1" t="s">
        <v>940</v>
      </c>
      <c r="G86" s="1" t="s">
        <v>74</v>
      </c>
      <c r="H86" s="1" t="s">
        <v>74</v>
      </c>
      <c r="I86" s="1" t="s">
        <v>941</v>
      </c>
      <c r="J86" s="1" t="s">
        <v>942</v>
      </c>
      <c r="K86" s="1" t="s">
        <v>74</v>
      </c>
      <c r="L86" s="1" t="s">
        <v>74</v>
      </c>
      <c r="M86" s="1" t="s">
        <v>74</v>
      </c>
      <c r="N86" s="1" t="s">
        <v>78</v>
      </c>
      <c r="O86" s="1" t="s">
        <v>74</v>
      </c>
      <c r="P86" s="1" t="s">
        <v>74</v>
      </c>
      <c r="Q86" s="1" t="s">
        <v>74</v>
      </c>
      <c r="R86" s="1" t="s">
        <v>74</v>
      </c>
      <c r="S86" s="1" t="s">
        <v>74</v>
      </c>
      <c r="T86" s="1" t="s">
        <v>943</v>
      </c>
      <c r="U86" s="1" t="s">
        <v>74</v>
      </c>
      <c r="V86" s="1" t="s">
        <v>944</v>
      </c>
      <c r="W86" s="1" t="s">
        <v>74</v>
      </c>
      <c r="X86" s="1" t="s">
        <v>74</v>
      </c>
      <c r="Y86" s="1" t="s">
        <v>74</v>
      </c>
      <c r="Z86" s="1" t="s">
        <v>74</v>
      </c>
      <c r="AA86" s="1" t="s">
        <v>74</v>
      </c>
      <c r="AB86" s="1" t="s">
        <v>74</v>
      </c>
      <c r="AC86" s="1" t="s">
        <v>74</v>
      </c>
      <c r="AD86" s="1" t="s">
        <v>74</v>
      </c>
      <c r="AE86" s="1" t="s">
        <v>74</v>
      </c>
      <c r="AF86" s="1" t="s">
        <v>74</v>
      </c>
      <c r="AG86" s="1" t="s">
        <v>74</v>
      </c>
      <c r="AH86" s="1" t="s">
        <v>74</v>
      </c>
      <c r="AI86" s="1" t="s">
        <v>74</v>
      </c>
      <c r="AJ86" s="1" t="s">
        <v>74</v>
      </c>
      <c r="AK86" s="1" t="s">
        <v>74</v>
      </c>
      <c r="AL86" s="1" t="s">
        <v>74</v>
      </c>
      <c r="AM86" s="1" t="s">
        <v>74</v>
      </c>
      <c r="AN86" s="1" t="s">
        <v>74</v>
      </c>
      <c r="AO86" s="1" t="s">
        <v>945</v>
      </c>
      <c r="AP86" s="1" t="s">
        <v>946</v>
      </c>
      <c r="AQ86" s="1" t="s">
        <v>74</v>
      </c>
      <c r="AR86" s="1" t="s">
        <v>74</v>
      </c>
      <c r="AS86" s="1" t="s">
        <v>74</v>
      </c>
      <c r="AT86" s="1" t="s">
        <v>357</v>
      </c>
      <c r="AU86" s="1">
        <v>2025.0</v>
      </c>
      <c r="AV86" s="1">
        <v>30.0</v>
      </c>
      <c r="AW86" s="1">
        <v>6.0</v>
      </c>
      <c r="AX86" s="1" t="s">
        <v>74</v>
      </c>
      <c r="AY86" s="1" t="s">
        <v>74</v>
      </c>
      <c r="AZ86" s="1" t="s">
        <v>74</v>
      </c>
      <c r="BA86" s="1" t="s">
        <v>74</v>
      </c>
      <c r="BB86" s="1" t="s">
        <v>74</v>
      </c>
      <c r="BC86" s="1" t="s">
        <v>74</v>
      </c>
      <c r="BD86" s="1">
        <v>102.0</v>
      </c>
      <c r="BE86" s="1" t="s">
        <v>947</v>
      </c>
      <c r="BF86" s="2" t="str">
        <f>HYPERLINK("http://dx.doi.org/10.1145/3735638","http://dx.doi.org/10.1145/3735638")</f>
        <v>http://dx.doi.org/10.1145/3735638</v>
      </c>
      <c r="BG86" s="1" t="s">
        <v>74</v>
      </c>
      <c r="BH86" s="1" t="s">
        <v>74</v>
      </c>
      <c r="BI86" s="1" t="s">
        <v>74</v>
      </c>
      <c r="BJ86" s="1" t="s">
        <v>74</v>
      </c>
      <c r="BK86" s="1" t="s">
        <v>74</v>
      </c>
      <c r="BL86" s="1" t="s">
        <v>174</v>
      </c>
      <c r="BM86" s="1" t="s">
        <v>74</v>
      </c>
      <c r="BN86" s="1" t="s">
        <v>74</v>
      </c>
      <c r="BO86" s="1" t="s">
        <v>114</v>
      </c>
      <c r="BP86" s="1" t="s">
        <v>74</v>
      </c>
      <c r="BQ86" s="1" t="s">
        <v>74</v>
      </c>
      <c r="BR86" s="1" t="s">
        <v>74</v>
      </c>
      <c r="BS86" s="1" t="s">
        <v>948</v>
      </c>
      <c r="BT86" s="1" t="str">
        <f>HYPERLINK("https%3A%2F%2Fwww.webofscience.com%2Fwos%2Fwoscc%2Ffull-record%2FWOS:001639107100014","View Full Record in Web of Science")</f>
        <v>View Full Record in Web of Science</v>
      </c>
    </row>
    <row r="87" ht="12.75" customHeight="1">
      <c r="A87" s="1" t="s">
        <v>72</v>
      </c>
      <c r="B87" s="1" t="s">
        <v>949</v>
      </c>
      <c r="C87" s="1" t="s">
        <v>74</v>
      </c>
      <c r="D87" s="1" t="s">
        <v>74</v>
      </c>
      <c r="E87" s="1" t="s">
        <v>74</v>
      </c>
      <c r="F87" s="1" t="s">
        <v>950</v>
      </c>
      <c r="G87" s="1" t="s">
        <v>74</v>
      </c>
      <c r="H87" s="1" t="s">
        <v>74</v>
      </c>
      <c r="I87" s="1" t="s">
        <v>951</v>
      </c>
      <c r="J87" s="1" t="s">
        <v>952</v>
      </c>
      <c r="K87" s="1" t="s">
        <v>74</v>
      </c>
      <c r="L87" s="1" t="s">
        <v>74</v>
      </c>
      <c r="M87" s="1" t="s">
        <v>74</v>
      </c>
      <c r="N87" s="1" t="s">
        <v>953</v>
      </c>
      <c r="O87" s="1" t="s">
        <v>74</v>
      </c>
      <c r="P87" s="1" t="s">
        <v>74</v>
      </c>
      <c r="Q87" s="1" t="s">
        <v>74</v>
      </c>
      <c r="R87" s="1" t="s">
        <v>74</v>
      </c>
      <c r="S87" s="1" t="s">
        <v>74</v>
      </c>
      <c r="T87" s="1" t="s">
        <v>954</v>
      </c>
      <c r="U87" s="1" t="s">
        <v>955</v>
      </c>
      <c r="V87" s="1" t="s">
        <v>956</v>
      </c>
      <c r="W87" s="1" t="s">
        <v>74</v>
      </c>
      <c r="X87" s="1" t="s">
        <v>74</v>
      </c>
      <c r="Y87" s="1" t="s">
        <v>74</v>
      </c>
      <c r="Z87" s="1" t="s">
        <v>74</v>
      </c>
      <c r="AA87" s="1" t="s">
        <v>74</v>
      </c>
      <c r="AB87" s="1" t="s">
        <v>74</v>
      </c>
      <c r="AC87" s="1" t="s">
        <v>74</v>
      </c>
      <c r="AD87" s="1" t="s">
        <v>74</v>
      </c>
      <c r="AE87" s="1" t="s">
        <v>74</v>
      </c>
      <c r="AF87" s="1" t="s">
        <v>74</v>
      </c>
      <c r="AG87" s="1" t="s">
        <v>74</v>
      </c>
      <c r="AH87" s="1" t="s">
        <v>74</v>
      </c>
      <c r="AI87" s="1" t="s">
        <v>74</v>
      </c>
      <c r="AJ87" s="1" t="s">
        <v>74</v>
      </c>
      <c r="AK87" s="1" t="s">
        <v>74</v>
      </c>
      <c r="AL87" s="1" t="s">
        <v>74</v>
      </c>
      <c r="AM87" s="1" t="s">
        <v>74</v>
      </c>
      <c r="AN87" s="1" t="s">
        <v>74</v>
      </c>
      <c r="AO87" s="1" t="s">
        <v>957</v>
      </c>
      <c r="AP87" s="1" t="s">
        <v>958</v>
      </c>
      <c r="AQ87" s="1" t="s">
        <v>74</v>
      </c>
      <c r="AR87" s="1" t="s">
        <v>74</v>
      </c>
      <c r="AS87" s="1" t="s">
        <v>74</v>
      </c>
      <c r="AT87" s="1" t="s">
        <v>959</v>
      </c>
      <c r="AU87" s="1">
        <v>2025.0</v>
      </c>
      <c r="AV87" s="1" t="s">
        <v>74</v>
      </c>
      <c r="AW87" s="1" t="s">
        <v>74</v>
      </c>
      <c r="AX87" s="1" t="s">
        <v>74</v>
      </c>
      <c r="AY87" s="1" t="s">
        <v>74</v>
      </c>
      <c r="AZ87" s="1" t="s">
        <v>74</v>
      </c>
      <c r="BA87" s="1" t="s">
        <v>74</v>
      </c>
      <c r="BB87" s="1" t="s">
        <v>74</v>
      </c>
      <c r="BC87" s="1" t="s">
        <v>74</v>
      </c>
      <c r="BD87" s="1" t="s">
        <v>74</v>
      </c>
      <c r="BE87" s="1" t="s">
        <v>960</v>
      </c>
      <c r="BF87" s="2" t="str">
        <f>HYPERLINK("http://dx.doi.org/10.1177/0739456X251377693","http://dx.doi.org/10.1177/0739456X251377693")</f>
        <v>http://dx.doi.org/10.1177/0739456X251377693</v>
      </c>
      <c r="BG87" s="1" t="s">
        <v>74</v>
      </c>
      <c r="BH87" s="1" t="s">
        <v>255</v>
      </c>
      <c r="BI87" s="1" t="s">
        <v>74</v>
      </c>
      <c r="BJ87" s="1" t="s">
        <v>74</v>
      </c>
      <c r="BK87" s="1" t="s">
        <v>74</v>
      </c>
      <c r="BL87" s="1" t="s">
        <v>961</v>
      </c>
      <c r="BM87" s="1" t="s">
        <v>74</v>
      </c>
      <c r="BN87" s="1" t="s">
        <v>74</v>
      </c>
      <c r="BO87" s="1" t="s">
        <v>74</v>
      </c>
      <c r="BP87" s="1" t="s">
        <v>74</v>
      </c>
      <c r="BQ87" s="1" t="s">
        <v>74</v>
      </c>
      <c r="BR87" s="1" t="s">
        <v>74</v>
      </c>
      <c r="BS87" s="1" t="s">
        <v>962</v>
      </c>
      <c r="BT87" s="1" t="str">
        <f>HYPERLINK("https%3A%2F%2Fwww.webofscience.com%2Fwos%2Fwoscc%2Ffull-record%2FWOS:001610896300001","View Full Record in Web of Science")</f>
        <v>View Full Record in Web of Science</v>
      </c>
    </row>
    <row r="88" ht="12.75" customHeight="1">
      <c r="A88" s="1" t="s">
        <v>72</v>
      </c>
      <c r="B88" s="1" t="s">
        <v>963</v>
      </c>
      <c r="C88" s="1" t="s">
        <v>74</v>
      </c>
      <c r="D88" s="1" t="s">
        <v>74</v>
      </c>
      <c r="E88" s="1" t="s">
        <v>74</v>
      </c>
      <c r="F88" s="1" t="s">
        <v>964</v>
      </c>
      <c r="G88" s="1" t="s">
        <v>74</v>
      </c>
      <c r="H88" s="1" t="s">
        <v>74</v>
      </c>
      <c r="I88" s="1" t="s">
        <v>965</v>
      </c>
      <c r="J88" s="1" t="s">
        <v>966</v>
      </c>
      <c r="K88" s="1" t="s">
        <v>74</v>
      </c>
      <c r="L88" s="1" t="s">
        <v>74</v>
      </c>
      <c r="M88" s="1" t="s">
        <v>74</v>
      </c>
      <c r="N88" s="1" t="s">
        <v>78</v>
      </c>
      <c r="O88" s="1" t="s">
        <v>74</v>
      </c>
      <c r="P88" s="1" t="s">
        <v>74</v>
      </c>
      <c r="Q88" s="1" t="s">
        <v>74</v>
      </c>
      <c r="R88" s="1" t="s">
        <v>74</v>
      </c>
      <c r="S88" s="1" t="s">
        <v>74</v>
      </c>
      <c r="T88" s="1" t="s">
        <v>967</v>
      </c>
      <c r="U88" s="1" t="s">
        <v>74</v>
      </c>
      <c r="V88" s="1" t="s">
        <v>968</v>
      </c>
      <c r="W88" s="1" t="s">
        <v>74</v>
      </c>
      <c r="X88" s="1" t="s">
        <v>74</v>
      </c>
      <c r="Y88" s="1" t="s">
        <v>74</v>
      </c>
      <c r="Z88" s="1" t="s">
        <v>74</v>
      </c>
      <c r="AA88" s="1" t="s">
        <v>74</v>
      </c>
      <c r="AB88" s="1" t="s">
        <v>74</v>
      </c>
      <c r="AC88" s="1" t="s">
        <v>74</v>
      </c>
      <c r="AD88" s="1" t="s">
        <v>74</v>
      </c>
      <c r="AE88" s="1" t="s">
        <v>74</v>
      </c>
      <c r="AF88" s="1" t="s">
        <v>74</v>
      </c>
      <c r="AG88" s="1" t="s">
        <v>74</v>
      </c>
      <c r="AH88" s="1" t="s">
        <v>74</v>
      </c>
      <c r="AI88" s="1" t="s">
        <v>74</v>
      </c>
      <c r="AJ88" s="1" t="s">
        <v>74</v>
      </c>
      <c r="AK88" s="1" t="s">
        <v>74</v>
      </c>
      <c r="AL88" s="1" t="s">
        <v>74</v>
      </c>
      <c r="AM88" s="1" t="s">
        <v>74</v>
      </c>
      <c r="AN88" s="1" t="s">
        <v>74</v>
      </c>
      <c r="AO88" s="1" t="s">
        <v>969</v>
      </c>
      <c r="AP88" s="1" t="s">
        <v>970</v>
      </c>
      <c r="AQ88" s="1" t="s">
        <v>74</v>
      </c>
      <c r="AR88" s="1" t="s">
        <v>74</v>
      </c>
      <c r="AS88" s="1" t="s">
        <v>74</v>
      </c>
      <c r="AT88" s="1" t="s">
        <v>971</v>
      </c>
      <c r="AU88" s="1">
        <v>2025.0</v>
      </c>
      <c r="AV88" s="1">
        <v>326.0</v>
      </c>
      <c r="AW88" s="1" t="s">
        <v>74</v>
      </c>
      <c r="AX88" s="1" t="s">
        <v>74</v>
      </c>
      <c r="AY88" s="1" t="s">
        <v>74</v>
      </c>
      <c r="AZ88" s="1" t="s">
        <v>74</v>
      </c>
      <c r="BA88" s="1" t="s">
        <v>74</v>
      </c>
      <c r="BB88" s="1" t="s">
        <v>74</v>
      </c>
      <c r="BC88" s="1" t="s">
        <v>74</v>
      </c>
      <c r="BD88" s="1">
        <v>114065.0</v>
      </c>
      <c r="BE88" s="1" t="s">
        <v>972</v>
      </c>
      <c r="BF88" s="2" t="str">
        <f>HYPERLINK("http://dx.doi.org/10.1016/j.knosys.2025.114065","http://dx.doi.org/10.1016/j.knosys.2025.114065")</f>
        <v>http://dx.doi.org/10.1016/j.knosys.2025.114065</v>
      </c>
      <c r="BG88" s="1" t="s">
        <v>74</v>
      </c>
      <c r="BH88" s="1" t="s">
        <v>973</v>
      </c>
      <c r="BI88" s="1" t="s">
        <v>74</v>
      </c>
      <c r="BJ88" s="1" t="s">
        <v>74</v>
      </c>
      <c r="BK88" s="1" t="s">
        <v>74</v>
      </c>
      <c r="BL88" s="1" t="s">
        <v>174</v>
      </c>
      <c r="BM88" s="1" t="s">
        <v>74</v>
      </c>
      <c r="BN88" s="1" t="s">
        <v>74</v>
      </c>
      <c r="BO88" s="1" t="s">
        <v>74</v>
      </c>
      <c r="BP88" s="1" t="s">
        <v>74</v>
      </c>
      <c r="BQ88" s="1" t="s">
        <v>74</v>
      </c>
      <c r="BR88" s="1" t="s">
        <v>74</v>
      </c>
      <c r="BS88" s="1" t="s">
        <v>974</v>
      </c>
      <c r="BT88" s="1" t="str">
        <f>HYPERLINK("https%3A%2F%2Fwww.webofscience.com%2Fwos%2Fwoscc%2Ffull-record%2FWOS:001533372600004","View Full Record in Web of Science")</f>
        <v>View Full Record in Web of Science</v>
      </c>
    </row>
    <row r="89" ht="12.75" customHeight="1">
      <c r="A89" s="1" t="s">
        <v>72</v>
      </c>
      <c r="B89" s="1" t="s">
        <v>975</v>
      </c>
      <c r="C89" s="1" t="s">
        <v>74</v>
      </c>
      <c r="D89" s="1" t="s">
        <v>74</v>
      </c>
      <c r="E89" s="1" t="s">
        <v>74</v>
      </c>
      <c r="F89" s="1" t="s">
        <v>976</v>
      </c>
      <c r="G89" s="1" t="s">
        <v>74</v>
      </c>
      <c r="H89" s="1" t="s">
        <v>74</v>
      </c>
      <c r="I89" s="1" t="s">
        <v>977</v>
      </c>
      <c r="J89" s="1" t="s">
        <v>664</v>
      </c>
      <c r="K89" s="1" t="s">
        <v>74</v>
      </c>
      <c r="L89" s="1" t="s">
        <v>74</v>
      </c>
      <c r="M89" s="1" t="s">
        <v>74</v>
      </c>
      <c r="N89" s="1" t="s">
        <v>78</v>
      </c>
      <c r="O89" s="1" t="s">
        <v>74</v>
      </c>
      <c r="P89" s="1" t="s">
        <v>74</v>
      </c>
      <c r="Q89" s="1" t="s">
        <v>74</v>
      </c>
      <c r="R89" s="1" t="s">
        <v>74</v>
      </c>
      <c r="S89" s="1" t="s">
        <v>74</v>
      </c>
      <c r="T89" s="1" t="s">
        <v>978</v>
      </c>
      <c r="U89" s="1" t="s">
        <v>74</v>
      </c>
      <c r="V89" s="1" t="s">
        <v>979</v>
      </c>
      <c r="W89" s="1" t="s">
        <v>74</v>
      </c>
      <c r="X89" s="1" t="s">
        <v>74</v>
      </c>
      <c r="Y89" s="1" t="s">
        <v>74</v>
      </c>
      <c r="Z89" s="1" t="s">
        <v>74</v>
      </c>
      <c r="AA89" s="1" t="s">
        <v>74</v>
      </c>
      <c r="AB89" s="1" t="s">
        <v>74</v>
      </c>
      <c r="AC89" s="1" t="s">
        <v>74</v>
      </c>
      <c r="AD89" s="1" t="s">
        <v>74</v>
      </c>
      <c r="AE89" s="1" t="s">
        <v>74</v>
      </c>
      <c r="AF89" s="1" t="s">
        <v>74</v>
      </c>
      <c r="AG89" s="1" t="s">
        <v>74</v>
      </c>
      <c r="AH89" s="1" t="s">
        <v>74</v>
      </c>
      <c r="AI89" s="1" t="s">
        <v>74</v>
      </c>
      <c r="AJ89" s="1" t="s">
        <v>74</v>
      </c>
      <c r="AK89" s="1" t="s">
        <v>74</v>
      </c>
      <c r="AL89" s="1" t="s">
        <v>74</v>
      </c>
      <c r="AM89" s="1" t="s">
        <v>74</v>
      </c>
      <c r="AN89" s="1" t="s">
        <v>74</v>
      </c>
      <c r="AO89" s="1" t="s">
        <v>667</v>
      </c>
      <c r="AP89" s="1" t="s">
        <v>668</v>
      </c>
      <c r="AQ89" s="1" t="s">
        <v>74</v>
      </c>
      <c r="AR89" s="1" t="s">
        <v>74</v>
      </c>
      <c r="AS89" s="1" t="s">
        <v>74</v>
      </c>
      <c r="AT89" s="1" t="s">
        <v>172</v>
      </c>
      <c r="AU89" s="1">
        <v>2025.0</v>
      </c>
      <c r="AV89" s="1">
        <v>40.0</v>
      </c>
      <c r="AW89" s="1">
        <v>6.0</v>
      </c>
      <c r="AX89" s="1" t="s">
        <v>74</v>
      </c>
      <c r="AY89" s="1" t="s">
        <v>74</v>
      </c>
      <c r="AZ89" s="1" t="s">
        <v>74</v>
      </c>
      <c r="BA89" s="1" t="s">
        <v>74</v>
      </c>
      <c r="BB89" s="1">
        <v>73.0</v>
      </c>
      <c r="BC89" s="1">
        <v>79.0</v>
      </c>
      <c r="BD89" s="1" t="s">
        <v>74</v>
      </c>
      <c r="BE89" s="1" t="s">
        <v>980</v>
      </c>
      <c r="BF89" s="2" t="str">
        <f>HYPERLINK("http://dx.doi.org/10.1109/MIS.2025.3621938","http://dx.doi.org/10.1109/MIS.2025.3621938")</f>
        <v>http://dx.doi.org/10.1109/MIS.2025.3621938</v>
      </c>
      <c r="BG89" s="1" t="s">
        <v>74</v>
      </c>
      <c r="BH89" s="1" t="s">
        <v>74</v>
      </c>
      <c r="BI89" s="1" t="s">
        <v>74</v>
      </c>
      <c r="BJ89" s="1" t="s">
        <v>74</v>
      </c>
      <c r="BK89" s="1" t="s">
        <v>74</v>
      </c>
      <c r="BL89" s="1" t="s">
        <v>98</v>
      </c>
      <c r="BM89" s="1" t="s">
        <v>74</v>
      </c>
      <c r="BN89" s="1" t="s">
        <v>74</v>
      </c>
      <c r="BO89" s="1" t="s">
        <v>74</v>
      </c>
      <c r="BP89" s="1" t="s">
        <v>74</v>
      </c>
      <c r="BQ89" s="1" t="s">
        <v>74</v>
      </c>
      <c r="BR89" s="1" t="s">
        <v>74</v>
      </c>
      <c r="BS89" s="1" t="s">
        <v>981</v>
      </c>
      <c r="BT89" s="1" t="str">
        <f>HYPERLINK("https%3A%2F%2Fwww.webofscience.com%2Fwos%2Fwoscc%2Ffull-record%2FWOS:001632419000010","View Full Record in Web of Science")</f>
        <v>View Full Record in Web of Science</v>
      </c>
    </row>
    <row r="90" ht="12.75" customHeight="1">
      <c r="A90" s="1" t="s">
        <v>72</v>
      </c>
      <c r="B90" s="1" t="s">
        <v>982</v>
      </c>
      <c r="C90" s="1" t="s">
        <v>74</v>
      </c>
      <c r="D90" s="1" t="s">
        <v>74</v>
      </c>
      <c r="E90" s="1" t="s">
        <v>74</v>
      </c>
      <c r="F90" s="1" t="s">
        <v>983</v>
      </c>
      <c r="G90" s="1" t="s">
        <v>74</v>
      </c>
      <c r="H90" s="1" t="s">
        <v>74</v>
      </c>
      <c r="I90" s="1" t="s">
        <v>984</v>
      </c>
      <c r="J90" s="1" t="s">
        <v>985</v>
      </c>
      <c r="K90" s="1" t="s">
        <v>74</v>
      </c>
      <c r="L90" s="1" t="s">
        <v>74</v>
      </c>
      <c r="M90" s="1" t="s">
        <v>74</v>
      </c>
      <c r="N90" s="1" t="s">
        <v>78</v>
      </c>
      <c r="O90" s="1" t="s">
        <v>74</v>
      </c>
      <c r="P90" s="1" t="s">
        <v>74</v>
      </c>
      <c r="Q90" s="1" t="s">
        <v>74</v>
      </c>
      <c r="R90" s="1" t="s">
        <v>74</v>
      </c>
      <c r="S90" s="1" t="s">
        <v>74</v>
      </c>
      <c r="T90" s="1" t="s">
        <v>986</v>
      </c>
      <c r="U90" s="1" t="s">
        <v>74</v>
      </c>
      <c r="V90" s="1" t="s">
        <v>987</v>
      </c>
      <c r="W90" s="1" t="s">
        <v>74</v>
      </c>
      <c r="X90" s="1" t="s">
        <v>74</v>
      </c>
      <c r="Y90" s="1" t="s">
        <v>74</v>
      </c>
      <c r="Z90" s="1" t="s">
        <v>74</v>
      </c>
      <c r="AA90" s="1" t="s">
        <v>74</v>
      </c>
      <c r="AB90" s="1" t="s">
        <v>74</v>
      </c>
      <c r="AC90" s="1" t="s">
        <v>74</v>
      </c>
      <c r="AD90" s="1" t="s">
        <v>74</v>
      </c>
      <c r="AE90" s="1" t="s">
        <v>74</v>
      </c>
      <c r="AF90" s="1" t="s">
        <v>74</v>
      </c>
      <c r="AG90" s="1" t="s">
        <v>74</v>
      </c>
      <c r="AH90" s="1" t="s">
        <v>74</v>
      </c>
      <c r="AI90" s="1" t="s">
        <v>74</v>
      </c>
      <c r="AJ90" s="1" t="s">
        <v>74</v>
      </c>
      <c r="AK90" s="1" t="s">
        <v>74</v>
      </c>
      <c r="AL90" s="1" t="s">
        <v>74</v>
      </c>
      <c r="AM90" s="1" t="s">
        <v>74</v>
      </c>
      <c r="AN90" s="1" t="s">
        <v>74</v>
      </c>
      <c r="AO90" s="1" t="s">
        <v>988</v>
      </c>
      <c r="AP90" s="1" t="s">
        <v>989</v>
      </c>
      <c r="AQ90" s="1" t="s">
        <v>74</v>
      </c>
      <c r="AR90" s="1" t="s">
        <v>74</v>
      </c>
      <c r="AS90" s="1" t="s">
        <v>74</v>
      </c>
      <c r="AT90" s="1" t="s">
        <v>74</v>
      </c>
      <c r="AU90" s="1">
        <v>2025.0</v>
      </c>
      <c r="AV90" s="1">
        <v>16.0</v>
      </c>
      <c r="AW90" s="1">
        <v>11.0</v>
      </c>
      <c r="AX90" s="1" t="s">
        <v>74</v>
      </c>
      <c r="AY90" s="1" t="s">
        <v>74</v>
      </c>
      <c r="AZ90" s="1" t="s">
        <v>74</v>
      </c>
      <c r="BA90" s="1" t="s">
        <v>74</v>
      </c>
      <c r="BB90" s="1">
        <v>872.0</v>
      </c>
      <c r="BC90" s="1">
        <v>881.0</v>
      </c>
      <c r="BD90" s="1" t="s">
        <v>74</v>
      </c>
      <c r="BE90" s="1" t="s">
        <v>74</v>
      </c>
      <c r="BF90" s="1" t="s">
        <v>74</v>
      </c>
      <c r="BG90" s="1" t="s">
        <v>74</v>
      </c>
      <c r="BH90" s="1" t="s">
        <v>74</v>
      </c>
      <c r="BI90" s="1" t="s">
        <v>74</v>
      </c>
      <c r="BJ90" s="1" t="s">
        <v>74</v>
      </c>
      <c r="BK90" s="1" t="s">
        <v>74</v>
      </c>
      <c r="BL90" s="1" t="s">
        <v>174</v>
      </c>
      <c r="BM90" s="1" t="s">
        <v>74</v>
      </c>
      <c r="BN90" s="1" t="s">
        <v>74</v>
      </c>
      <c r="BO90" s="1" t="s">
        <v>74</v>
      </c>
      <c r="BP90" s="1" t="s">
        <v>74</v>
      </c>
      <c r="BQ90" s="1" t="s">
        <v>74</v>
      </c>
      <c r="BR90" s="1" t="s">
        <v>74</v>
      </c>
      <c r="BS90" s="1" t="s">
        <v>990</v>
      </c>
      <c r="BT90" s="1" t="str">
        <f>HYPERLINK("https%3A%2F%2Fwww.webofscience.com%2Fwos%2Fwoscc%2Ffull-record%2FWOS:001638693500001","View Full Record in Web of Science")</f>
        <v>View Full Record in Web of Science</v>
      </c>
    </row>
    <row r="91" ht="12.75" customHeight="1">
      <c r="A91" s="1" t="s">
        <v>72</v>
      </c>
      <c r="B91" s="1" t="s">
        <v>991</v>
      </c>
      <c r="C91" s="1" t="s">
        <v>74</v>
      </c>
      <c r="D91" s="1" t="s">
        <v>74</v>
      </c>
      <c r="E91" s="1" t="s">
        <v>74</v>
      </c>
      <c r="F91" s="1" t="s">
        <v>992</v>
      </c>
      <c r="G91" s="1" t="s">
        <v>74</v>
      </c>
      <c r="H91" s="1" t="s">
        <v>74</v>
      </c>
      <c r="I91" s="1" t="s">
        <v>993</v>
      </c>
      <c r="J91" s="1" t="s">
        <v>994</v>
      </c>
      <c r="K91" s="1" t="s">
        <v>74</v>
      </c>
      <c r="L91" s="1" t="s">
        <v>74</v>
      </c>
      <c r="M91" s="1" t="s">
        <v>74</v>
      </c>
      <c r="N91" s="1" t="s">
        <v>78</v>
      </c>
      <c r="O91" s="1" t="s">
        <v>74</v>
      </c>
      <c r="P91" s="1" t="s">
        <v>74</v>
      </c>
      <c r="Q91" s="1" t="s">
        <v>74</v>
      </c>
      <c r="R91" s="1" t="s">
        <v>74</v>
      </c>
      <c r="S91" s="1" t="s">
        <v>74</v>
      </c>
      <c r="T91" s="1" t="s">
        <v>995</v>
      </c>
      <c r="U91" s="1" t="s">
        <v>996</v>
      </c>
      <c r="V91" s="1" t="s">
        <v>997</v>
      </c>
      <c r="W91" s="1" t="s">
        <v>74</v>
      </c>
      <c r="X91" s="1" t="s">
        <v>74</v>
      </c>
      <c r="Y91" s="1" t="s">
        <v>74</v>
      </c>
      <c r="Z91" s="1" t="s">
        <v>74</v>
      </c>
      <c r="AA91" s="1" t="s">
        <v>74</v>
      </c>
      <c r="AB91" s="1" t="s">
        <v>74</v>
      </c>
      <c r="AC91" s="1" t="s">
        <v>74</v>
      </c>
      <c r="AD91" s="1" t="s">
        <v>74</v>
      </c>
      <c r="AE91" s="1" t="s">
        <v>74</v>
      </c>
      <c r="AF91" s="1" t="s">
        <v>74</v>
      </c>
      <c r="AG91" s="1" t="s">
        <v>74</v>
      </c>
      <c r="AH91" s="1" t="s">
        <v>74</v>
      </c>
      <c r="AI91" s="1" t="s">
        <v>74</v>
      </c>
      <c r="AJ91" s="1" t="s">
        <v>74</v>
      </c>
      <c r="AK91" s="1" t="s">
        <v>74</v>
      </c>
      <c r="AL91" s="1" t="s">
        <v>74</v>
      </c>
      <c r="AM91" s="1" t="s">
        <v>74</v>
      </c>
      <c r="AN91" s="1" t="s">
        <v>74</v>
      </c>
      <c r="AO91" s="1" t="s">
        <v>998</v>
      </c>
      <c r="AP91" s="1" t="s">
        <v>999</v>
      </c>
      <c r="AQ91" s="1" t="s">
        <v>74</v>
      </c>
      <c r="AR91" s="1" t="s">
        <v>74</v>
      </c>
      <c r="AS91" s="1" t="s">
        <v>74</v>
      </c>
      <c r="AT91" s="1" t="s">
        <v>1000</v>
      </c>
      <c r="AU91" s="1">
        <v>2025.0</v>
      </c>
      <c r="AV91" s="1">
        <v>322.0</v>
      </c>
      <c r="AW91" s="1">
        <v>1.0</v>
      </c>
      <c r="AX91" s="1" t="s">
        <v>74</v>
      </c>
      <c r="AY91" s="1" t="s">
        <v>74</v>
      </c>
      <c r="AZ91" s="1" t="s">
        <v>74</v>
      </c>
      <c r="BA91" s="1" t="s">
        <v>74</v>
      </c>
      <c r="BB91" s="1">
        <v>198.0</v>
      </c>
      <c r="BC91" s="1">
        <v>214.0</v>
      </c>
      <c r="BD91" s="1" t="s">
        <v>74</v>
      </c>
      <c r="BE91" s="1" t="s">
        <v>1001</v>
      </c>
      <c r="BF91" s="2" t="str">
        <f>HYPERLINK("http://dx.doi.org/10.1016/j.ejor.2024.09.011","http://dx.doi.org/10.1016/j.ejor.2024.09.011")</f>
        <v>http://dx.doi.org/10.1016/j.ejor.2024.09.011</v>
      </c>
      <c r="BG91" s="1" t="s">
        <v>74</v>
      </c>
      <c r="BH91" s="1" t="s">
        <v>526</v>
      </c>
      <c r="BI91" s="1" t="s">
        <v>74</v>
      </c>
      <c r="BJ91" s="1" t="s">
        <v>74</v>
      </c>
      <c r="BK91" s="1" t="s">
        <v>74</v>
      </c>
      <c r="BL91" s="1" t="s">
        <v>1002</v>
      </c>
      <c r="BM91" s="1" t="s">
        <v>74</v>
      </c>
      <c r="BN91" s="1" t="s">
        <v>74</v>
      </c>
      <c r="BO91" s="1" t="s">
        <v>576</v>
      </c>
      <c r="BP91" s="1" t="s">
        <v>74</v>
      </c>
      <c r="BQ91" s="1" t="s">
        <v>74</v>
      </c>
      <c r="BR91" s="1" t="s">
        <v>74</v>
      </c>
      <c r="BS91" s="1" t="s">
        <v>1003</v>
      </c>
      <c r="BT91" s="1" t="str">
        <f>HYPERLINK("https%3A%2F%2Fwww.webofscience.com%2Fwos%2Fwoscc%2Ffull-record%2FWOS:001417320300001","View Full Record in Web of Science")</f>
        <v>View Full Record in Web of Science</v>
      </c>
    </row>
    <row r="92" ht="12.75" customHeight="1">
      <c r="A92" s="1" t="s">
        <v>72</v>
      </c>
      <c r="B92" s="1" t="s">
        <v>1004</v>
      </c>
      <c r="C92" s="1" t="s">
        <v>74</v>
      </c>
      <c r="D92" s="1" t="s">
        <v>74</v>
      </c>
      <c r="E92" s="1" t="s">
        <v>74</v>
      </c>
      <c r="F92" s="1" t="s">
        <v>1005</v>
      </c>
      <c r="G92" s="1" t="s">
        <v>74</v>
      </c>
      <c r="H92" s="1" t="s">
        <v>74</v>
      </c>
      <c r="I92" s="1" t="s">
        <v>1006</v>
      </c>
      <c r="J92" s="1" t="s">
        <v>1007</v>
      </c>
      <c r="K92" s="1" t="s">
        <v>74</v>
      </c>
      <c r="L92" s="1" t="s">
        <v>74</v>
      </c>
      <c r="M92" s="1" t="s">
        <v>74</v>
      </c>
      <c r="N92" s="1" t="s">
        <v>78</v>
      </c>
      <c r="O92" s="1" t="s">
        <v>74</v>
      </c>
      <c r="P92" s="1" t="s">
        <v>74</v>
      </c>
      <c r="Q92" s="1" t="s">
        <v>74</v>
      </c>
      <c r="R92" s="1" t="s">
        <v>74</v>
      </c>
      <c r="S92" s="1" t="s">
        <v>74</v>
      </c>
      <c r="T92" s="1" t="s">
        <v>1008</v>
      </c>
      <c r="U92" s="1" t="s">
        <v>1009</v>
      </c>
      <c r="V92" s="1" t="s">
        <v>1010</v>
      </c>
      <c r="W92" s="1" t="s">
        <v>74</v>
      </c>
      <c r="X92" s="1" t="s">
        <v>74</v>
      </c>
      <c r="Y92" s="1" t="s">
        <v>74</v>
      </c>
      <c r="Z92" s="1" t="s">
        <v>74</v>
      </c>
      <c r="AA92" s="1" t="s">
        <v>74</v>
      </c>
      <c r="AB92" s="1" t="s">
        <v>74</v>
      </c>
      <c r="AC92" s="1" t="s">
        <v>74</v>
      </c>
      <c r="AD92" s="1" t="s">
        <v>74</v>
      </c>
      <c r="AE92" s="1" t="s">
        <v>74</v>
      </c>
      <c r="AF92" s="1" t="s">
        <v>74</v>
      </c>
      <c r="AG92" s="1" t="s">
        <v>74</v>
      </c>
      <c r="AH92" s="1" t="s">
        <v>74</v>
      </c>
      <c r="AI92" s="1" t="s">
        <v>74</v>
      </c>
      <c r="AJ92" s="1" t="s">
        <v>74</v>
      </c>
      <c r="AK92" s="1" t="s">
        <v>74</v>
      </c>
      <c r="AL92" s="1" t="s">
        <v>74</v>
      </c>
      <c r="AM92" s="1" t="s">
        <v>74</v>
      </c>
      <c r="AN92" s="1" t="s">
        <v>74</v>
      </c>
      <c r="AO92" s="1" t="s">
        <v>1011</v>
      </c>
      <c r="AP92" s="1" t="s">
        <v>1012</v>
      </c>
      <c r="AQ92" s="1" t="s">
        <v>74</v>
      </c>
      <c r="AR92" s="1" t="s">
        <v>74</v>
      </c>
      <c r="AS92" s="1" t="s">
        <v>74</v>
      </c>
      <c r="AT92" s="1" t="s">
        <v>1013</v>
      </c>
      <c r="AU92" s="1">
        <v>2024.0</v>
      </c>
      <c r="AV92" s="1">
        <v>12.0</v>
      </c>
      <c r="AW92" s="1">
        <v>1.0</v>
      </c>
      <c r="AX92" s="1" t="s">
        <v>74</v>
      </c>
      <c r="AY92" s="1" t="s">
        <v>74</v>
      </c>
      <c r="AZ92" s="1" t="s">
        <v>74</v>
      </c>
      <c r="BA92" s="1" t="s">
        <v>74</v>
      </c>
      <c r="BB92" s="1">
        <v>20.0</v>
      </c>
      <c r="BC92" s="1">
        <v>33.0</v>
      </c>
      <c r="BD92" s="1" t="s">
        <v>74</v>
      </c>
      <c r="BE92" s="1" t="s">
        <v>1014</v>
      </c>
      <c r="BF92" s="2" t="str">
        <f>HYPERLINK("http://dx.doi.org/10.1080/20954816.2023.2276965","http://dx.doi.org/10.1080/20954816.2023.2276965")</f>
        <v>http://dx.doi.org/10.1080/20954816.2023.2276965</v>
      </c>
      <c r="BG92" s="1" t="s">
        <v>74</v>
      </c>
      <c r="BH92" s="1" t="s">
        <v>1015</v>
      </c>
      <c r="BI92" s="1" t="s">
        <v>74</v>
      </c>
      <c r="BJ92" s="1" t="s">
        <v>74</v>
      </c>
      <c r="BK92" s="1" t="s">
        <v>74</v>
      </c>
      <c r="BL92" s="1" t="s">
        <v>615</v>
      </c>
      <c r="BM92" s="1" t="s">
        <v>74</v>
      </c>
      <c r="BN92" s="1" t="s">
        <v>74</v>
      </c>
      <c r="BO92" s="1" t="s">
        <v>1016</v>
      </c>
      <c r="BP92" s="1" t="s">
        <v>74</v>
      </c>
      <c r="BQ92" s="1" t="s">
        <v>74</v>
      </c>
      <c r="BR92" s="1" t="s">
        <v>74</v>
      </c>
      <c r="BS92" s="1" t="s">
        <v>1017</v>
      </c>
      <c r="BT92" s="1" t="str">
        <f>HYPERLINK("https%3A%2F%2Fwww.webofscience.com%2Fwos%2Fwoscc%2Ffull-record%2FWOS:001119129900001","View Full Record in Web of Science")</f>
        <v>View Full Record in Web of Science</v>
      </c>
    </row>
    <row r="93" ht="12.75" customHeight="1">
      <c r="A93" s="1" t="s">
        <v>72</v>
      </c>
      <c r="B93" s="1" t="s">
        <v>1018</v>
      </c>
      <c r="C93" s="1" t="s">
        <v>74</v>
      </c>
      <c r="D93" s="1" t="s">
        <v>74</v>
      </c>
      <c r="E93" s="1" t="s">
        <v>74</v>
      </c>
      <c r="F93" s="1" t="s">
        <v>1019</v>
      </c>
      <c r="G93" s="1" t="s">
        <v>74</v>
      </c>
      <c r="H93" s="1" t="s">
        <v>74</v>
      </c>
      <c r="I93" s="1" t="s">
        <v>1020</v>
      </c>
      <c r="J93" s="1" t="s">
        <v>1021</v>
      </c>
      <c r="K93" s="1" t="s">
        <v>74</v>
      </c>
      <c r="L93" s="1" t="s">
        <v>74</v>
      </c>
      <c r="M93" s="1" t="s">
        <v>74</v>
      </c>
      <c r="N93" s="1" t="s">
        <v>158</v>
      </c>
      <c r="O93" s="1" t="s">
        <v>74</v>
      </c>
      <c r="P93" s="1" t="s">
        <v>74</v>
      </c>
      <c r="Q93" s="1" t="s">
        <v>74</v>
      </c>
      <c r="R93" s="1" t="s">
        <v>74</v>
      </c>
      <c r="S93" s="1" t="s">
        <v>74</v>
      </c>
      <c r="T93" s="1" t="s">
        <v>1022</v>
      </c>
      <c r="U93" s="1" t="s">
        <v>1023</v>
      </c>
      <c r="V93" s="1" t="s">
        <v>1024</v>
      </c>
      <c r="W93" s="1" t="s">
        <v>74</v>
      </c>
      <c r="X93" s="1" t="s">
        <v>74</v>
      </c>
      <c r="Y93" s="1" t="s">
        <v>74</v>
      </c>
      <c r="Z93" s="1" t="s">
        <v>74</v>
      </c>
      <c r="AA93" s="1" t="s">
        <v>74</v>
      </c>
      <c r="AB93" s="1" t="s">
        <v>74</v>
      </c>
      <c r="AC93" s="1" t="s">
        <v>74</v>
      </c>
      <c r="AD93" s="1" t="s">
        <v>74</v>
      </c>
      <c r="AE93" s="1" t="s">
        <v>74</v>
      </c>
      <c r="AF93" s="1" t="s">
        <v>74</v>
      </c>
      <c r="AG93" s="1" t="s">
        <v>74</v>
      </c>
      <c r="AH93" s="1" t="s">
        <v>74</v>
      </c>
      <c r="AI93" s="1" t="s">
        <v>74</v>
      </c>
      <c r="AJ93" s="1" t="s">
        <v>74</v>
      </c>
      <c r="AK93" s="1" t="s">
        <v>74</v>
      </c>
      <c r="AL93" s="1" t="s">
        <v>74</v>
      </c>
      <c r="AM93" s="1" t="s">
        <v>74</v>
      </c>
      <c r="AN93" s="1" t="s">
        <v>74</v>
      </c>
      <c r="AO93" s="1" t="s">
        <v>1025</v>
      </c>
      <c r="AP93" s="1" t="s">
        <v>1026</v>
      </c>
      <c r="AQ93" s="1" t="s">
        <v>74</v>
      </c>
      <c r="AR93" s="1" t="s">
        <v>74</v>
      </c>
      <c r="AS93" s="1" t="s">
        <v>74</v>
      </c>
      <c r="AT93" s="1" t="s">
        <v>357</v>
      </c>
      <c r="AU93" s="1">
        <v>2025.0</v>
      </c>
      <c r="AV93" s="1">
        <v>42.0</v>
      </c>
      <c r="AW93" s="1">
        <v>10.0</v>
      </c>
      <c r="AX93" s="1" t="s">
        <v>74</v>
      </c>
      <c r="AY93" s="1" t="s">
        <v>74</v>
      </c>
      <c r="AZ93" s="1" t="s">
        <v>74</v>
      </c>
      <c r="BA93" s="1" t="s">
        <v>74</v>
      </c>
      <c r="BB93" s="1" t="s">
        <v>74</v>
      </c>
      <c r="BC93" s="1" t="s">
        <v>74</v>
      </c>
      <c r="BD93" s="1" t="s">
        <v>1027</v>
      </c>
      <c r="BE93" s="1" t="s">
        <v>1028</v>
      </c>
      <c r="BF93" s="2" t="str">
        <f>HYPERLINK("http://dx.doi.org/10.1111/exsy.70127","http://dx.doi.org/10.1111/exsy.70127")</f>
        <v>http://dx.doi.org/10.1111/exsy.70127</v>
      </c>
      <c r="BG93" s="1" t="s">
        <v>74</v>
      </c>
      <c r="BH93" s="1" t="s">
        <v>74</v>
      </c>
      <c r="BI93" s="1" t="s">
        <v>74</v>
      </c>
      <c r="BJ93" s="1" t="s">
        <v>74</v>
      </c>
      <c r="BK93" s="1" t="s">
        <v>74</v>
      </c>
      <c r="BL93" s="1" t="s">
        <v>174</v>
      </c>
      <c r="BM93" s="1" t="s">
        <v>74</v>
      </c>
      <c r="BN93" s="1" t="s">
        <v>74</v>
      </c>
      <c r="BO93" s="1" t="s">
        <v>74</v>
      </c>
      <c r="BP93" s="1" t="s">
        <v>74</v>
      </c>
      <c r="BQ93" s="1" t="s">
        <v>74</v>
      </c>
      <c r="BR93" s="1" t="s">
        <v>74</v>
      </c>
      <c r="BS93" s="1" t="s">
        <v>1029</v>
      </c>
      <c r="BT93" s="1" t="str">
        <f>HYPERLINK("https%3A%2F%2Fwww.webofscience.com%2Fwos%2Fwoscc%2Ffull-record%2FWOS:001575185700001","View Full Record in Web of Science")</f>
        <v>View Full Record in Web of Science</v>
      </c>
    </row>
    <row r="94" ht="12.75" customHeight="1">
      <c r="A94" s="1" t="s">
        <v>72</v>
      </c>
      <c r="B94" s="1" t="s">
        <v>1030</v>
      </c>
      <c r="C94" s="1" t="s">
        <v>74</v>
      </c>
      <c r="D94" s="1" t="s">
        <v>74</v>
      </c>
      <c r="E94" s="1" t="s">
        <v>74</v>
      </c>
      <c r="F94" s="1" t="s">
        <v>1031</v>
      </c>
      <c r="G94" s="1" t="s">
        <v>74</v>
      </c>
      <c r="H94" s="1" t="s">
        <v>74</v>
      </c>
      <c r="I94" s="1" t="s">
        <v>1032</v>
      </c>
      <c r="J94" s="1" t="s">
        <v>1033</v>
      </c>
      <c r="K94" s="1" t="s">
        <v>74</v>
      </c>
      <c r="L94" s="1" t="s">
        <v>74</v>
      </c>
      <c r="M94" s="1" t="s">
        <v>74</v>
      </c>
      <c r="N94" s="1" t="s">
        <v>78</v>
      </c>
      <c r="O94" s="1" t="s">
        <v>74</v>
      </c>
      <c r="P94" s="1" t="s">
        <v>74</v>
      </c>
      <c r="Q94" s="1" t="s">
        <v>74</v>
      </c>
      <c r="R94" s="1" t="s">
        <v>74</v>
      </c>
      <c r="S94" s="1" t="s">
        <v>74</v>
      </c>
      <c r="T94" s="1" t="s">
        <v>1034</v>
      </c>
      <c r="U94" s="1" t="s">
        <v>1035</v>
      </c>
      <c r="V94" s="1" t="s">
        <v>1036</v>
      </c>
      <c r="W94" s="1" t="s">
        <v>74</v>
      </c>
      <c r="X94" s="1" t="s">
        <v>74</v>
      </c>
      <c r="Y94" s="1" t="s">
        <v>74</v>
      </c>
      <c r="Z94" s="1" t="s">
        <v>74</v>
      </c>
      <c r="AA94" s="1" t="s">
        <v>74</v>
      </c>
      <c r="AB94" s="1" t="s">
        <v>74</v>
      </c>
      <c r="AC94" s="1" t="s">
        <v>74</v>
      </c>
      <c r="AD94" s="1" t="s">
        <v>74</v>
      </c>
      <c r="AE94" s="1" t="s">
        <v>74</v>
      </c>
      <c r="AF94" s="1" t="s">
        <v>74</v>
      </c>
      <c r="AG94" s="1" t="s">
        <v>74</v>
      </c>
      <c r="AH94" s="1" t="s">
        <v>74</v>
      </c>
      <c r="AI94" s="1" t="s">
        <v>74</v>
      </c>
      <c r="AJ94" s="1" t="s">
        <v>74</v>
      </c>
      <c r="AK94" s="1" t="s">
        <v>74</v>
      </c>
      <c r="AL94" s="1" t="s">
        <v>74</v>
      </c>
      <c r="AM94" s="1" t="s">
        <v>74</v>
      </c>
      <c r="AN94" s="1" t="s">
        <v>74</v>
      </c>
      <c r="AO94" s="1" t="s">
        <v>1037</v>
      </c>
      <c r="AP94" s="1" t="s">
        <v>1038</v>
      </c>
      <c r="AQ94" s="1" t="s">
        <v>74</v>
      </c>
      <c r="AR94" s="1" t="s">
        <v>74</v>
      </c>
      <c r="AS94" s="1" t="s">
        <v>74</v>
      </c>
      <c r="AT94" s="1" t="s">
        <v>124</v>
      </c>
      <c r="AU94" s="1">
        <v>2025.0</v>
      </c>
      <c r="AV94" s="1">
        <v>87.0</v>
      </c>
      <c r="AW94" s="1" t="s">
        <v>74</v>
      </c>
      <c r="AX94" s="1" t="s">
        <v>74</v>
      </c>
      <c r="AY94" s="1" t="s">
        <v>74</v>
      </c>
      <c r="AZ94" s="1" t="s">
        <v>74</v>
      </c>
      <c r="BA94" s="1" t="s">
        <v>74</v>
      </c>
      <c r="BB94" s="1" t="s">
        <v>74</v>
      </c>
      <c r="BC94" s="1" t="s">
        <v>74</v>
      </c>
      <c r="BD94" s="1">
        <v>102668.0</v>
      </c>
      <c r="BE94" s="1" t="s">
        <v>1039</v>
      </c>
      <c r="BF94" s="2" t="str">
        <f>HYPERLINK("http://dx.doi.org/10.1016/j.ejpoleco.2025.102668","http://dx.doi.org/10.1016/j.ejpoleco.2025.102668")</f>
        <v>http://dx.doi.org/10.1016/j.ejpoleco.2025.102668</v>
      </c>
      <c r="BG94" s="1" t="s">
        <v>74</v>
      </c>
      <c r="BH94" s="1" t="s">
        <v>526</v>
      </c>
      <c r="BI94" s="1" t="s">
        <v>74</v>
      </c>
      <c r="BJ94" s="1" t="s">
        <v>74</v>
      </c>
      <c r="BK94" s="1" t="s">
        <v>74</v>
      </c>
      <c r="BL94" s="1" t="s">
        <v>1040</v>
      </c>
      <c r="BM94" s="1" t="s">
        <v>74</v>
      </c>
      <c r="BN94" s="1" t="s">
        <v>74</v>
      </c>
      <c r="BO94" s="1" t="s">
        <v>74</v>
      </c>
      <c r="BP94" s="1" t="s">
        <v>74</v>
      </c>
      <c r="BQ94" s="1" t="s">
        <v>74</v>
      </c>
      <c r="BR94" s="1" t="s">
        <v>74</v>
      </c>
      <c r="BS94" s="1" t="s">
        <v>1041</v>
      </c>
      <c r="BT94" s="1" t="str">
        <f>HYPERLINK("https%3A%2F%2Fwww.webofscience.com%2Fwos%2Fwoscc%2Ffull-record%2FWOS:001493854300001","View Full Record in Web of Science")</f>
        <v>View Full Record in Web of Science</v>
      </c>
    </row>
    <row r="95" ht="12.75" customHeight="1">
      <c r="A95" s="1" t="s">
        <v>72</v>
      </c>
      <c r="B95" s="1" t="s">
        <v>1042</v>
      </c>
      <c r="C95" s="1" t="s">
        <v>74</v>
      </c>
      <c r="D95" s="1" t="s">
        <v>74</v>
      </c>
      <c r="E95" s="1" t="s">
        <v>74</v>
      </c>
      <c r="F95" s="1" t="s">
        <v>1043</v>
      </c>
      <c r="G95" s="1" t="s">
        <v>74</v>
      </c>
      <c r="H95" s="1" t="s">
        <v>74</v>
      </c>
      <c r="I95" s="1" t="s">
        <v>1044</v>
      </c>
      <c r="J95" s="1" t="s">
        <v>1045</v>
      </c>
      <c r="K95" s="1" t="s">
        <v>74</v>
      </c>
      <c r="L95" s="1" t="s">
        <v>74</v>
      </c>
      <c r="M95" s="1" t="s">
        <v>74</v>
      </c>
      <c r="N95" s="1" t="s">
        <v>78</v>
      </c>
      <c r="O95" s="1" t="s">
        <v>74</v>
      </c>
      <c r="P95" s="1" t="s">
        <v>74</v>
      </c>
      <c r="Q95" s="1" t="s">
        <v>74</v>
      </c>
      <c r="R95" s="1" t="s">
        <v>74</v>
      </c>
      <c r="S95" s="1" t="s">
        <v>74</v>
      </c>
      <c r="T95" s="1" t="s">
        <v>1046</v>
      </c>
      <c r="U95" s="1" t="s">
        <v>74</v>
      </c>
      <c r="V95" s="1" t="s">
        <v>1047</v>
      </c>
      <c r="W95" s="1" t="s">
        <v>74</v>
      </c>
      <c r="X95" s="1" t="s">
        <v>74</v>
      </c>
      <c r="Y95" s="1" t="s">
        <v>74</v>
      </c>
      <c r="Z95" s="1" t="s">
        <v>74</v>
      </c>
      <c r="AA95" s="1" t="s">
        <v>74</v>
      </c>
      <c r="AB95" s="1" t="s">
        <v>74</v>
      </c>
      <c r="AC95" s="1" t="s">
        <v>74</v>
      </c>
      <c r="AD95" s="1" t="s">
        <v>74</v>
      </c>
      <c r="AE95" s="1" t="s">
        <v>74</v>
      </c>
      <c r="AF95" s="1" t="s">
        <v>74</v>
      </c>
      <c r="AG95" s="1" t="s">
        <v>74</v>
      </c>
      <c r="AH95" s="1" t="s">
        <v>74</v>
      </c>
      <c r="AI95" s="1" t="s">
        <v>74</v>
      </c>
      <c r="AJ95" s="1" t="s">
        <v>74</v>
      </c>
      <c r="AK95" s="1" t="s">
        <v>74</v>
      </c>
      <c r="AL95" s="1" t="s">
        <v>74</v>
      </c>
      <c r="AM95" s="1" t="s">
        <v>74</v>
      </c>
      <c r="AN95" s="1" t="s">
        <v>74</v>
      </c>
      <c r="AO95" s="1" t="s">
        <v>1048</v>
      </c>
      <c r="AP95" s="1" t="s">
        <v>1049</v>
      </c>
      <c r="AQ95" s="1" t="s">
        <v>74</v>
      </c>
      <c r="AR95" s="1" t="s">
        <v>74</v>
      </c>
      <c r="AS95" s="1" t="s">
        <v>74</v>
      </c>
      <c r="AT95" s="1" t="s">
        <v>172</v>
      </c>
      <c r="AU95" s="1">
        <v>2025.0</v>
      </c>
      <c r="AV95" s="1">
        <v>243.0</v>
      </c>
      <c r="AW95" s="1" t="s">
        <v>74</v>
      </c>
      <c r="AX95" s="1" t="s">
        <v>74</v>
      </c>
      <c r="AY95" s="1" t="s">
        <v>74</v>
      </c>
      <c r="AZ95" s="1" t="s">
        <v>74</v>
      </c>
      <c r="BA95" s="1" t="s">
        <v>74</v>
      </c>
      <c r="BB95" s="1" t="s">
        <v>74</v>
      </c>
      <c r="BC95" s="1" t="s">
        <v>74</v>
      </c>
      <c r="BD95" s="1">
        <v>104281.0</v>
      </c>
      <c r="BE95" s="1" t="s">
        <v>1050</v>
      </c>
      <c r="BF95" s="2" t="str">
        <f>HYPERLINK("http://dx.doi.org/10.1016/j.jnca.2025.104281","http://dx.doi.org/10.1016/j.jnca.2025.104281")</f>
        <v>http://dx.doi.org/10.1016/j.jnca.2025.104281</v>
      </c>
      <c r="BG95" s="1" t="s">
        <v>74</v>
      </c>
      <c r="BH95" s="1" t="s">
        <v>276</v>
      </c>
      <c r="BI95" s="1" t="s">
        <v>74</v>
      </c>
      <c r="BJ95" s="1" t="s">
        <v>74</v>
      </c>
      <c r="BK95" s="1" t="s">
        <v>74</v>
      </c>
      <c r="BL95" s="1" t="s">
        <v>174</v>
      </c>
      <c r="BM95" s="1" t="s">
        <v>74</v>
      </c>
      <c r="BN95" s="1" t="s">
        <v>74</v>
      </c>
      <c r="BO95" s="1" t="s">
        <v>576</v>
      </c>
      <c r="BP95" s="1" t="s">
        <v>74</v>
      </c>
      <c r="BQ95" s="1" t="s">
        <v>74</v>
      </c>
      <c r="BR95" s="1" t="s">
        <v>74</v>
      </c>
      <c r="BS95" s="1" t="s">
        <v>1051</v>
      </c>
      <c r="BT95" s="1" t="str">
        <f>HYPERLINK("https%3A%2F%2Fwww.webofscience.com%2Fwos%2Fwoscc%2Ffull-record%2FWOS:001558697400001","View Full Record in Web of Science")</f>
        <v>View Full Record in Web of Science</v>
      </c>
    </row>
    <row r="96" ht="12.75" customHeight="1">
      <c r="A96" s="1" t="s">
        <v>72</v>
      </c>
      <c r="B96" s="1" t="s">
        <v>1052</v>
      </c>
      <c r="C96" s="1" t="s">
        <v>74</v>
      </c>
      <c r="D96" s="1" t="s">
        <v>74</v>
      </c>
      <c r="E96" s="1" t="s">
        <v>74</v>
      </c>
      <c r="F96" s="1" t="s">
        <v>1053</v>
      </c>
      <c r="G96" s="1" t="s">
        <v>74</v>
      </c>
      <c r="H96" s="1" t="s">
        <v>74</v>
      </c>
      <c r="I96" s="1" t="s">
        <v>1054</v>
      </c>
      <c r="J96" s="1" t="s">
        <v>1055</v>
      </c>
      <c r="K96" s="1" t="s">
        <v>74</v>
      </c>
      <c r="L96" s="1" t="s">
        <v>74</v>
      </c>
      <c r="M96" s="1" t="s">
        <v>74</v>
      </c>
      <c r="N96" s="1" t="s">
        <v>953</v>
      </c>
      <c r="O96" s="1" t="s">
        <v>74</v>
      </c>
      <c r="P96" s="1" t="s">
        <v>74</v>
      </c>
      <c r="Q96" s="1" t="s">
        <v>74</v>
      </c>
      <c r="R96" s="1" t="s">
        <v>74</v>
      </c>
      <c r="S96" s="1" t="s">
        <v>74</v>
      </c>
      <c r="T96" s="1" t="s">
        <v>1056</v>
      </c>
      <c r="U96" s="1" t="s">
        <v>1057</v>
      </c>
      <c r="V96" s="1" t="s">
        <v>1058</v>
      </c>
      <c r="W96" s="1" t="s">
        <v>74</v>
      </c>
      <c r="X96" s="1" t="s">
        <v>74</v>
      </c>
      <c r="Y96" s="1" t="s">
        <v>74</v>
      </c>
      <c r="Z96" s="1" t="s">
        <v>74</v>
      </c>
      <c r="AA96" s="1" t="s">
        <v>74</v>
      </c>
      <c r="AB96" s="1" t="s">
        <v>74</v>
      </c>
      <c r="AC96" s="1" t="s">
        <v>74</v>
      </c>
      <c r="AD96" s="1" t="s">
        <v>74</v>
      </c>
      <c r="AE96" s="1" t="s">
        <v>74</v>
      </c>
      <c r="AF96" s="1" t="s">
        <v>74</v>
      </c>
      <c r="AG96" s="1" t="s">
        <v>74</v>
      </c>
      <c r="AH96" s="1" t="s">
        <v>74</v>
      </c>
      <c r="AI96" s="1" t="s">
        <v>74</v>
      </c>
      <c r="AJ96" s="1" t="s">
        <v>74</v>
      </c>
      <c r="AK96" s="1" t="s">
        <v>74</v>
      </c>
      <c r="AL96" s="1" t="s">
        <v>74</v>
      </c>
      <c r="AM96" s="1" t="s">
        <v>74</v>
      </c>
      <c r="AN96" s="1" t="s">
        <v>74</v>
      </c>
      <c r="AO96" s="1" t="s">
        <v>1059</v>
      </c>
      <c r="AP96" s="1" t="s">
        <v>1060</v>
      </c>
      <c r="AQ96" s="1" t="s">
        <v>74</v>
      </c>
      <c r="AR96" s="1" t="s">
        <v>74</v>
      </c>
      <c r="AS96" s="1" t="s">
        <v>74</v>
      </c>
      <c r="AT96" s="1" t="s">
        <v>1061</v>
      </c>
      <c r="AU96" s="1">
        <v>2025.0</v>
      </c>
      <c r="AV96" s="1" t="s">
        <v>74</v>
      </c>
      <c r="AW96" s="1" t="s">
        <v>74</v>
      </c>
      <c r="AX96" s="1" t="s">
        <v>74</v>
      </c>
      <c r="AY96" s="1" t="s">
        <v>74</v>
      </c>
      <c r="AZ96" s="1" t="s">
        <v>74</v>
      </c>
      <c r="BA96" s="1" t="s">
        <v>74</v>
      </c>
      <c r="BB96" s="1" t="s">
        <v>74</v>
      </c>
      <c r="BC96" s="1" t="s">
        <v>74</v>
      </c>
      <c r="BD96" s="1" t="s">
        <v>74</v>
      </c>
      <c r="BE96" s="1" t="s">
        <v>1062</v>
      </c>
      <c r="BF96" s="2" t="str">
        <f>HYPERLINK("http://dx.doi.org/10.1080/00128775.2025.2534144","http://dx.doi.org/10.1080/00128775.2025.2534144")</f>
        <v>http://dx.doi.org/10.1080/00128775.2025.2534144</v>
      </c>
      <c r="BG96" s="1" t="s">
        <v>74</v>
      </c>
      <c r="BH96" s="1" t="s">
        <v>276</v>
      </c>
      <c r="BI96" s="1" t="s">
        <v>74</v>
      </c>
      <c r="BJ96" s="1" t="s">
        <v>74</v>
      </c>
      <c r="BK96" s="1" t="s">
        <v>74</v>
      </c>
      <c r="BL96" s="1" t="s">
        <v>214</v>
      </c>
      <c r="BM96" s="1" t="s">
        <v>74</v>
      </c>
      <c r="BN96" s="1" t="s">
        <v>74</v>
      </c>
      <c r="BO96" s="1" t="s">
        <v>114</v>
      </c>
      <c r="BP96" s="1" t="s">
        <v>74</v>
      </c>
      <c r="BQ96" s="1" t="s">
        <v>74</v>
      </c>
      <c r="BR96" s="1" t="s">
        <v>74</v>
      </c>
      <c r="BS96" s="1" t="s">
        <v>1063</v>
      </c>
      <c r="BT96" s="1" t="str">
        <f>HYPERLINK("https%3A%2F%2Fwww.webofscience.com%2Fwos%2Fwoscc%2Ffull-record%2FWOS:001542637200001","View Full Record in Web of Science")</f>
        <v>View Full Record in Web of Science</v>
      </c>
    </row>
    <row r="97" ht="12.75" customHeight="1">
      <c r="A97" s="1" t="s">
        <v>72</v>
      </c>
      <c r="B97" s="1" t="s">
        <v>1064</v>
      </c>
      <c r="C97" s="1" t="s">
        <v>74</v>
      </c>
      <c r="D97" s="1" t="s">
        <v>74</v>
      </c>
      <c r="E97" s="1" t="s">
        <v>74</v>
      </c>
      <c r="F97" s="1" t="s">
        <v>1065</v>
      </c>
      <c r="G97" s="1" t="s">
        <v>74</v>
      </c>
      <c r="H97" s="1" t="s">
        <v>74</v>
      </c>
      <c r="I97" s="1" t="s">
        <v>1066</v>
      </c>
      <c r="J97" s="1" t="s">
        <v>793</v>
      </c>
      <c r="K97" s="1" t="s">
        <v>74</v>
      </c>
      <c r="L97" s="1" t="s">
        <v>74</v>
      </c>
      <c r="M97" s="1" t="s">
        <v>74</v>
      </c>
      <c r="N97" s="1" t="s">
        <v>78</v>
      </c>
      <c r="O97" s="1" t="s">
        <v>74</v>
      </c>
      <c r="P97" s="1" t="s">
        <v>74</v>
      </c>
      <c r="Q97" s="1" t="s">
        <v>74</v>
      </c>
      <c r="R97" s="1" t="s">
        <v>74</v>
      </c>
      <c r="S97" s="1" t="s">
        <v>74</v>
      </c>
      <c r="T97" s="1" t="s">
        <v>1067</v>
      </c>
      <c r="U97" s="1" t="s">
        <v>1068</v>
      </c>
      <c r="V97" s="1" t="s">
        <v>1069</v>
      </c>
      <c r="W97" s="1" t="s">
        <v>74</v>
      </c>
      <c r="X97" s="1" t="s">
        <v>74</v>
      </c>
      <c r="Y97" s="1" t="s">
        <v>74</v>
      </c>
      <c r="Z97" s="1" t="s">
        <v>74</v>
      </c>
      <c r="AA97" s="1" t="s">
        <v>74</v>
      </c>
      <c r="AB97" s="1" t="s">
        <v>74</v>
      </c>
      <c r="AC97" s="1" t="s">
        <v>74</v>
      </c>
      <c r="AD97" s="1" t="s">
        <v>74</v>
      </c>
      <c r="AE97" s="1" t="s">
        <v>74</v>
      </c>
      <c r="AF97" s="1" t="s">
        <v>74</v>
      </c>
      <c r="AG97" s="1" t="s">
        <v>74</v>
      </c>
      <c r="AH97" s="1" t="s">
        <v>74</v>
      </c>
      <c r="AI97" s="1" t="s">
        <v>74</v>
      </c>
      <c r="AJ97" s="1" t="s">
        <v>74</v>
      </c>
      <c r="AK97" s="1" t="s">
        <v>74</v>
      </c>
      <c r="AL97" s="1" t="s">
        <v>74</v>
      </c>
      <c r="AM97" s="1" t="s">
        <v>74</v>
      </c>
      <c r="AN97" s="1" t="s">
        <v>74</v>
      </c>
      <c r="AO97" s="1" t="s">
        <v>797</v>
      </c>
      <c r="AP97" s="1" t="s">
        <v>74</v>
      </c>
      <c r="AQ97" s="1" t="s">
        <v>74</v>
      </c>
      <c r="AR97" s="1" t="s">
        <v>74</v>
      </c>
      <c r="AS97" s="1" t="s">
        <v>74</v>
      </c>
      <c r="AT97" s="1" t="s">
        <v>225</v>
      </c>
      <c r="AU97" s="1">
        <v>2024.0</v>
      </c>
      <c r="AV97" s="1">
        <v>16.0</v>
      </c>
      <c r="AW97" s="1">
        <v>7.0</v>
      </c>
      <c r="AX97" s="1" t="s">
        <v>74</v>
      </c>
      <c r="AY97" s="1" t="s">
        <v>74</v>
      </c>
      <c r="AZ97" s="1" t="s">
        <v>74</v>
      </c>
      <c r="BA97" s="1" t="s">
        <v>74</v>
      </c>
      <c r="BB97" s="1" t="s">
        <v>74</v>
      </c>
      <c r="BC97" s="1" t="s">
        <v>74</v>
      </c>
      <c r="BD97" s="1">
        <v>224.0</v>
      </c>
      <c r="BE97" s="1" t="s">
        <v>1070</v>
      </c>
      <c r="BF97" s="2" t="str">
        <f>HYPERLINK("http://dx.doi.org/10.3390/fi16070224","http://dx.doi.org/10.3390/fi16070224")</f>
        <v>http://dx.doi.org/10.3390/fi16070224</v>
      </c>
      <c r="BG97" s="1" t="s">
        <v>74</v>
      </c>
      <c r="BH97" s="1" t="s">
        <v>74</v>
      </c>
      <c r="BI97" s="1" t="s">
        <v>74</v>
      </c>
      <c r="BJ97" s="1" t="s">
        <v>74</v>
      </c>
      <c r="BK97" s="1" t="s">
        <v>74</v>
      </c>
      <c r="BL97" s="1" t="s">
        <v>174</v>
      </c>
      <c r="BM97" s="1" t="s">
        <v>74</v>
      </c>
      <c r="BN97" s="1" t="s">
        <v>74</v>
      </c>
      <c r="BO97" s="1" t="s">
        <v>163</v>
      </c>
      <c r="BP97" s="1" t="s">
        <v>74</v>
      </c>
      <c r="BQ97" s="1" t="s">
        <v>74</v>
      </c>
      <c r="BR97" s="1" t="s">
        <v>74</v>
      </c>
      <c r="BS97" s="1" t="s">
        <v>1071</v>
      </c>
      <c r="BT97" s="1" t="str">
        <f>HYPERLINK("https%3A%2F%2Fwww.webofscience.com%2Fwos%2Fwoscc%2Ffull-record%2FWOS:001277467000001","View Full Record in Web of Science")</f>
        <v>View Full Record in Web of Science</v>
      </c>
    </row>
    <row r="98" ht="12.75" customHeight="1">
      <c r="A98" s="1" t="s">
        <v>72</v>
      </c>
      <c r="B98" s="1" t="s">
        <v>1072</v>
      </c>
      <c r="C98" s="1" t="s">
        <v>74</v>
      </c>
      <c r="D98" s="1" t="s">
        <v>74</v>
      </c>
      <c r="E98" s="1" t="s">
        <v>74</v>
      </c>
      <c r="F98" s="1" t="s">
        <v>1073</v>
      </c>
      <c r="G98" s="1" t="s">
        <v>74</v>
      </c>
      <c r="H98" s="1" t="s">
        <v>74</v>
      </c>
      <c r="I98" s="1" t="s">
        <v>1074</v>
      </c>
      <c r="J98" s="1" t="s">
        <v>103</v>
      </c>
      <c r="K98" s="1" t="s">
        <v>74</v>
      </c>
      <c r="L98" s="1" t="s">
        <v>74</v>
      </c>
      <c r="M98" s="1" t="s">
        <v>74</v>
      </c>
      <c r="N98" s="1" t="s">
        <v>78</v>
      </c>
      <c r="O98" s="1" t="s">
        <v>74</v>
      </c>
      <c r="P98" s="1" t="s">
        <v>74</v>
      </c>
      <c r="Q98" s="1" t="s">
        <v>74</v>
      </c>
      <c r="R98" s="1" t="s">
        <v>74</v>
      </c>
      <c r="S98" s="1" t="s">
        <v>74</v>
      </c>
      <c r="T98" s="1" t="s">
        <v>1075</v>
      </c>
      <c r="U98" s="1" t="s">
        <v>1076</v>
      </c>
      <c r="V98" s="1" t="s">
        <v>1077</v>
      </c>
      <c r="W98" s="1" t="s">
        <v>74</v>
      </c>
      <c r="X98" s="1" t="s">
        <v>74</v>
      </c>
      <c r="Y98" s="1" t="s">
        <v>74</v>
      </c>
      <c r="Z98" s="1" t="s">
        <v>74</v>
      </c>
      <c r="AA98" s="1" t="s">
        <v>74</v>
      </c>
      <c r="AB98" s="1" t="s">
        <v>74</v>
      </c>
      <c r="AC98" s="1" t="s">
        <v>74</v>
      </c>
      <c r="AD98" s="1" t="s">
        <v>74</v>
      </c>
      <c r="AE98" s="1" t="s">
        <v>74</v>
      </c>
      <c r="AF98" s="1" t="s">
        <v>74</v>
      </c>
      <c r="AG98" s="1" t="s">
        <v>74</v>
      </c>
      <c r="AH98" s="1" t="s">
        <v>74</v>
      </c>
      <c r="AI98" s="1" t="s">
        <v>74</v>
      </c>
      <c r="AJ98" s="1" t="s">
        <v>74</v>
      </c>
      <c r="AK98" s="1" t="s">
        <v>74</v>
      </c>
      <c r="AL98" s="1" t="s">
        <v>74</v>
      </c>
      <c r="AM98" s="1" t="s">
        <v>74</v>
      </c>
      <c r="AN98" s="1" t="s">
        <v>74</v>
      </c>
      <c r="AO98" s="1" t="s">
        <v>107</v>
      </c>
      <c r="AP98" s="1" t="s">
        <v>108</v>
      </c>
      <c r="AQ98" s="1" t="s">
        <v>74</v>
      </c>
      <c r="AR98" s="1" t="s">
        <v>74</v>
      </c>
      <c r="AS98" s="1" t="s">
        <v>74</v>
      </c>
      <c r="AT98" s="1" t="s">
        <v>1078</v>
      </c>
      <c r="AU98" s="1">
        <v>2025.0</v>
      </c>
      <c r="AV98" s="1">
        <v>141.0</v>
      </c>
      <c r="AW98" s="1" t="s">
        <v>74</v>
      </c>
      <c r="AX98" s="1" t="s">
        <v>74</v>
      </c>
      <c r="AY98" s="1" t="s">
        <v>74</v>
      </c>
      <c r="AZ98" s="1" t="s">
        <v>74</v>
      </c>
      <c r="BA98" s="1" t="s">
        <v>74</v>
      </c>
      <c r="BB98" s="1" t="s">
        <v>74</v>
      </c>
      <c r="BC98" s="1" t="s">
        <v>74</v>
      </c>
      <c r="BD98" s="1">
        <v>109771.0</v>
      </c>
      <c r="BE98" s="1" t="s">
        <v>1079</v>
      </c>
      <c r="BF98" s="2" t="str">
        <f>HYPERLINK("http://dx.doi.org/10.1016/j.engappai.2024.109771","http://dx.doi.org/10.1016/j.engappai.2024.109771")</f>
        <v>http://dx.doi.org/10.1016/j.engappai.2024.109771</v>
      </c>
      <c r="BG98" s="1" t="s">
        <v>74</v>
      </c>
      <c r="BH98" s="1" t="s">
        <v>1080</v>
      </c>
      <c r="BI98" s="1" t="s">
        <v>74</v>
      </c>
      <c r="BJ98" s="1" t="s">
        <v>74</v>
      </c>
      <c r="BK98" s="1" t="s">
        <v>74</v>
      </c>
      <c r="BL98" s="1" t="s">
        <v>113</v>
      </c>
      <c r="BM98" s="1" t="s">
        <v>74</v>
      </c>
      <c r="BN98" s="1" t="s">
        <v>74</v>
      </c>
      <c r="BO98" s="1" t="s">
        <v>114</v>
      </c>
      <c r="BP98" s="1" t="s">
        <v>74</v>
      </c>
      <c r="BQ98" s="1" t="s">
        <v>74</v>
      </c>
      <c r="BR98" s="1" t="s">
        <v>74</v>
      </c>
      <c r="BS98" s="1" t="s">
        <v>1081</v>
      </c>
      <c r="BT98" s="1" t="str">
        <f>HYPERLINK("https%3A%2F%2Fwww.webofscience.com%2Fwos%2Fwoscc%2Ffull-record%2FWOS:001388034800001","View Full Record in Web of Science")</f>
        <v>View Full Record in Web of Science</v>
      </c>
    </row>
    <row r="99" ht="12.75" customHeight="1">
      <c r="A99" s="1" t="s">
        <v>72</v>
      </c>
      <c r="B99" s="1" t="s">
        <v>1082</v>
      </c>
      <c r="C99" s="1" t="s">
        <v>74</v>
      </c>
      <c r="D99" s="1" t="s">
        <v>74</v>
      </c>
      <c r="E99" s="1" t="s">
        <v>74</v>
      </c>
      <c r="F99" s="1" t="s">
        <v>1083</v>
      </c>
      <c r="G99" s="1" t="s">
        <v>74</v>
      </c>
      <c r="H99" s="1" t="s">
        <v>74</v>
      </c>
      <c r="I99" s="1" t="s">
        <v>1084</v>
      </c>
      <c r="J99" s="1" t="s">
        <v>1085</v>
      </c>
      <c r="K99" s="1" t="s">
        <v>74</v>
      </c>
      <c r="L99" s="1" t="s">
        <v>74</v>
      </c>
      <c r="M99" s="1" t="s">
        <v>74</v>
      </c>
      <c r="N99" s="1" t="s">
        <v>78</v>
      </c>
      <c r="O99" s="1" t="s">
        <v>74</v>
      </c>
      <c r="P99" s="1" t="s">
        <v>74</v>
      </c>
      <c r="Q99" s="1" t="s">
        <v>74</v>
      </c>
      <c r="R99" s="1" t="s">
        <v>74</v>
      </c>
      <c r="S99" s="1" t="s">
        <v>74</v>
      </c>
      <c r="T99" s="1" t="s">
        <v>1086</v>
      </c>
      <c r="U99" s="1" t="s">
        <v>74</v>
      </c>
      <c r="V99" s="1" t="s">
        <v>1087</v>
      </c>
      <c r="W99" s="1" t="s">
        <v>74</v>
      </c>
      <c r="X99" s="1" t="s">
        <v>74</v>
      </c>
      <c r="Y99" s="1" t="s">
        <v>74</v>
      </c>
      <c r="Z99" s="1" t="s">
        <v>74</v>
      </c>
      <c r="AA99" s="1" t="s">
        <v>74</v>
      </c>
      <c r="AB99" s="1" t="s">
        <v>74</v>
      </c>
      <c r="AC99" s="1" t="s">
        <v>74</v>
      </c>
      <c r="AD99" s="1" t="s">
        <v>74</v>
      </c>
      <c r="AE99" s="1" t="s">
        <v>74</v>
      </c>
      <c r="AF99" s="1" t="s">
        <v>74</v>
      </c>
      <c r="AG99" s="1" t="s">
        <v>74</v>
      </c>
      <c r="AH99" s="1" t="s">
        <v>74</v>
      </c>
      <c r="AI99" s="1" t="s">
        <v>74</v>
      </c>
      <c r="AJ99" s="1" t="s">
        <v>74</v>
      </c>
      <c r="AK99" s="1" t="s">
        <v>74</v>
      </c>
      <c r="AL99" s="1" t="s">
        <v>74</v>
      </c>
      <c r="AM99" s="1" t="s">
        <v>74</v>
      </c>
      <c r="AN99" s="1" t="s">
        <v>74</v>
      </c>
      <c r="AO99" s="1" t="s">
        <v>1088</v>
      </c>
      <c r="AP99" s="1" t="s">
        <v>1089</v>
      </c>
      <c r="AQ99" s="1" t="s">
        <v>74</v>
      </c>
      <c r="AR99" s="1" t="s">
        <v>74</v>
      </c>
      <c r="AS99" s="1" t="s">
        <v>74</v>
      </c>
      <c r="AT99" s="1" t="s">
        <v>262</v>
      </c>
      <c r="AU99" s="1">
        <v>2025.0</v>
      </c>
      <c r="AV99" s="1">
        <v>43.0</v>
      </c>
      <c r="AW99" s="1">
        <v>9.0</v>
      </c>
      <c r="AX99" s="1" t="s">
        <v>74</v>
      </c>
      <c r="AY99" s="1" t="s">
        <v>74</v>
      </c>
      <c r="AZ99" s="1" t="s">
        <v>74</v>
      </c>
      <c r="BA99" s="1" t="s">
        <v>74</v>
      </c>
      <c r="BB99" s="1" t="s">
        <v>74</v>
      </c>
      <c r="BC99" s="1" t="s">
        <v>74</v>
      </c>
      <c r="BD99" s="1" t="s">
        <v>1090</v>
      </c>
      <c r="BE99" s="1" t="s">
        <v>1091</v>
      </c>
      <c r="BF99" s="2" t="str">
        <f>HYPERLINK("http://dx.doi.org/10.1097/CIN.0000000000001328","http://dx.doi.org/10.1097/CIN.0000000000001328")</f>
        <v>http://dx.doi.org/10.1097/CIN.0000000000001328</v>
      </c>
      <c r="BG99" s="1" t="s">
        <v>74</v>
      </c>
      <c r="BH99" s="1" t="s">
        <v>74</v>
      </c>
      <c r="BI99" s="1" t="s">
        <v>74</v>
      </c>
      <c r="BJ99" s="1" t="s">
        <v>74</v>
      </c>
      <c r="BK99" s="1" t="s">
        <v>74</v>
      </c>
      <c r="BL99" s="1" t="s">
        <v>1092</v>
      </c>
      <c r="BM99" s="1" t="s">
        <v>74</v>
      </c>
      <c r="BN99" s="1" t="s">
        <v>74</v>
      </c>
      <c r="BO99" s="1" t="s">
        <v>114</v>
      </c>
      <c r="BP99" s="1" t="s">
        <v>74</v>
      </c>
      <c r="BQ99" s="1" t="s">
        <v>74</v>
      </c>
      <c r="BR99" s="1" t="s">
        <v>74</v>
      </c>
      <c r="BS99" s="1" t="s">
        <v>1093</v>
      </c>
      <c r="BT99" s="1" t="str">
        <f>HYPERLINK("https%3A%2F%2Fwww.webofscience.com%2Fwos%2Fwoscc%2Ffull-record%2FWOS:001569257100008","View Full Record in Web of Science")</f>
        <v>View Full Record in Web of Science</v>
      </c>
    </row>
    <row r="100" ht="12.75" customHeight="1">
      <c r="A100" s="1" t="s">
        <v>72</v>
      </c>
      <c r="B100" s="1" t="s">
        <v>1094</v>
      </c>
      <c r="C100" s="1" t="s">
        <v>74</v>
      </c>
      <c r="D100" s="1" t="s">
        <v>74</v>
      </c>
      <c r="E100" s="1" t="s">
        <v>74</v>
      </c>
      <c r="F100" s="1" t="s">
        <v>1095</v>
      </c>
      <c r="G100" s="1" t="s">
        <v>74</v>
      </c>
      <c r="H100" s="1" t="s">
        <v>74</v>
      </c>
      <c r="I100" s="1" t="s">
        <v>1096</v>
      </c>
      <c r="J100" s="1" t="s">
        <v>239</v>
      </c>
      <c r="K100" s="1" t="s">
        <v>74</v>
      </c>
      <c r="L100" s="1" t="s">
        <v>74</v>
      </c>
      <c r="M100" s="1" t="s">
        <v>74</v>
      </c>
      <c r="N100" s="1" t="s">
        <v>78</v>
      </c>
      <c r="O100" s="1" t="s">
        <v>74</v>
      </c>
      <c r="P100" s="1" t="s">
        <v>74</v>
      </c>
      <c r="Q100" s="1" t="s">
        <v>74</v>
      </c>
      <c r="R100" s="1" t="s">
        <v>74</v>
      </c>
      <c r="S100" s="1" t="s">
        <v>74</v>
      </c>
      <c r="T100" s="1" t="s">
        <v>1097</v>
      </c>
      <c r="U100" s="1" t="s">
        <v>74</v>
      </c>
      <c r="V100" s="1" t="s">
        <v>1098</v>
      </c>
      <c r="W100" s="1" t="s">
        <v>74</v>
      </c>
      <c r="X100" s="1" t="s">
        <v>74</v>
      </c>
      <c r="Y100" s="1" t="s">
        <v>74</v>
      </c>
      <c r="Z100" s="1" t="s">
        <v>74</v>
      </c>
      <c r="AA100" s="1" t="s">
        <v>74</v>
      </c>
      <c r="AB100" s="1" t="s">
        <v>74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242</v>
      </c>
      <c r="AP100" s="1" t="s">
        <v>74</v>
      </c>
      <c r="AQ100" s="1" t="s">
        <v>74</v>
      </c>
      <c r="AR100" s="1" t="s">
        <v>74</v>
      </c>
      <c r="AS100" s="1" t="s">
        <v>74</v>
      </c>
      <c r="AT100" s="1" t="s">
        <v>357</v>
      </c>
      <c r="AU100" s="1">
        <v>2024.0</v>
      </c>
      <c r="AV100" s="1">
        <v>13.0</v>
      </c>
      <c r="AW100" s="1">
        <v>19.0</v>
      </c>
      <c r="AX100" s="1" t="s">
        <v>74</v>
      </c>
      <c r="AY100" s="1" t="s">
        <v>74</v>
      </c>
      <c r="AZ100" s="1" t="s">
        <v>74</v>
      </c>
      <c r="BA100" s="1" t="s">
        <v>74</v>
      </c>
      <c r="BB100" s="1" t="s">
        <v>74</v>
      </c>
      <c r="BC100" s="1" t="s">
        <v>74</v>
      </c>
      <c r="BD100" s="1">
        <v>3876.0</v>
      </c>
      <c r="BE100" s="1" t="s">
        <v>1099</v>
      </c>
      <c r="BF100" s="2" t="str">
        <f>HYPERLINK("http://dx.doi.org/10.3390/electronics13193876","http://dx.doi.org/10.3390/electronics13193876")</f>
        <v>http://dx.doi.org/10.3390/electronics13193876</v>
      </c>
      <c r="BG100" s="1" t="s">
        <v>74</v>
      </c>
      <c r="BH100" s="1" t="s">
        <v>74</v>
      </c>
      <c r="BI100" s="1" t="s">
        <v>74</v>
      </c>
      <c r="BJ100" s="1" t="s">
        <v>74</v>
      </c>
      <c r="BK100" s="1" t="s">
        <v>74</v>
      </c>
      <c r="BL100" s="1" t="s">
        <v>244</v>
      </c>
      <c r="BM100" s="1" t="s">
        <v>74</v>
      </c>
      <c r="BN100" s="1" t="s">
        <v>74</v>
      </c>
      <c r="BO100" s="1" t="s">
        <v>163</v>
      </c>
      <c r="BP100" s="1" t="s">
        <v>74</v>
      </c>
      <c r="BQ100" s="1" t="s">
        <v>74</v>
      </c>
      <c r="BR100" s="1" t="s">
        <v>74</v>
      </c>
      <c r="BS100" s="1" t="s">
        <v>1100</v>
      </c>
      <c r="BT100" s="1" t="str">
        <f>HYPERLINK("https%3A%2F%2Fwww.webofscience.com%2Fwos%2Fwoscc%2Ffull-record%2FWOS:001331858800001","View Full Record in Web of Science")</f>
        <v>View Full Record in Web of Science</v>
      </c>
    </row>
    <row r="101" ht="12.75" customHeight="1">
      <c r="A101" s="1" t="s">
        <v>72</v>
      </c>
      <c r="B101" s="1" t="s">
        <v>1101</v>
      </c>
      <c r="C101" s="1" t="s">
        <v>74</v>
      </c>
      <c r="D101" s="1" t="s">
        <v>74</v>
      </c>
      <c r="E101" s="1" t="s">
        <v>74</v>
      </c>
      <c r="F101" s="1" t="s">
        <v>1102</v>
      </c>
      <c r="G101" s="1" t="s">
        <v>74</v>
      </c>
      <c r="H101" s="1" t="s">
        <v>74</v>
      </c>
      <c r="I101" s="1" t="s">
        <v>1103</v>
      </c>
      <c r="J101" s="1" t="s">
        <v>1104</v>
      </c>
      <c r="K101" s="1" t="s">
        <v>74</v>
      </c>
      <c r="L101" s="1" t="s">
        <v>74</v>
      </c>
      <c r="M101" s="1" t="s">
        <v>74</v>
      </c>
      <c r="N101" s="1" t="s">
        <v>78</v>
      </c>
      <c r="O101" s="1" t="s">
        <v>74</v>
      </c>
      <c r="P101" s="1" t="s">
        <v>74</v>
      </c>
      <c r="Q101" s="1" t="s">
        <v>74</v>
      </c>
      <c r="R101" s="1" t="s">
        <v>74</v>
      </c>
      <c r="S101" s="1" t="s">
        <v>74</v>
      </c>
      <c r="T101" s="1" t="s">
        <v>1105</v>
      </c>
      <c r="U101" s="1" t="s">
        <v>1106</v>
      </c>
      <c r="V101" s="1" t="s">
        <v>1107</v>
      </c>
      <c r="W101" s="1" t="s">
        <v>74</v>
      </c>
      <c r="X101" s="1" t="s">
        <v>74</v>
      </c>
      <c r="Y101" s="1" t="s">
        <v>74</v>
      </c>
      <c r="Z101" s="1" t="s">
        <v>74</v>
      </c>
      <c r="AA101" s="1" t="s">
        <v>74</v>
      </c>
      <c r="AB101" s="1" t="s">
        <v>74</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74</v>
      </c>
      <c r="AP101" s="1" t="s">
        <v>1108</v>
      </c>
      <c r="AQ101" s="1" t="s">
        <v>74</v>
      </c>
      <c r="AR101" s="1" t="s">
        <v>74</v>
      </c>
      <c r="AS101" s="1" t="s">
        <v>74</v>
      </c>
      <c r="AT101" s="1" t="s">
        <v>1109</v>
      </c>
      <c r="AU101" s="1">
        <v>2025.0</v>
      </c>
      <c r="AV101" s="1">
        <v>4.0</v>
      </c>
      <c r="AW101" s="1">
        <v>4.0</v>
      </c>
      <c r="AX101" s="1" t="s">
        <v>74</v>
      </c>
      <c r="AY101" s="1" t="s">
        <v>74</v>
      </c>
      <c r="AZ101" s="1" t="s">
        <v>74</v>
      </c>
      <c r="BA101" s="1" t="s">
        <v>74</v>
      </c>
      <c r="BB101" s="1" t="s">
        <v>74</v>
      </c>
      <c r="BC101" s="1" t="s">
        <v>74</v>
      </c>
      <c r="BD101" s="1">
        <v>53.0</v>
      </c>
      <c r="BE101" s="1" t="s">
        <v>1110</v>
      </c>
      <c r="BF101" s="2" t="str">
        <f>HYPERLINK("http://dx.doi.org/10.3390/fintech4040053","http://dx.doi.org/10.3390/fintech4040053")</f>
        <v>http://dx.doi.org/10.3390/fintech4040053</v>
      </c>
      <c r="BG101" s="1" t="s">
        <v>74</v>
      </c>
      <c r="BH101" s="1" t="s">
        <v>74</v>
      </c>
      <c r="BI101" s="1" t="s">
        <v>74</v>
      </c>
      <c r="BJ101" s="1" t="s">
        <v>74</v>
      </c>
      <c r="BK101" s="1" t="s">
        <v>74</v>
      </c>
      <c r="BL101" s="1" t="s">
        <v>1111</v>
      </c>
      <c r="BM101" s="1" t="s">
        <v>74</v>
      </c>
      <c r="BN101" s="1" t="s">
        <v>74</v>
      </c>
      <c r="BO101" s="1" t="s">
        <v>163</v>
      </c>
      <c r="BP101" s="1" t="s">
        <v>74</v>
      </c>
      <c r="BQ101" s="1" t="s">
        <v>74</v>
      </c>
      <c r="BR101" s="1" t="s">
        <v>74</v>
      </c>
      <c r="BS101" s="1" t="s">
        <v>1112</v>
      </c>
      <c r="BT101" s="1" t="str">
        <f>HYPERLINK("https%3A%2F%2Fwww.webofscience.com%2Fwos%2Fwoscc%2Ffull-record%2FWOS:001647164700001","View Full Record in Web of Science")</f>
        <v>View Full Record in Web of Science</v>
      </c>
    </row>
    <row r="102" ht="12.75" customHeight="1">
      <c r="A102" s="1" t="s">
        <v>72</v>
      </c>
      <c r="B102" s="1" t="s">
        <v>1113</v>
      </c>
      <c r="C102" s="1" t="s">
        <v>74</v>
      </c>
      <c r="D102" s="1" t="s">
        <v>74</v>
      </c>
      <c r="E102" s="1" t="s">
        <v>74</v>
      </c>
      <c r="F102" s="1" t="s">
        <v>1114</v>
      </c>
      <c r="G102" s="1" t="s">
        <v>74</v>
      </c>
      <c r="H102" s="1" t="s">
        <v>74</v>
      </c>
      <c r="I102" s="1" t="s">
        <v>1115</v>
      </c>
      <c r="J102" s="1" t="s">
        <v>1116</v>
      </c>
      <c r="K102" s="1" t="s">
        <v>74</v>
      </c>
      <c r="L102" s="1" t="s">
        <v>74</v>
      </c>
      <c r="M102" s="1" t="s">
        <v>74</v>
      </c>
      <c r="N102" s="1" t="s">
        <v>78</v>
      </c>
      <c r="O102" s="1" t="s">
        <v>74</v>
      </c>
      <c r="P102" s="1" t="s">
        <v>74</v>
      </c>
      <c r="Q102" s="1" t="s">
        <v>74</v>
      </c>
      <c r="R102" s="1" t="s">
        <v>74</v>
      </c>
      <c r="S102" s="1" t="s">
        <v>74</v>
      </c>
      <c r="T102" s="1" t="s">
        <v>1117</v>
      </c>
      <c r="U102" s="1" t="s">
        <v>74</v>
      </c>
      <c r="V102" s="1" t="s">
        <v>1118</v>
      </c>
      <c r="W102" s="1" t="s">
        <v>74</v>
      </c>
      <c r="X102" s="1" t="s">
        <v>74</v>
      </c>
      <c r="Y102" s="1" t="s">
        <v>74</v>
      </c>
      <c r="Z102" s="1" t="s">
        <v>74</v>
      </c>
      <c r="AA102" s="1" t="s">
        <v>74</v>
      </c>
      <c r="AB102" s="1" t="s">
        <v>74</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1119</v>
      </c>
      <c r="AP102" s="1" t="s">
        <v>1120</v>
      </c>
      <c r="AQ102" s="1" t="s">
        <v>74</v>
      </c>
      <c r="AR102" s="1" t="s">
        <v>74</v>
      </c>
      <c r="AS102" s="1" t="s">
        <v>74</v>
      </c>
      <c r="AT102" s="1" t="s">
        <v>357</v>
      </c>
      <c r="AU102" s="1">
        <v>2025.0</v>
      </c>
      <c r="AV102" s="1">
        <v>24.0</v>
      </c>
      <c r="AW102" s="1">
        <v>10.0</v>
      </c>
      <c r="AX102" s="1" t="s">
        <v>74</v>
      </c>
      <c r="AY102" s="1" t="s">
        <v>74</v>
      </c>
      <c r="AZ102" s="1" t="s">
        <v>74</v>
      </c>
      <c r="BA102" s="1" t="s">
        <v>74</v>
      </c>
      <c r="BB102" s="1">
        <v>9791.0</v>
      </c>
      <c r="BC102" s="1">
        <v>9805.0</v>
      </c>
      <c r="BD102" s="1" t="s">
        <v>74</v>
      </c>
      <c r="BE102" s="1" t="s">
        <v>1121</v>
      </c>
      <c r="BF102" s="2" t="str">
        <f>HYPERLINK("http://dx.doi.org/10.1109/TMC.2025.3564163","http://dx.doi.org/10.1109/TMC.2025.3564163")</f>
        <v>http://dx.doi.org/10.1109/TMC.2025.3564163</v>
      </c>
      <c r="BG102" s="1" t="s">
        <v>74</v>
      </c>
      <c r="BH102" s="1" t="s">
        <v>74</v>
      </c>
      <c r="BI102" s="1" t="s">
        <v>74</v>
      </c>
      <c r="BJ102" s="1" t="s">
        <v>74</v>
      </c>
      <c r="BK102" s="1" t="s">
        <v>74</v>
      </c>
      <c r="BL102" s="1" t="s">
        <v>394</v>
      </c>
      <c r="BM102" s="1" t="s">
        <v>74</v>
      </c>
      <c r="BN102" s="1" t="s">
        <v>74</v>
      </c>
      <c r="BO102" s="1" t="s">
        <v>74</v>
      </c>
      <c r="BP102" s="1" t="s">
        <v>74</v>
      </c>
      <c r="BQ102" s="1" t="s">
        <v>74</v>
      </c>
      <c r="BR102" s="1" t="s">
        <v>74</v>
      </c>
      <c r="BS102" s="1" t="s">
        <v>1122</v>
      </c>
      <c r="BT102" s="1" t="str">
        <f>HYPERLINK("https%3A%2F%2Fwww.webofscience.com%2Fwos%2Fwoscc%2Ffull-record%2FWOS:001570483600004","View Full Record in Web of Science")</f>
        <v>View Full Record in Web of Science</v>
      </c>
    </row>
    <row r="103" ht="12.75" customHeight="1">
      <c r="A103" s="1" t="s">
        <v>72</v>
      </c>
      <c r="B103" s="1" t="s">
        <v>1123</v>
      </c>
      <c r="C103" s="1" t="s">
        <v>74</v>
      </c>
      <c r="D103" s="1" t="s">
        <v>74</v>
      </c>
      <c r="E103" s="1" t="s">
        <v>74</v>
      </c>
      <c r="F103" s="1" t="s">
        <v>1124</v>
      </c>
      <c r="G103" s="1" t="s">
        <v>74</v>
      </c>
      <c r="H103" s="1" t="s">
        <v>74</v>
      </c>
      <c r="I103" s="1" t="s">
        <v>1125</v>
      </c>
      <c r="J103" s="1" t="s">
        <v>320</v>
      </c>
      <c r="K103" s="1" t="s">
        <v>74</v>
      </c>
      <c r="L103" s="1" t="s">
        <v>74</v>
      </c>
      <c r="M103" s="1" t="s">
        <v>74</v>
      </c>
      <c r="N103" s="1" t="s">
        <v>78</v>
      </c>
      <c r="O103" s="1" t="s">
        <v>74</v>
      </c>
      <c r="P103" s="1" t="s">
        <v>74</v>
      </c>
      <c r="Q103" s="1" t="s">
        <v>74</v>
      </c>
      <c r="R103" s="1" t="s">
        <v>74</v>
      </c>
      <c r="S103" s="1" t="s">
        <v>74</v>
      </c>
      <c r="T103" s="1" t="s">
        <v>1126</v>
      </c>
      <c r="U103" s="1" t="s">
        <v>1127</v>
      </c>
      <c r="V103" s="1" t="s">
        <v>1128</v>
      </c>
      <c r="W103" s="1" t="s">
        <v>74</v>
      </c>
      <c r="X103" s="1" t="s">
        <v>74</v>
      </c>
      <c r="Y103" s="1" t="s">
        <v>74</v>
      </c>
      <c r="Z103" s="1" t="s">
        <v>74</v>
      </c>
      <c r="AA103" s="1" t="s">
        <v>74</v>
      </c>
      <c r="AB103" s="1" t="s">
        <v>74</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74</v>
      </c>
      <c r="AP103" s="1" t="s">
        <v>324</v>
      </c>
      <c r="AQ103" s="1" t="s">
        <v>74</v>
      </c>
      <c r="AR103" s="1" t="s">
        <v>74</v>
      </c>
      <c r="AS103" s="1" t="s">
        <v>74</v>
      </c>
      <c r="AT103" s="1" t="s">
        <v>1129</v>
      </c>
      <c r="AU103" s="1">
        <v>2025.0</v>
      </c>
      <c r="AV103" s="1">
        <v>9.0</v>
      </c>
      <c r="AW103" s="1">
        <v>11.0</v>
      </c>
      <c r="AX103" s="1" t="s">
        <v>74</v>
      </c>
      <c r="AY103" s="1" t="s">
        <v>74</v>
      </c>
      <c r="AZ103" s="1" t="s">
        <v>74</v>
      </c>
      <c r="BA103" s="1" t="s">
        <v>74</v>
      </c>
      <c r="BB103" s="1" t="s">
        <v>74</v>
      </c>
      <c r="BC103" s="1" t="s">
        <v>74</v>
      </c>
      <c r="BD103" s="1">
        <v>287.0</v>
      </c>
      <c r="BE103" s="1" t="s">
        <v>1130</v>
      </c>
      <c r="BF103" s="2" t="str">
        <f>HYPERLINK("http://dx.doi.org/10.3390/bdcc9110287","http://dx.doi.org/10.3390/bdcc9110287")</f>
        <v>http://dx.doi.org/10.3390/bdcc9110287</v>
      </c>
      <c r="BG103" s="1" t="s">
        <v>74</v>
      </c>
      <c r="BH103" s="1" t="s">
        <v>74</v>
      </c>
      <c r="BI103" s="1" t="s">
        <v>74</v>
      </c>
      <c r="BJ103" s="1" t="s">
        <v>74</v>
      </c>
      <c r="BK103" s="1" t="s">
        <v>74</v>
      </c>
      <c r="BL103" s="1" t="s">
        <v>174</v>
      </c>
      <c r="BM103" s="1" t="s">
        <v>74</v>
      </c>
      <c r="BN103" s="1" t="s">
        <v>74</v>
      </c>
      <c r="BO103" s="1" t="s">
        <v>163</v>
      </c>
      <c r="BP103" s="1" t="s">
        <v>74</v>
      </c>
      <c r="BQ103" s="1" t="s">
        <v>74</v>
      </c>
      <c r="BR103" s="1" t="s">
        <v>74</v>
      </c>
      <c r="BS103" s="1" t="s">
        <v>1131</v>
      </c>
      <c r="BT103" s="1" t="str">
        <f>HYPERLINK("https%3A%2F%2Fwww.webofscience.com%2Fwos%2Fwoscc%2Ffull-record%2FWOS:001623977300001","View Full Record in Web of Science")</f>
        <v>View Full Record in Web of Science</v>
      </c>
    </row>
    <row r="104" ht="12.75" customHeight="1">
      <c r="A104" s="1" t="s">
        <v>72</v>
      </c>
      <c r="B104" s="1" t="s">
        <v>1132</v>
      </c>
      <c r="C104" s="1" t="s">
        <v>74</v>
      </c>
      <c r="D104" s="1" t="s">
        <v>74</v>
      </c>
      <c r="E104" s="1" t="s">
        <v>74</v>
      </c>
      <c r="F104" s="1" t="s">
        <v>1133</v>
      </c>
      <c r="G104" s="1" t="s">
        <v>74</v>
      </c>
      <c r="H104" s="1" t="s">
        <v>74</v>
      </c>
      <c r="I104" s="1" t="s">
        <v>1134</v>
      </c>
      <c r="J104" s="1" t="s">
        <v>1135</v>
      </c>
      <c r="K104" s="1" t="s">
        <v>74</v>
      </c>
      <c r="L104" s="1" t="s">
        <v>74</v>
      </c>
      <c r="M104" s="1" t="s">
        <v>74</v>
      </c>
      <c r="N104" s="1" t="s">
        <v>78</v>
      </c>
      <c r="O104" s="1" t="s">
        <v>74</v>
      </c>
      <c r="P104" s="1" t="s">
        <v>74</v>
      </c>
      <c r="Q104" s="1" t="s">
        <v>74</v>
      </c>
      <c r="R104" s="1" t="s">
        <v>74</v>
      </c>
      <c r="S104" s="1" t="s">
        <v>74</v>
      </c>
      <c r="T104" s="1" t="s">
        <v>1136</v>
      </c>
      <c r="U104" s="1" t="s">
        <v>1137</v>
      </c>
      <c r="V104" s="1" t="s">
        <v>1138</v>
      </c>
      <c r="W104" s="1" t="s">
        <v>74</v>
      </c>
      <c r="X104" s="1" t="s">
        <v>74</v>
      </c>
      <c r="Y104" s="1" t="s">
        <v>74</v>
      </c>
      <c r="Z104" s="1" t="s">
        <v>74</v>
      </c>
      <c r="AA104" s="1" t="s">
        <v>74</v>
      </c>
      <c r="AB104" s="1" t="s">
        <v>74</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1139</v>
      </c>
      <c r="AP104" s="1" t="s">
        <v>1140</v>
      </c>
      <c r="AQ104" s="1" t="s">
        <v>74</v>
      </c>
      <c r="AR104" s="1" t="s">
        <v>74</v>
      </c>
      <c r="AS104" s="1" t="s">
        <v>74</v>
      </c>
      <c r="AT104" s="1" t="s">
        <v>688</v>
      </c>
      <c r="AU104" s="1">
        <v>2025.0</v>
      </c>
      <c r="AV104" s="1">
        <v>29.0</v>
      </c>
      <c r="AW104" s="1" t="s">
        <v>74</v>
      </c>
      <c r="AX104" s="1" t="s">
        <v>74</v>
      </c>
      <c r="AY104" s="1" t="s">
        <v>74</v>
      </c>
      <c r="AZ104" s="1" t="s">
        <v>74</v>
      </c>
      <c r="BA104" s="1" t="s">
        <v>74</v>
      </c>
      <c r="BB104" s="1" t="s">
        <v>74</v>
      </c>
      <c r="BC104" s="1" t="s">
        <v>74</v>
      </c>
      <c r="BD104" s="1">
        <v>100625.0</v>
      </c>
      <c r="BE104" s="1" t="s">
        <v>1141</v>
      </c>
      <c r="BF104" s="2" t="str">
        <f>HYPERLINK("http://dx.doi.org/10.1016/j.eij.2025.100625","http://dx.doi.org/10.1016/j.eij.2025.100625")</f>
        <v>http://dx.doi.org/10.1016/j.eij.2025.100625</v>
      </c>
      <c r="BG104" s="1" t="s">
        <v>74</v>
      </c>
      <c r="BH104" s="1" t="s">
        <v>314</v>
      </c>
      <c r="BI104" s="1" t="s">
        <v>74</v>
      </c>
      <c r="BJ104" s="1" t="s">
        <v>74</v>
      </c>
      <c r="BK104" s="1" t="s">
        <v>74</v>
      </c>
      <c r="BL104" s="1" t="s">
        <v>174</v>
      </c>
      <c r="BM104" s="1" t="s">
        <v>74</v>
      </c>
      <c r="BN104" s="1" t="s">
        <v>74</v>
      </c>
      <c r="BO104" s="1" t="s">
        <v>163</v>
      </c>
      <c r="BP104" s="1" t="s">
        <v>74</v>
      </c>
      <c r="BQ104" s="1" t="s">
        <v>74</v>
      </c>
      <c r="BR104" s="1" t="s">
        <v>74</v>
      </c>
      <c r="BS104" s="1" t="s">
        <v>1142</v>
      </c>
      <c r="BT104" s="1" t="str">
        <f>HYPERLINK("https%3A%2F%2Fwww.webofscience.com%2Fwos%2Fwoscc%2Ffull-record%2FWOS:001428772200001","View Full Record in Web of Science")</f>
        <v>View Full Record in Web of Science</v>
      </c>
    </row>
    <row r="105" ht="12.75" customHeight="1">
      <c r="A105" s="1" t="s">
        <v>72</v>
      </c>
      <c r="B105" s="1" t="s">
        <v>1143</v>
      </c>
      <c r="C105" s="1" t="s">
        <v>74</v>
      </c>
      <c r="D105" s="1" t="s">
        <v>74</v>
      </c>
      <c r="E105" s="1" t="s">
        <v>74</v>
      </c>
      <c r="F105" s="1" t="s">
        <v>1144</v>
      </c>
      <c r="G105" s="1" t="s">
        <v>74</v>
      </c>
      <c r="H105" s="1" t="s">
        <v>74</v>
      </c>
      <c r="I105" s="1" t="s">
        <v>1145</v>
      </c>
      <c r="J105" s="1" t="s">
        <v>342</v>
      </c>
      <c r="K105" s="1" t="s">
        <v>74</v>
      </c>
      <c r="L105" s="1" t="s">
        <v>74</v>
      </c>
      <c r="M105" s="1" t="s">
        <v>74</v>
      </c>
      <c r="N105" s="1" t="s">
        <v>78</v>
      </c>
      <c r="O105" s="1" t="s">
        <v>74</v>
      </c>
      <c r="P105" s="1" t="s">
        <v>74</v>
      </c>
      <c r="Q105" s="1" t="s">
        <v>74</v>
      </c>
      <c r="R105" s="1" t="s">
        <v>74</v>
      </c>
      <c r="S105" s="1" t="s">
        <v>74</v>
      </c>
      <c r="T105" s="1" t="s">
        <v>1146</v>
      </c>
      <c r="U105" s="1" t="s">
        <v>1147</v>
      </c>
      <c r="V105" s="1" t="s">
        <v>1148</v>
      </c>
      <c r="W105" s="1" t="s">
        <v>74</v>
      </c>
      <c r="X105" s="1" t="s">
        <v>74</v>
      </c>
      <c r="Y105" s="1" t="s">
        <v>74</v>
      </c>
      <c r="Z105" s="1" t="s">
        <v>74</v>
      </c>
      <c r="AA105" s="1" t="s">
        <v>74</v>
      </c>
      <c r="AB105" s="1" t="s">
        <v>74</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74</v>
      </c>
      <c r="AP105" s="1" t="s">
        <v>345</v>
      </c>
      <c r="AQ105" s="1" t="s">
        <v>74</v>
      </c>
      <c r="AR105" s="1" t="s">
        <v>74</v>
      </c>
      <c r="AS105" s="1" t="s">
        <v>74</v>
      </c>
      <c r="AT105" s="1" t="s">
        <v>225</v>
      </c>
      <c r="AU105" s="1">
        <v>2025.0</v>
      </c>
      <c r="AV105" s="1">
        <v>47.0</v>
      </c>
      <c r="AW105" s="1" t="s">
        <v>74</v>
      </c>
      <c r="AX105" s="1" t="s">
        <v>74</v>
      </c>
      <c r="AY105" s="1" t="s">
        <v>74</v>
      </c>
      <c r="AZ105" s="1" t="s">
        <v>74</v>
      </c>
      <c r="BA105" s="1" t="s">
        <v>74</v>
      </c>
      <c r="BB105" s="1" t="s">
        <v>74</v>
      </c>
      <c r="BC105" s="1" t="s">
        <v>74</v>
      </c>
      <c r="BD105" s="1">
        <v>100316.0</v>
      </c>
      <c r="BE105" s="1" t="s">
        <v>1149</v>
      </c>
      <c r="BF105" s="2" t="str">
        <f>HYPERLINK("http://dx.doi.org/10.1016/j.osnem.2025.100316","http://dx.doi.org/10.1016/j.osnem.2025.100316")</f>
        <v>http://dx.doi.org/10.1016/j.osnem.2025.100316</v>
      </c>
      <c r="BG105" s="1" t="s">
        <v>74</v>
      </c>
      <c r="BH105" s="1" t="s">
        <v>1150</v>
      </c>
      <c r="BI105" s="1" t="s">
        <v>74</v>
      </c>
      <c r="BJ105" s="1" t="s">
        <v>74</v>
      </c>
      <c r="BK105" s="1" t="s">
        <v>74</v>
      </c>
      <c r="BL105" s="1" t="s">
        <v>348</v>
      </c>
      <c r="BM105" s="1" t="s">
        <v>74</v>
      </c>
      <c r="BN105" s="1" t="s">
        <v>74</v>
      </c>
      <c r="BO105" s="1" t="s">
        <v>114</v>
      </c>
      <c r="BP105" s="1" t="s">
        <v>74</v>
      </c>
      <c r="BQ105" s="1" t="s">
        <v>74</v>
      </c>
      <c r="BR105" s="1" t="s">
        <v>74</v>
      </c>
      <c r="BS105" s="1" t="s">
        <v>1151</v>
      </c>
      <c r="BT105" s="1" t="str">
        <f>HYPERLINK("https%3A%2F%2Fwww.webofscience.com%2Fwos%2Fwoscc%2Ffull-record%2FWOS:001502058000001","View Full Record in Web of Science")</f>
        <v>View Full Record in Web of Science</v>
      </c>
    </row>
    <row r="106" ht="12.75" customHeight="1">
      <c r="A106" s="1" t="s">
        <v>72</v>
      </c>
      <c r="B106" s="1" t="s">
        <v>1152</v>
      </c>
      <c r="C106" s="1" t="s">
        <v>74</v>
      </c>
      <c r="D106" s="1" t="s">
        <v>74</v>
      </c>
      <c r="E106" s="1" t="s">
        <v>74</v>
      </c>
      <c r="F106" s="1" t="s">
        <v>1153</v>
      </c>
      <c r="G106" s="1" t="s">
        <v>74</v>
      </c>
      <c r="H106" s="1" t="s">
        <v>74</v>
      </c>
      <c r="I106" s="1" t="s">
        <v>1154</v>
      </c>
      <c r="J106" s="1" t="s">
        <v>1155</v>
      </c>
      <c r="K106" s="1" t="s">
        <v>74</v>
      </c>
      <c r="L106" s="1" t="s">
        <v>74</v>
      </c>
      <c r="M106" s="1" t="s">
        <v>74</v>
      </c>
      <c r="N106" s="1" t="s">
        <v>953</v>
      </c>
      <c r="O106" s="1" t="s">
        <v>74</v>
      </c>
      <c r="P106" s="1" t="s">
        <v>74</v>
      </c>
      <c r="Q106" s="1" t="s">
        <v>74</v>
      </c>
      <c r="R106" s="1" t="s">
        <v>74</v>
      </c>
      <c r="S106" s="1" t="s">
        <v>74</v>
      </c>
      <c r="T106" s="1" t="s">
        <v>1156</v>
      </c>
      <c r="U106" s="1" t="s">
        <v>74</v>
      </c>
      <c r="V106" s="1" t="s">
        <v>1157</v>
      </c>
      <c r="W106" s="1" t="s">
        <v>74</v>
      </c>
      <c r="X106" s="1" t="s">
        <v>74</v>
      </c>
      <c r="Y106" s="1" t="s">
        <v>74</v>
      </c>
      <c r="Z106" s="1" t="s">
        <v>74</v>
      </c>
      <c r="AA106" s="1" t="s">
        <v>74</v>
      </c>
      <c r="AB106" s="1" t="s">
        <v>74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1158</v>
      </c>
      <c r="AP106" s="1" t="s">
        <v>74</v>
      </c>
      <c r="AQ106" s="1" t="s">
        <v>74</v>
      </c>
      <c r="AR106" s="1" t="s">
        <v>74</v>
      </c>
      <c r="AS106" s="1" t="s">
        <v>74</v>
      </c>
      <c r="AT106" s="1" t="s">
        <v>1159</v>
      </c>
      <c r="AU106" s="1">
        <v>2025.0</v>
      </c>
      <c r="AV106" s="1" t="s">
        <v>74</v>
      </c>
      <c r="AW106" s="1" t="s">
        <v>74</v>
      </c>
      <c r="AX106" s="1" t="s">
        <v>74</v>
      </c>
      <c r="AY106" s="1" t="s">
        <v>74</v>
      </c>
      <c r="AZ106" s="1" t="s">
        <v>74</v>
      </c>
      <c r="BA106" s="1" t="s">
        <v>74</v>
      </c>
      <c r="BB106" s="1" t="s">
        <v>74</v>
      </c>
      <c r="BC106" s="1" t="s">
        <v>74</v>
      </c>
      <c r="BD106" s="1" t="s">
        <v>74</v>
      </c>
      <c r="BE106" s="1" t="s">
        <v>1160</v>
      </c>
      <c r="BF106" s="2" t="str">
        <f>HYPERLINK("http://dx.doi.org/10.1109/TCSS.2025.3636502","http://dx.doi.org/10.1109/TCSS.2025.3636502")</f>
        <v>http://dx.doi.org/10.1109/TCSS.2025.3636502</v>
      </c>
      <c r="BG106" s="1" t="s">
        <v>74</v>
      </c>
      <c r="BH106" s="1" t="s">
        <v>605</v>
      </c>
      <c r="BI106" s="1" t="s">
        <v>74</v>
      </c>
      <c r="BJ106" s="1" t="s">
        <v>74</v>
      </c>
      <c r="BK106" s="1" t="s">
        <v>74</v>
      </c>
      <c r="BL106" s="1" t="s">
        <v>174</v>
      </c>
      <c r="BM106" s="1" t="s">
        <v>74</v>
      </c>
      <c r="BN106" s="1" t="s">
        <v>74</v>
      </c>
      <c r="BO106" s="1" t="s">
        <v>74</v>
      </c>
      <c r="BP106" s="1" t="s">
        <v>74</v>
      </c>
      <c r="BQ106" s="1" t="s">
        <v>74</v>
      </c>
      <c r="BR106" s="1" t="s">
        <v>74</v>
      </c>
      <c r="BS106" s="1" t="s">
        <v>1161</v>
      </c>
      <c r="BT106" s="1" t="str">
        <f>HYPERLINK("https%3A%2F%2Fwww.webofscience.com%2Fwos%2Fwoscc%2Ffull-record%2FWOS:001643515700001","View Full Record in Web of Science")</f>
        <v>View Full Record in Web of Science</v>
      </c>
    </row>
    <row r="107" ht="12.75" customHeight="1">
      <c r="A107" s="1" t="s">
        <v>72</v>
      </c>
      <c r="B107" s="1" t="s">
        <v>1162</v>
      </c>
      <c r="C107" s="1" t="s">
        <v>74</v>
      </c>
      <c r="D107" s="1" t="s">
        <v>74</v>
      </c>
      <c r="E107" s="1" t="s">
        <v>74</v>
      </c>
      <c r="F107" s="1" t="s">
        <v>1163</v>
      </c>
      <c r="G107" s="1" t="s">
        <v>74</v>
      </c>
      <c r="H107" s="1" t="s">
        <v>74</v>
      </c>
      <c r="I107" s="1" t="s">
        <v>1164</v>
      </c>
      <c r="J107" s="1" t="s">
        <v>1165</v>
      </c>
      <c r="K107" s="1" t="s">
        <v>74</v>
      </c>
      <c r="L107" s="1" t="s">
        <v>74</v>
      </c>
      <c r="M107" s="1" t="s">
        <v>74</v>
      </c>
      <c r="N107" s="1" t="s">
        <v>78</v>
      </c>
      <c r="O107" s="1" t="s">
        <v>74</v>
      </c>
      <c r="P107" s="1" t="s">
        <v>74</v>
      </c>
      <c r="Q107" s="1" t="s">
        <v>74</v>
      </c>
      <c r="R107" s="1" t="s">
        <v>74</v>
      </c>
      <c r="S107" s="1" t="s">
        <v>74</v>
      </c>
      <c r="T107" s="1" t="s">
        <v>1166</v>
      </c>
      <c r="U107" s="1" t="s">
        <v>74</v>
      </c>
      <c r="V107" s="1" t="s">
        <v>1167</v>
      </c>
      <c r="W107" s="1" t="s">
        <v>74</v>
      </c>
      <c r="X107" s="1" t="s">
        <v>74</v>
      </c>
      <c r="Y107" s="1" t="s">
        <v>74</v>
      </c>
      <c r="Z107" s="1" t="s">
        <v>74</v>
      </c>
      <c r="AA107" s="1" t="s">
        <v>74</v>
      </c>
      <c r="AB107" s="1" t="s">
        <v>74</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1168</v>
      </c>
      <c r="AP107" s="1" t="s">
        <v>1169</v>
      </c>
      <c r="AQ107" s="1" t="s">
        <v>74</v>
      </c>
      <c r="AR107" s="1" t="s">
        <v>74</v>
      </c>
      <c r="AS107" s="1" t="s">
        <v>74</v>
      </c>
      <c r="AT107" s="1" t="s">
        <v>200</v>
      </c>
      <c r="AU107" s="1">
        <v>2025.0</v>
      </c>
      <c r="AV107" s="1">
        <v>9.0</v>
      </c>
      <c r="AW107" s="1">
        <v>4.0</v>
      </c>
      <c r="AX107" s="1" t="s">
        <v>74</v>
      </c>
      <c r="AY107" s="1" t="s">
        <v>74</v>
      </c>
      <c r="AZ107" s="1" t="s">
        <v>74</v>
      </c>
      <c r="BA107" s="1" t="s">
        <v>74</v>
      </c>
      <c r="BB107" s="1">
        <v>587.0</v>
      </c>
      <c r="BC107" s="1">
        <v>605.0</v>
      </c>
      <c r="BD107" s="1" t="s">
        <v>74</v>
      </c>
      <c r="BE107" s="1" t="s">
        <v>1170</v>
      </c>
      <c r="BF107" s="2" t="str">
        <f>HYPERLINK("http://dx.doi.org/10.1007/s41666-025-00210-y","http://dx.doi.org/10.1007/s41666-025-00210-y")</f>
        <v>http://dx.doi.org/10.1007/s41666-025-00210-y</v>
      </c>
      <c r="BG107" s="1" t="s">
        <v>74</v>
      </c>
      <c r="BH107" s="1" t="s">
        <v>276</v>
      </c>
      <c r="BI107" s="1" t="s">
        <v>74</v>
      </c>
      <c r="BJ107" s="1" t="s">
        <v>74</v>
      </c>
      <c r="BK107" s="1" t="s">
        <v>74</v>
      </c>
      <c r="BL107" s="1" t="s">
        <v>1171</v>
      </c>
      <c r="BM107" s="1" t="s">
        <v>74</v>
      </c>
      <c r="BN107" s="1" t="s">
        <v>74</v>
      </c>
      <c r="BO107" s="1" t="s">
        <v>74</v>
      </c>
      <c r="BP107" s="1" t="s">
        <v>74</v>
      </c>
      <c r="BQ107" s="1" t="s">
        <v>74</v>
      </c>
      <c r="BR107" s="1" t="s">
        <v>74</v>
      </c>
      <c r="BS107" s="1" t="s">
        <v>1172</v>
      </c>
      <c r="BT107" s="1" t="str">
        <f>HYPERLINK("https%3A%2F%2Fwww.webofscience.com%2Fwos%2Fwoscc%2Ffull-record%2FWOS:001542655400001","View Full Record in Web of Science")</f>
        <v>View Full Record in Web of Science</v>
      </c>
    </row>
    <row r="108" ht="12.75" customHeight="1">
      <c r="A108" s="1" t="s">
        <v>72</v>
      </c>
      <c r="B108" s="1" t="s">
        <v>1173</v>
      </c>
      <c r="C108" s="1" t="s">
        <v>74</v>
      </c>
      <c r="D108" s="1" t="s">
        <v>74</v>
      </c>
      <c r="E108" s="1" t="s">
        <v>74</v>
      </c>
      <c r="F108" s="1" t="s">
        <v>1174</v>
      </c>
      <c r="G108" s="1" t="s">
        <v>74</v>
      </c>
      <c r="H108" s="1" t="s">
        <v>74</v>
      </c>
      <c r="I108" s="1" t="s">
        <v>1175</v>
      </c>
      <c r="J108" s="1" t="s">
        <v>985</v>
      </c>
      <c r="K108" s="1" t="s">
        <v>74</v>
      </c>
      <c r="L108" s="1" t="s">
        <v>74</v>
      </c>
      <c r="M108" s="1" t="s">
        <v>74</v>
      </c>
      <c r="N108" s="1" t="s">
        <v>78</v>
      </c>
      <c r="O108" s="1" t="s">
        <v>74</v>
      </c>
      <c r="P108" s="1" t="s">
        <v>74</v>
      </c>
      <c r="Q108" s="1" t="s">
        <v>74</v>
      </c>
      <c r="R108" s="1" t="s">
        <v>74</v>
      </c>
      <c r="S108" s="1" t="s">
        <v>74</v>
      </c>
      <c r="T108" s="1" t="s">
        <v>1176</v>
      </c>
      <c r="U108" s="1" t="s">
        <v>74</v>
      </c>
      <c r="V108" s="1" t="s">
        <v>1177</v>
      </c>
      <c r="W108" s="1" t="s">
        <v>74</v>
      </c>
      <c r="X108" s="1" t="s">
        <v>74</v>
      </c>
      <c r="Y108" s="1" t="s">
        <v>74</v>
      </c>
      <c r="Z108" s="1" t="s">
        <v>74</v>
      </c>
      <c r="AA108" s="1" t="s">
        <v>74</v>
      </c>
      <c r="AB108" s="1" t="s">
        <v>74</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988</v>
      </c>
      <c r="AP108" s="1" t="s">
        <v>989</v>
      </c>
      <c r="AQ108" s="1" t="s">
        <v>74</v>
      </c>
      <c r="AR108" s="1" t="s">
        <v>74</v>
      </c>
      <c r="AS108" s="1" t="s">
        <v>74</v>
      </c>
      <c r="AT108" s="1" t="s">
        <v>74</v>
      </c>
      <c r="AU108" s="1">
        <v>2025.0</v>
      </c>
      <c r="AV108" s="1">
        <v>16.0</v>
      </c>
      <c r="AW108" s="1">
        <v>3.0</v>
      </c>
      <c r="AX108" s="1" t="s">
        <v>74</v>
      </c>
      <c r="AY108" s="1" t="s">
        <v>74</v>
      </c>
      <c r="AZ108" s="1" t="s">
        <v>74</v>
      </c>
      <c r="BA108" s="1" t="s">
        <v>74</v>
      </c>
      <c r="BB108" s="1">
        <v>324.0</v>
      </c>
      <c r="BC108" s="1">
        <v>333.0</v>
      </c>
      <c r="BD108" s="1" t="s">
        <v>74</v>
      </c>
      <c r="BE108" s="1" t="s">
        <v>74</v>
      </c>
      <c r="BF108" s="1" t="s">
        <v>74</v>
      </c>
      <c r="BG108" s="1" t="s">
        <v>74</v>
      </c>
      <c r="BH108" s="1" t="s">
        <v>74</v>
      </c>
      <c r="BI108" s="1" t="s">
        <v>74</v>
      </c>
      <c r="BJ108" s="1" t="s">
        <v>74</v>
      </c>
      <c r="BK108" s="1" t="s">
        <v>74</v>
      </c>
      <c r="BL108" s="1" t="s">
        <v>174</v>
      </c>
      <c r="BM108" s="1" t="s">
        <v>74</v>
      </c>
      <c r="BN108" s="1" t="s">
        <v>74</v>
      </c>
      <c r="BO108" s="1" t="s">
        <v>74</v>
      </c>
      <c r="BP108" s="1" t="s">
        <v>74</v>
      </c>
      <c r="BQ108" s="1" t="s">
        <v>74</v>
      </c>
      <c r="BR108" s="1" t="s">
        <v>74</v>
      </c>
      <c r="BS108" s="1" t="s">
        <v>1178</v>
      </c>
      <c r="BT108" s="1" t="str">
        <f>HYPERLINK("https%3A%2F%2Fwww.webofscience.com%2Fwos%2Fwoscc%2Ffull-record%2FWOS:001462759800001","View Full Record in Web of Science")</f>
        <v>View Full Record in Web of Science</v>
      </c>
    </row>
    <row r="109" ht="12.75" customHeight="1">
      <c r="A109" s="1" t="s">
        <v>72</v>
      </c>
      <c r="B109" s="1" t="s">
        <v>1179</v>
      </c>
      <c r="C109" s="1" t="s">
        <v>74</v>
      </c>
      <c r="D109" s="1" t="s">
        <v>74</v>
      </c>
      <c r="E109" s="1" t="s">
        <v>74</v>
      </c>
      <c r="F109" s="1" t="s">
        <v>1180</v>
      </c>
      <c r="G109" s="1" t="s">
        <v>74</v>
      </c>
      <c r="H109" s="1" t="s">
        <v>74</v>
      </c>
      <c r="I109" s="1" t="s">
        <v>1181</v>
      </c>
      <c r="J109" s="1" t="s">
        <v>320</v>
      </c>
      <c r="K109" s="1" t="s">
        <v>74</v>
      </c>
      <c r="L109" s="1" t="s">
        <v>74</v>
      </c>
      <c r="M109" s="1" t="s">
        <v>74</v>
      </c>
      <c r="N109" s="1" t="s">
        <v>78</v>
      </c>
      <c r="O109" s="1" t="s">
        <v>74</v>
      </c>
      <c r="P109" s="1" t="s">
        <v>74</v>
      </c>
      <c r="Q109" s="1" t="s">
        <v>74</v>
      </c>
      <c r="R109" s="1" t="s">
        <v>74</v>
      </c>
      <c r="S109" s="1" t="s">
        <v>74</v>
      </c>
      <c r="T109" s="1" t="s">
        <v>1182</v>
      </c>
      <c r="U109" s="1" t="s">
        <v>74</v>
      </c>
      <c r="V109" s="1" t="s">
        <v>1183</v>
      </c>
      <c r="W109" s="1" t="s">
        <v>74</v>
      </c>
      <c r="X109" s="1" t="s">
        <v>74</v>
      </c>
      <c r="Y109" s="1" t="s">
        <v>74</v>
      </c>
      <c r="Z109" s="1" t="s">
        <v>74</v>
      </c>
      <c r="AA109" s="1" t="s">
        <v>74</v>
      </c>
      <c r="AB109" s="1" t="s">
        <v>74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74</v>
      </c>
      <c r="AP109" s="1" t="s">
        <v>324</v>
      </c>
      <c r="AQ109" s="1" t="s">
        <v>74</v>
      </c>
      <c r="AR109" s="1" t="s">
        <v>74</v>
      </c>
      <c r="AS109" s="1" t="s">
        <v>74</v>
      </c>
      <c r="AT109" s="1" t="s">
        <v>1184</v>
      </c>
      <c r="AU109" s="1">
        <v>2025.0</v>
      </c>
      <c r="AV109" s="1">
        <v>9.0</v>
      </c>
      <c r="AW109" s="1">
        <v>5.0</v>
      </c>
      <c r="AX109" s="1" t="s">
        <v>74</v>
      </c>
      <c r="AY109" s="1" t="s">
        <v>74</v>
      </c>
      <c r="AZ109" s="1" t="s">
        <v>74</v>
      </c>
      <c r="BA109" s="1" t="s">
        <v>74</v>
      </c>
      <c r="BB109" s="1" t="s">
        <v>74</v>
      </c>
      <c r="BC109" s="1" t="s">
        <v>74</v>
      </c>
      <c r="BD109" s="1">
        <v>116.0</v>
      </c>
      <c r="BE109" s="1" t="s">
        <v>1185</v>
      </c>
      <c r="BF109" s="2" t="str">
        <f>HYPERLINK("http://dx.doi.org/10.3390/bdcc9050116","http://dx.doi.org/10.3390/bdcc9050116")</f>
        <v>http://dx.doi.org/10.3390/bdcc9050116</v>
      </c>
      <c r="BG109" s="1" t="s">
        <v>74</v>
      </c>
      <c r="BH109" s="1" t="s">
        <v>74</v>
      </c>
      <c r="BI109" s="1" t="s">
        <v>74</v>
      </c>
      <c r="BJ109" s="1" t="s">
        <v>74</v>
      </c>
      <c r="BK109" s="1" t="s">
        <v>74</v>
      </c>
      <c r="BL109" s="1" t="s">
        <v>174</v>
      </c>
      <c r="BM109" s="1" t="s">
        <v>74</v>
      </c>
      <c r="BN109" s="1" t="s">
        <v>74</v>
      </c>
      <c r="BO109" s="1" t="s">
        <v>163</v>
      </c>
      <c r="BP109" s="1" t="s">
        <v>74</v>
      </c>
      <c r="BQ109" s="1" t="s">
        <v>74</v>
      </c>
      <c r="BR109" s="1" t="s">
        <v>74</v>
      </c>
      <c r="BS109" s="1" t="s">
        <v>1186</v>
      </c>
      <c r="BT109" s="1" t="str">
        <f>HYPERLINK("https%3A%2F%2Fwww.webofscience.com%2Fwos%2Fwoscc%2Ffull-record%2FWOS:001496575300001","View Full Record in Web of Science")</f>
        <v>View Full Record in Web of Science</v>
      </c>
    </row>
    <row r="110" ht="12.75" customHeight="1">
      <c r="A110" s="1" t="s">
        <v>72</v>
      </c>
      <c r="B110" s="1" t="s">
        <v>1187</v>
      </c>
      <c r="C110" s="1" t="s">
        <v>74</v>
      </c>
      <c r="D110" s="1" t="s">
        <v>74</v>
      </c>
      <c r="E110" s="1" t="s">
        <v>74</v>
      </c>
      <c r="F110" s="1" t="s">
        <v>1188</v>
      </c>
      <c r="G110" s="1" t="s">
        <v>74</v>
      </c>
      <c r="H110" s="1" t="s">
        <v>74</v>
      </c>
      <c r="I110" s="1" t="s">
        <v>1189</v>
      </c>
      <c r="J110" s="1" t="s">
        <v>569</v>
      </c>
      <c r="K110" s="1" t="s">
        <v>74</v>
      </c>
      <c r="L110" s="1" t="s">
        <v>74</v>
      </c>
      <c r="M110" s="1" t="s">
        <v>74</v>
      </c>
      <c r="N110" s="1" t="s">
        <v>78</v>
      </c>
      <c r="O110" s="1" t="s">
        <v>74</v>
      </c>
      <c r="P110" s="1" t="s">
        <v>74</v>
      </c>
      <c r="Q110" s="1" t="s">
        <v>74</v>
      </c>
      <c r="R110" s="1" t="s">
        <v>74</v>
      </c>
      <c r="S110" s="1" t="s">
        <v>74</v>
      </c>
      <c r="T110" s="1" t="s">
        <v>1190</v>
      </c>
      <c r="U110" s="1" t="s">
        <v>1191</v>
      </c>
      <c r="V110" s="1" t="s">
        <v>1192</v>
      </c>
      <c r="W110" s="1" t="s">
        <v>74</v>
      </c>
      <c r="X110" s="1" t="s">
        <v>74</v>
      </c>
      <c r="Y110" s="1" t="s">
        <v>74</v>
      </c>
      <c r="Z110" s="1" t="s">
        <v>74</v>
      </c>
      <c r="AA110" s="1" t="s">
        <v>74</v>
      </c>
      <c r="AB110" s="1" t="s">
        <v>74</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572</v>
      </c>
      <c r="AP110" s="1" t="s">
        <v>573</v>
      </c>
      <c r="AQ110" s="1" t="s">
        <v>74</v>
      </c>
      <c r="AR110" s="1" t="s">
        <v>74</v>
      </c>
      <c r="AS110" s="1" t="s">
        <v>74</v>
      </c>
      <c r="AT110" s="1" t="s">
        <v>1193</v>
      </c>
      <c r="AU110" s="1">
        <v>2026.0</v>
      </c>
      <c r="AV110" s="1">
        <v>59.0</v>
      </c>
      <c r="AW110" s="1">
        <v>2.0</v>
      </c>
      <c r="AX110" s="1" t="s">
        <v>74</v>
      </c>
      <c r="AY110" s="1" t="s">
        <v>74</v>
      </c>
      <c r="AZ110" s="1" t="s">
        <v>74</v>
      </c>
      <c r="BA110" s="1" t="s">
        <v>74</v>
      </c>
      <c r="BB110" s="1" t="s">
        <v>74</v>
      </c>
      <c r="BC110" s="1" t="s">
        <v>74</v>
      </c>
      <c r="BD110" s="1">
        <v>72.0</v>
      </c>
      <c r="BE110" s="1" t="s">
        <v>1194</v>
      </c>
      <c r="BF110" s="2" t="str">
        <f>HYPERLINK("http://dx.doi.org/10.1007/s10462-025-11470-w","http://dx.doi.org/10.1007/s10462-025-11470-w")</f>
        <v>http://dx.doi.org/10.1007/s10462-025-11470-w</v>
      </c>
      <c r="BG110" s="1" t="s">
        <v>74</v>
      </c>
      <c r="BH110" s="1" t="s">
        <v>74</v>
      </c>
      <c r="BI110" s="1" t="s">
        <v>74</v>
      </c>
      <c r="BJ110" s="1" t="s">
        <v>74</v>
      </c>
      <c r="BK110" s="1" t="s">
        <v>74</v>
      </c>
      <c r="BL110" s="1" t="s">
        <v>174</v>
      </c>
      <c r="BM110" s="1" t="s">
        <v>74</v>
      </c>
      <c r="BN110" s="1" t="s">
        <v>74</v>
      </c>
      <c r="BO110" s="1" t="s">
        <v>114</v>
      </c>
      <c r="BP110" s="1" t="s">
        <v>74</v>
      </c>
      <c r="BQ110" s="1" t="s">
        <v>74</v>
      </c>
      <c r="BR110" s="1" t="s">
        <v>74</v>
      </c>
      <c r="BS110" s="1" t="s">
        <v>1195</v>
      </c>
      <c r="BT110" s="1" t="str">
        <f>HYPERLINK("https%3A%2F%2Fwww.webofscience.com%2Fwos%2Fwoscc%2Ffull-record%2FWOS:001666726700001","View Full Record in Web of Science")</f>
        <v>View Full Record in Web of Science</v>
      </c>
    </row>
    <row r="111" ht="12.75" customHeight="1">
      <c r="A111" s="1" t="s">
        <v>72</v>
      </c>
      <c r="B111" s="1" t="s">
        <v>1196</v>
      </c>
      <c r="C111" s="1" t="s">
        <v>74</v>
      </c>
      <c r="D111" s="1" t="s">
        <v>74</v>
      </c>
      <c r="E111" s="1" t="s">
        <v>74</v>
      </c>
      <c r="F111" s="1" t="s">
        <v>1197</v>
      </c>
      <c r="G111" s="1" t="s">
        <v>74</v>
      </c>
      <c r="H111" s="1" t="s">
        <v>74</v>
      </c>
      <c r="I111" s="1" t="s">
        <v>1198</v>
      </c>
      <c r="J111" s="1" t="s">
        <v>1199</v>
      </c>
      <c r="K111" s="1" t="s">
        <v>74</v>
      </c>
      <c r="L111" s="1" t="s">
        <v>74</v>
      </c>
      <c r="M111" s="1" t="s">
        <v>74</v>
      </c>
      <c r="N111" s="1" t="s">
        <v>78</v>
      </c>
      <c r="O111" s="1" t="s">
        <v>74</v>
      </c>
      <c r="P111" s="1" t="s">
        <v>74</v>
      </c>
      <c r="Q111" s="1" t="s">
        <v>74</v>
      </c>
      <c r="R111" s="1" t="s">
        <v>74</v>
      </c>
      <c r="S111" s="1" t="s">
        <v>74</v>
      </c>
      <c r="T111" s="1" t="s">
        <v>1200</v>
      </c>
      <c r="U111" s="1" t="s">
        <v>74</v>
      </c>
      <c r="V111" s="1" t="s">
        <v>1201</v>
      </c>
      <c r="W111" s="1" t="s">
        <v>74</v>
      </c>
      <c r="X111" s="1" t="s">
        <v>74</v>
      </c>
      <c r="Y111" s="1" t="s">
        <v>74</v>
      </c>
      <c r="Z111" s="1" t="s">
        <v>74</v>
      </c>
      <c r="AA111" s="1" t="s">
        <v>74</v>
      </c>
      <c r="AB111" s="1" t="s">
        <v>74</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74</v>
      </c>
      <c r="AP111" s="1" t="s">
        <v>1202</v>
      </c>
      <c r="AQ111" s="1" t="s">
        <v>74</v>
      </c>
      <c r="AR111" s="1" t="s">
        <v>74</v>
      </c>
      <c r="AS111" s="1" t="s">
        <v>74</v>
      </c>
      <c r="AT111" s="1" t="s">
        <v>1129</v>
      </c>
      <c r="AU111" s="1">
        <v>2025.0</v>
      </c>
      <c r="AV111" s="1">
        <v>18.0</v>
      </c>
      <c r="AW111" s="1">
        <v>11.0</v>
      </c>
      <c r="AX111" s="1" t="s">
        <v>74</v>
      </c>
      <c r="AY111" s="1" t="s">
        <v>74</v>
      </c>
      <c r="AZ111" s="1" t="s">
        <v>74</v>
      </c>
      <c r="BA111" s="1" t="s">
        <v>74</v>
      </c>
      <c r="BB111" s="1" t="s">
        <v>74</v>
      </c>
      <c r="BC111" s="1" t="s">
        <v>74</v>
      </c>
      <c r="BD111" s="1">
        <v>713.0</v>
      </c>
      <c r="BE111" s="1" t="s">
        <v>1203</v>
      </c>
      <c r="BF111" s="2" t="str">
        <f>HYPERLINK("http://dx.doi.org/10.3390/a18110713","http://dx.doi.org/10.3390/a18110713")</f>
        <v>http://dx.doi.org/10.3390/a18110713</v>
      </c>
      <c r="BG111" s="1" t="s">
        <v>74</v>
      </c>
      <c r="BH111" s="1" t="s">
        <v>74</v>
      </c>
      <c r="BI111" s="1" t="s">
        <v>74</v>
      </c>
      <c r="BJ111" s="1" t="s">
        <v>74</v>
      </c>
      <c r="BK111" s="1" t="s">
        <v>74</v>
      </c>
      <c r="BL111" s="1" t="s">
        <v>174</v>
      </c>
      <c r="BM111" s="1" t="s">
        <v>74</v>
      </c>
      <c r="BN111" s="1" t="s">
        <v>74</v>
      </c>
      <c r="BO111" s="1" t="s">
        <v>163</v>
      </c>
      <c r="BP111" s="1" t="s">
        <v>74</v>
      </c>
      <c r="BQ111" s="1" t="s">
        <v>74</v>
      </c>
      <c r="BR111" s="1" t="s">
        <v>74</v>
      </c>
      <c r="BS111" s="1" t="s">
        <v>1204</v>
      </c>
      <c r="BT111" s="1" t="str">
        <f>HYPERLINK("https%3A%2F%2Fwww.webofscience.com%2Fwos%2Fwoscc%2Ffull-record%2FWOS:001623348700001","View Full Record in Web of Science")</f>
        <v>View Full Record in Web of Science</v>
      </c>
    </row>
    <row r="112" ht="12.75" customHeight="1">
      <c r="A112" s="1" t="s">
        <v>72</v>
      </c>
      <c r="B112" s="1" t="s">
        <v>1205</v>
      </c>
      <c r="C112" s="1" t="s">
        <v>74</v>
      </c>
      <c r="D112" s="1" t="s">
        <v>74</v>
      </c>
      <c r="E112" s="1" t="s">
        <v>74</v>
      </c>
      <c r="F112" s="1" t="s">
        <v>1206</v>
      </c>
      <c r="G112" s="1" t="s">
        <v>74</v>
      </c>
      <c r="H112" s="1" t="s">
        <v>74</v>
      </c>
      <c r="I112" s="1" t="s">
        <v>1207</v>
      </c>
      <c r="J112" s="1" t="s">
        <v>1208</v>
      </c>
      <c r="K112" s="1" t="s">
        <v>74</v>
      </c>
      <c r="L112" s="1" t="s">
        <v>74</v>
      </c>
      <c r="M112" s="1" t="s">
        <v>74</v>
      </c>
      <c r="N112" s="1" t="s">
        <v>78</v>
      </c>
      <c r="O112" s="1" t="s">
        <v>74</v>
      </c>
      <c r="P112" s="1" t="s">
        <v>74</v>
      </c>
      <c r="Q112" s="1" t="s">
        <v>74</v>
      </c>
      <c r="R112" s="1" t="s">
        <v>74</v>
      </c>
      <c r="S112" s="1" t="s">
        <v>74</v>
      </c>
      <c r="T112" s="1" t="s">
        <v>1209</v>
      </c>
      <c r="U112" s="1" t="s">
        <v>74</v>
      </c>
      <c r="V112" s="1" t="s">
        <v>1210</v>
      </c>
      <c r="W112" s="1" t="s">
        <v>74</v>
      </c>
      <c r="X112" s="1" t="s">
        <v>74</v>
      </c>
      <c r="Y112" s="1" t="s">
        <v>74</v>
      </c>
      <c r="Z112" s="1" t="s">
        <v>74</v>
      </c>
      <c r="AA112" s="1" t="s">
        <v>74</v>
      </c>
      <c r="AB112" s="1" t="s">
        <v>74</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1211</v>
      </c>
      <c r="AP112" s="1" t="s">
        <v>1212</v>
      </c>
      <c r="AQ112" s="1" t="s">
        <v>74</v>
      </c>
      <c r="AR112" s="1" t="s">
        <v>74</v>
      </c>
      <c r="AS112" s="1" t="s">
        <v>74</v>
      </c>
      <c r="AT112" s="1" t="s">
        <v>262</v>
      </c>
      <c r="AU112" s="1">
        <v>2025.0</v>
      </c>
      <c r="AV112" s="1">
        <v>161.0</v>
      </c>
      <c r="AW112" s="1" t="s">
        <v>74</v>
      </c>
      <c r="AX112" s="1" t="s">
        <v>74</v>
      </c>
      <c r="AY112" s="1" t="s">
        <v>74</v>
      </c>
      <c r="AZ112" s="1" t="s">
        <v>74</v>
      </c>
      <c r="BA112" s="1" t="s">
        <v>74</v>
      </c>
      <c r="BB112" s="1" t="s">
        <v>74</v>
      </c>
      <c r="BC112" s="1" t="s">
        <v>74</v>
      </c>
      <c r="BD112" s="1">
        <v>105649.0</v>
      </c>
      <c r="BE112" s="1" t="s">
        <v>1213</v>
      </c>
      <c r="BF112" s="2" t="str">
        <f>HYPERLINK("http://dx.doi.org/10.1016/j.imavis.2025.105649","http://dx.doi.org/10.1016/j.imavis.2025.105649")</f>
        <v>http://dx.doi.org/10.1016/j.imavis.2025.105649</v>
      </c>
      <c r="BG112" s="1" t="s">
        <v>74</v>
      </c>
      <c r="BH112" s="1" t="s">
        <v>973</v>
      </c>
      <c r="BI112" s="1" t="s">
        <v>74</v>
      </c>
      <c r="BJ112" s="1" t="s">
        <v>74</v>
      </c>
      <c r="BK112" s="1" t="s">
        <v>74</v>
      </c>
      <c r="BL112" s="1" t="s">
        <v>1214</v>
      </c>
      <c r="BM112" s="1" t="s">
        <v>74</v>
      </c>
      <c r="BN112" s="1" t="s">
        <v>74</v>
      </c>
      <c r="BO112" s="1" t="s">
        <v>74</v>
      </c>
      <c r="BP112" s="1" t="s">
        <v>74</v>
      </c>
      <c r="BQ112" s="1" t="s">
        <v>74</v>
      </c>
      <c r="BR112" s="1" t="s">
        <v>74</v>
      </c>
      <c r="BS112" s="1" t="s">
        <v>1215</v>
      </c>
      <c r="BT112" s="1" t="str">
        <f>HYPERLINK("https%3A%2F%2Fwww.webofscience.com%2Fwos%2Fwoscc%2Ffull-record%2FWOS:001532854200001","View Full Record in Web of Science")</f>
        <v>View Full Record in Web of Science</v>
      </c>
    </row>
    <row r="113" ht="12.75" customHeight="1">
      <c r="A113" s="1" t="s">
        <v>72</v>
      </c>
      <c r="B113" s="1" t="s">
        <v>1216</v>
      </c>
      <c r="C113" s="1" t="s">
        <v>74</v>
      </c>
      <c r="D113" s="1" t="s">
        <v>74</v>
      </c>
      <c r="E113" s="1" t="s">
        <v>74</v>
      </c>
      <c r="F113" s="1" t="s">
        <v>1217</v>
      </c>
      <c r="G113" s="1" t="s">
        <v>74</v>
      </c>
      <c r="H113" s="1" t="s">
        <v>74</v>
      </c>
      <c r="I113" s="1" t="s">
        <v>1218</v>
      </c>
      <c r="J113" s="1" t="s">
        <v>1219</v>
      </c>
      <c r="K113" s="1" t="s">
        <v>74</v>
      </c>
      <c r="L113" s="1" t="s">
        <v>74</v>
      </c>
      <c r="M113" s="1" t="s">
        <v>74</v>
      </c>
      <c r="N113" s="1" t="s">
        <v>78</v>
      </c>
      <c r="O113" s="1" t="s">
        <v>74</v>
      </c>
      <c r="P113" s="1" t="s">
        <v>74</v>
      </c>
      <c r="Q113" s="1" t="s">
        <v>74</v>
      </c>
      <c r="R113" s="1" t="s">
        <v>74</v>
      </c>
      <c r="S113" s="1" t="s">
        <v>74</v>
      </c>
      <c r="T113" s="1" t="s">
        <v>1220</v>
      </c>
      <c r="U113" s="1" t="s">
        <v>1221</v>
      </c>
      <c r="V113" s="1" t="s">
        <v>1222</v>
      </c>
      <c r="W113" s="1" t="s">
        <v>74</v>
      </c>
      <c r="X113" s="1" t="s">
        <v>74</v>
      </c>
      <c r="Y113" s="1" t="s">
        <v>74</v>
      </c>
      <c r="Z113" s="1" t="s">
        <v>74</v>
      </c>
      <c r="AA113" s="1" t="s">
        <v>74</v>
      </c>
      <c r="AB113" s="1" t="s">
        <v>74</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1223</v>
      </c>
      <c r="AP113" s="1" t="s">
        <v>1224</v>
      </c>
      <c r="AQ113" s="1" t="s">
        <v>74</v>
      </c>
      <c r="AR113" s="1" t="s">
        <v>74</v>
      </c>
      <c r="AS113" s="1" t="s">
        <v>74</v>
      </c>
      <c r="AT113" s="1" t="s">
        <v>225</v>
      </c>
      <c r="AU113" s="1">
        <v>2025.0</v>
      </c>
      <c r="AV113" s="1">
        <v>44.0</v>
      </c>
      <c r="AW113" s="1">
        <v>3.0</v>
      </c>
      <c r="AX113" s="1" t="s">
        <v>74</v>
      </c>
      <c r="AY113" s="1" t="s">
        <v>74</v>
      </c>
      <c r="AZ113" s="1" t="s">
        <v>707</v>
      </c>
      <c r="BA113" s="1" t="s">
        <v>74</v>
      </c>
      <c r="BB113" s="1">
        <v>370.0</v>
      </c>
      <c r="BC113" s="1">
        <v>391.0</v>
      </c>
      <c r="BD113" s="1" t="s">
        <v>74</v>
      </c>
      <c r="BE113" s="1" t="s">
        <v>1225</v>
      </c>
      <c r="BF113" s="2" t="str">
        <f>HYPERLINK("http://dx.doi.org/10.1177/07439156251319788","http://dx.doi.org/10.1177/07439156251319788")</f>
        <v>http://dx.doi.org/10.1177/07439156251319788</v>
      </c>
      <c r="BG113" s="1" t="s">
        <v>74</v>
      </c>
      <c r="BH113" s="1" t="s">
        <v>314</v>
      </c>
      <c r="BI113" s="1" t="s">
        <v>74</v>
      </c>
      <c r="BJ113" s="1" t="s">
        <v>74</v>
      </c>
      <c r="BK113" s="1" t="s">
        <v>74</v>
      </c>
      <c r="BL113" s="1" t="s">
        <v>214</v>
      </c>
      <c r="BM113" s="1" t="s">
        <v>74</v>
      </c>
      <c r="BN113" s="1" t="s">
        <v>74</v>
      </c>
      <c r="BO113" s="1" t="s">
        <v>74</v>
      </c>
      <c r="BP113" s="1" t="s">
        <v>74</v>
      </c>
      <c r="BQ113" s="1" t="s">
        <v>74</v>
      </c>
      <c r="BR113" s="1" t="s">
        <v>74</v>
      </c>
      <c r="BS113" s="1" t="s">
        <v>1226</v>
      </c>
      <c r="BT113" s="1" t="str">
        <f>HYPERLINK("https%3A%2F%2Fwww.webofscience.com%2Fwos%2Fwoscc%2Ffull-record%2FWOS:001470820600001","View Full Record in Web of Science")</f>
        <v>View Full Record in Web of Science</v>
      </c>
    </row>
    <row r="114" ht="12.75" customHeight="1">
      <c r="A114" s="1" t="s">
        <v>72</v>
      </c>
      <c r="B114" s="1" t="s">
        <v>1227</v>
      </c>
      <c r="C114" s="1" t="s">
        <v>74</v>
      </c>
      <c r="D114" s="1" t="s">
        <v>74</v>
      </c>
      <c r="E114" s="1" t="s">
        <v>74</v>
      </c>
      <c r="F114" s="1" t="s">
        <v>1228</v>
      </c>
      <c r="G114" s="1" t="s">
        <v>74</v>
      </c>
      <c r="H114" s="1" t="s">
        <v>74</v>
      </c>
      <c r="I114" s="1" t="s">
        <v>1229</v>
      </c>
      <c r="J114" s="1" t="s">
        <v>1230</v>
      </c>
      <c r="K114" s="1" t="s">
        <v>74</v>
      </c>
      <c r="L114" s="1" t="s">
        <v>74</v>
      </c>
      <c r="M114" s="1" t="s">
        <v>74</v>
      </c>
      <c r="N114" s="1" t="s">
        <v>78</v>
      </c>
      <c r="O114" s="1" t="s">
        <v>74</v>
      </c>
      <c r="P114" s="1" t="s">
        <v>74</v>
      </c>
      <c r="Q114" s="1" t="s">
        <v>74</v>
      </c>
      <c r="R114" s="1" t="s">
        <v>74</v>
      </c>
      <c r="S114" s="1" t="s">
        <v>74</v>
      </c>
      <c r="T114" s="1" t="s">
        <v>1231</v>
      </c>
      <c r="U114" s="1" t="s">
        <v>74</v>
      </c>
      <c r="V114" s="1" t="s">
        <v>1232</v>
      </c>
      <c r="W114" s="1" t="s">
        <v>74</v>
      </c>
      <c r="X114" s="1" t="s">
        <v>74</v>
      </c>
      <c r="Y114" s="1" t="s">
        <v>74</v>
      </c>
      <c r="Z114" s="1" t="s">
        <v>74</v>
      </c>
      <c r="AA114" s="1" t="s">
        <v>74</v>
      </c>
      <c r="AB114" s="1" t="s">
        <v>74</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1233</v>
      </c>
      <c r="AP114" s="1" t="s">
        <v>1234</v>
      </c>
      <c r="AQ114" s="1" t="s">
        <v>74</v>
      </c>
      <c r="AR114" s="1" t="s">
        <v>74</v>
      </c>
      <c r="AS114" s="1" t="s">
        <v>74</v>
      </c>
      <c r="AT114" s="1" t="s">
        <v>1235</v>
      </c>
      <c r="AU114" s="1">
        <v>2026.0</v>
      </c>
      <c r="AV114" s="1">
        <v>300.0</v>
      </c>
      <c r="AW114" s="1" t="s">
        <v>74</v>
      </c>
      <c r="AX114" s="1" t="s">
        <v>74</v>
      </c>
      <c r="AY114" s="1" t="s">
        <v>74</v>
      </c>
      <c r="AZ114" s="1" t="s">
        <v>74</v>
      </c>
      <c r="BA114" s="1" t="s">
        <v>74</v>
      </c>
      <c r="BB114" s="1" t="s">
        <v>74</v>
      </c>
      <c r="BC114" s="1" t="s">
        <v>74</v>
      </c>
      <c r="BD114" s="1">
        <v>129878.0</v>
      </c>
      <c r="BE114" s="1" t="s">
        <v>1236</v>
      </c>
      <c r="BF114" s="2" t="str">
        <f>HYPERLINK("http://dx.doi.org/10.1016/j.eswa.2025.129878","http://dx.doi.org/10.1016/j.eswa.2025.129878")</f>
        <v>http://dx.doi.org/10.1016/j.eswa.2025.129878</v>
      </c>
      <c r="BG114" s="1" t="s">
        <v>74</v>
      </c>
      <c r="BH114" s="1" t="s">
        <v>255</v>
      </c>
      <c r="BI114" s="1" t="s">
        <v>74</v>
      </c>
      <c r="BJ114" s="1" t="s">
        <v>74</v>
      </c>
      <c r="BK114" s="1" t="s">
        <v>74</v>
      </c>
      <c r="BL114" s="1" t="s">
        <v>1237</v>
      </c>
      <c r="BM114" s="1" t="s">
        <v>74</v>
      </c>
      <c r="BN114" s="1" t="s">
        <v>74</v>
      </c>
      <c r="BO114" s="1" t="s">
        <v>74</v>
      </c>
      <c r="BP114" s="1" t="s">
        <v>74</v>
      </c>
      <c r="BQ114" s="1" t="s">
        <v>74</v>
      </c>
      <c r="BR114" s="1" t="s">
        <v>74</v>
      </c>
      <c r="BS114" s="1" t="s">
        <v>1238</v>
      </c>
      <c r="BT114" s="1" t="str">
        <f>HYPERLINK("https%3A%2F%2Fwww.webofscience.com%2Fwos%2Fwoscc%2Ffull-record%2FWOS:001620349300002","View Full Record in Web of Science")</f>
        <v>View Full Record in Web of Science</v>
      </c>
    </row>
    <row r="115" ht="12.75" customHeight="1">
      <c r="A115" s="1" t="s">
        <v>72</v>
      </c>
      <c r="B115" s="1" t="s">
        <v>1239</v>
      </c>
      <c r="C115" s="1" t="s">
        <v>74</v>
      </c>
      <c r="D115" s="1" t="s">
        <v>74</v>
      </c>
      <c r="E115" s="1" t="s">
        <v>74</v>
      </c>
      <c r="F115" s="1" t="s">
        <v>1240</v>
      </c>
      <c r="G115" s="1" t="s">
        <v>74</v>
      </c>
      <c r="H115" s="1" t="s">
        <v>74</v>
      </c>
      <c r="I115" s="1" t="s">
        <v>1241</v>
      </c>
      <c r="J115" s="1" t="s">
        <v>1242</v>
      </c>
      <c r="K115" s="1" t="s">
        <v>74</v>
      </c>
      <c r="L115" s="1" t="s">
        <v>74</v>
      </c>
      <c r="M115" s="1" t="s">
        <v>74</v>
      </c>
      <c r="N115" s="1" t="s">
        <v>78</v>
      </c>
      <c r="O115" s="1" t="s">
        <v>74</v>
      </c>
      <c r="P115" s="1" t="s">
        <v>74</v>
      </c>
      <c r="Q115" s="1" t="s">
        <v>74</v>
      </c>
      <c r="R115" s="1" t="s">
        <v>74</v>
      </c>
      <c r="S115" s="1" t="s">
        <v>74</v>
      </c>
      <c r="T115" s="1" t="s">
        <v>1243</v>
      </c>
      <c r="U115" s="1" t="s">
        <v>1244</v>
      </c>
      <c r="V115" s="1" t="s">
        <v>1245</v>
      </c>
      <c r="W115" s="1" t="s">
        <v>74</v>
      </c>
      <c r="X115" s="1" t="s">
        <v>74</v>
      </c>
      <c r="Y115" s="1" t="s">
        <v>74</v>
      </c>
      <c r="Z115" s="1" t="s">
        <v>74</v>
      </c>
      <c r="AA115" s="1" t="s">
        <v>74</v>
      </c>
      <c r="AB115" s="1" t="s">
        <v>74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1246</v>
      </c>
      <c r="AP115" s="1" t="s">
        <v>1247</v>
      </c>
      <c r="AQ115" s="1" t="s">
        <v>74</v>
      </c>
      <c r="AR115" s="1" t="s">
        <v>74</v>
      </c>
      <c r="AS115" s="1" t="s">
        <v>74</v>
      </c>
      <c r="AT115" s="1" t="s">
        <v>139</v>
      </c>
      <c r="AU115" s="1">
        <v>2025.0</v>
      </c>
      <c r="AV115" s="1">
        <v>57.0</v>
      </c>
      <c r="AW115" s="1">
        <v>7.0</v>
      </c>
      <c r="AX115" s="1" t="s">
        <v>74</v>
      </c>
      <c r="AY115" s="1" t="s">
        <v>74</v>
      </c>
      <c r="AZ115" s="1" t="s">
        <v>74</v>
      </c>
      <c r="BA115" s="1" t="s">
        <v>74</v>
      </c>
      <c r="BB115" s="1" t="s">
        <v>74</v>
      </c>
      <c r="BC115" s="1" t="s">
        <v>74</v>
      </c>
      <c r="BD115" s="1">
        <v>188.0</v>
      </c>
      <c r="BE115" s="1" t="s">
        <v>1248</v>
      </c>
      <c r="BF115" s="2" t="str">
        <f>HYPERLINK("http://dx.doi.org/10.1145/3716846","http://dx.doi.org/10.1145/3716846")</f>
        <v>http://dx.doi.org/10.1145/3716846</v>
      </c>
      <c r="BG115" s="1" t="s">
        <v>74</v>
      </c>
      <c r="BH115" s="1" t="s">
        <v>74</v>
      </c>
      <c r="BI115" s="1" t="s">
        <v>74</v>
      </c>
      <c r="BJ115" s="1" t="s">
        <v>74</v>
      </c>
      <c r="BK115" s="1" t="s">
        <v>74</v>
      </c>
      <c r="BL115" s="1" t="s">
        <v>174</v>
      </c>
      <c r="BM115" s="1" t="s">
        <v>74</v>
      </c>
      <c r="BN115" s="1" t="s">
        <v>74</v>
      </c>
      <c r="BO115" s="1" t="s">
        <v>576</v>
      </c>
      <c r="BP115" s="1" t="s">
        <v>74</v>
      </c>
      <c r="BQ115" s="1" t="s">
        <v>74</v>
      </c>
      <c r="BR115" s="1" t="s">
        <v>74</v>
      </c>
      <c r="BS115" s="1" t="s">
        <v>1249</v>
      </c>
      <c r="BT115" s="1" t="str">
        <f>HYPERLINK("https%3A%2F%2Fwww.webofscience.com%2Fwos%2Fwoscc%2Ffull-record%2FWOS:001456240100008","View Full Record in Web of Science")</f>
        <v>View Full Record in Web of Science</v>
      </c>
    </row>
    <row r="116" ht="12.75" customHeight="1">
      <c r="A116" s="1" t="s">
        <v>72</v>
      </c>
      <c r="B116" s="1" t="s">
        <v>1250</v>
      </c>
      <c r="C116" s="1" t="s">
        <v>74</v>
      </c>
      <c r="D116" s="1" t="s">
        <v>74</v>
      </c>
      <c r="E116" s="1" t="s">
        <v>74</v>
      </c>
      <c r="F116" s="1" t="s">
        <v>1251</v>
      </c>
      <c r="G116" s="1" t="s">
        <v>74</v>
      </c>
      <c r="H116" s="1" t="s">
        <v>74</v>
      </c>
      <c r="I116" s="1" t="s">
        <v>1252</v>
      </c>
      <c r="J116" s="1" t="s">
        <v>966</v>
      </c>
      <c r="K116" s="1" t="s">
        <v>74</v>
      </c>
      <c r="L116" s="1" t="s">
        <v>74</v>
      </c>
      <c r="M116" s="1" t="s">
        <v>74</v>
      </c>
      <c r="N116" s="1" t="s">
        <v>78</v>
      </c>
      <c r="O116" s="1" t="s">
        <v>74</v>
      </c>
      <c r="P116" s="1" t="s">
        <v>74</v>
      </c>
      <c r="Q116" s="1" t="s">
        <v>74</v>
      </c>
      <c r="R116" s="1" t="s">
        <v>74</v>
      </c>
      <c r="S116" s="1" t="s">
        <v>74</v>
      </c>
      <c r="T116" s="1" t="s">
        <v>1253</v>
      </c>
      <c r="U116" s="1" t="s">
        <v>74</v>
      </c>
      <c r="V116" s="1" t="s">
        <v>1254</v>
      </c>
      <c r="W116" s="1" t="s">
        <v>74</v>
      </c>
      <c r="X116" s="1" t="s">
        <v>74</v>
      </c>
      <c r="Y116" s="1" t="s">
        <v>74</v>
      </c>
      <c r="Z116" s="1" t="s">
        <v>74</v>
      </c>
      <c r="AA116" s="1" t="s">
        <v>74</v>
      </c>
      <c r="AB116" s="1" t="s">
        <v>74</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969</v>
      </c>
      <c r="AP116" s="1" t="s">
        <v>970</v>
      </c>
      <c r="AQ116" s="1" t="s">
        <v>74</v>
      </c>
      <c r="AR116" s="1" t="s">
        <v>74</v>
      </c>
      <c r="AS116" s="1" t="s">
        <v>74</v>
      </c>
      <c r="AT116" s="1" t="s">
        <v>1255</v>
      </c>
      <c r="AU116" s="1">
        <v>2025.0</v>
      </c>
      <c r="AV116" s="1">
        <v>329.0</v>
      </c>
      <c r="AW116" s="1" t="s">
        <v>74</v>
      </c>
      <c r="AX116" s="1" t="s">
        <v>110</v>
      </c>
      <c r="AY116" s="1" t="s">
        <v>74</v>
      </c>
      <c r="AZ116" s="1" t="s">
        <v>74</v>
      </c>
      <c r="BA116" s="1" t="s">
        <v>74</v>
      </c>
      <c r="BB116" s="1" t="s">
        <v>74</v>
      </c>
      <c r="BC116" s="1" t="s">
        <v>74</v>
      </c>
      <c r="BD116" s="1">
        <v>114423.0</v>
      </c>
      <c r="BE116" s="1" t="s">
        <v>1256</v>
      </c>
      <c r="BF116" s="2" t="str">
        <f>HYPERLINK("http://dx.doi.org/10.1016/j.knosys.2025.114423","http://dx.doi.org/10.1016/j.knosys.2025.114423")</f>
        <v>http://dx.doi.org/10.1016/j.knosys.2025.114423</v>
      </c>
      <c r="BG116" s="1" t="s">
        <v>74</v>
      </c>
      <c r="BH116" s="1" t="s">
        <v>738</v>
      </c>
      <c r="BI116" s="1" t="s">
        <v>74</v>
      </c>
      <c r="BJ116" s="1" t="s">
        <v>74</v>
      </c>
      <c r="BK116" s="1" t="s">
        <v>74</v>
      </c>
      <c r="BL116" s="1" t="s">
        <v>174</v>
      </c>
      <c r="BM116" s="1" t="s">
        <v>74</v>
      </c>
      <c r="BN116" s="1" t="s">
        <v>74</v>
      </c>
      <c r="BO116" s="1" t="s">
        <v>114</v>
      </c>
      <c r="BP116" s="1" t="s">
        <v>74</v>
      </c>
      <c r="BQ116" s="1" t="s">
        <v>74</v>
      </c>
      <c r="BR116" s="1" t="s">
        <v>74</v>
      </c>
      <c r="BS116" s="1" t="s">
        <v>1257</v>
      </c>
      <c r="BT116" s="1" t="str">
        <f>HYPERLINK("https%3A%2F%2Fwww.webofscience.com%2Fwos%2Fwoscc%2Ffull-record%2FWOS:001576827600001","View Full Record in Web of Science")</f>
        <v>View Full Record in Web of Science</v>
      </c>
    </row>
    <row r="117" ht="12.75" customHeight="1">
      <c r="A117" s="1" t="s">
        <v>72</v>
      </c>
      <c r="B117" s="1" t="s">
        <v>1258</v>
      </c>
      <c r="C117" s="1" t="s">
        <v>74</v>
      </c>
      <c r="D117" s="1" t="s">
        <v>74</v>
      </c>
      <c r="E117" s="1" t="s">
        <v>74</v>
      </c>
      <c r="F117" s="1" t="s">
        <v>1259</v>
      </c>
      <c r="G117" s="1" t="s">
        <v>74</v>
      </c>
      <c r="H117" s="1" t="s">
        <v>74</v>
      </c>
      <c r="I117" s="1" t="s">
        <v>1260</v>
      </c>
      <c r="J117" s="1" t="s">
        <v>1261</v>
      </c>
      <c r="K117" s="1" t="s">
        <v>74</v>
      </c>
      <c r="L117" s="1" t="s">
        <v>74</v>
      </c>
      <c r="M117" s="1" t="s">
        <v>74</v>
      </c>
      <c r="N117" s="1" t="s">
        <v>953</v>
      </c>
      <c r="O117" s="1" t="s">
        <v>74</v>
      </c>
      <c r="P117" s="1" t="s">
        <v>74</v>
      </c>
      <c r="Q117" s="1" t="s">
        <v>74</v>
      </c>
      <c r="R117" s="1" t="s">
        <v>74</v>
      </c>
      <c r="S117" s="1" t="s">
        <v>74</v>
      </c>
      <c r="T117" s="1" t="s">
        <v>1262</v>
      </c>
      <c r="U117" s="1" t="s">
        <v>74</v>
      </c>
      <c r="V117" s="1" t="s">
        <v>1263</v>
      </c>
      <c r="W117" s="1" t="s">
        <v>74</v>
      </c>
      <c r="X117" s="1" t="s">
        <v>74</v>
      </c>
      <c r="Y117" s="1" t="s">
        <v>74</v>
      </c>
      <c r="Z117" s="1" t="s">
        <v>74</v>
      </c>
      <c r="AA117" s="1" t="s">
        <v>74</v>
      </c>
      <c r="AB117" s="1" t="s">
        <v>74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1264</v>
      </c>
      <c r="AP117" s="1" t="s">
        <v>1265</v>
      </c>
      <c r="AQ117" s="1" t="s">
        <v>74</v>
      </c>
      <c r="AR117" s="1" t="s">
        <v>74</v>
      </c>
      <c r="AS117" s="1" t="s">
        <v>74</v>
      </c>
      <c r="AT117" s="1" t="s">
        <v>1266</v>
      </c>
      <c r="AU117" s="1">
        <v>2025.0</v>
      </c>
      <c r="AV117" s="1" t="s">
        <v>74</v>
      </c>
      <c r="AW117" s="1" t="s">
        <v>74</v>
      </c>
      <c r="AX117" s="1" t="s">
        <v>74</v>
      </c>
      <c r="AY117" s="1" t="s">
        <v>74</v>
      </c>
      <c r="AZ117" s="1" t="s">
        <v>74</v>
      </c>
      <c r="BA117" s="1" t="s">
        <v>74</v>
      </c>
      <c r="BB117" s="1" t="s">
        <v>74</v>
      </c>
      <c r="BC117" s="1" t="s">
        <v>74</v>
      </c>
      <c r="BD117" s="1" t="s">
        <v>74</v>
      </c>
      <c r="BE117" s="1" t="s">
        <v>1267</v>
      </c>
      <c r="BF117" s="2" t="str">
        <f>HYPERLINK("http://dx.doi.org/10.1080/13645579.2025.2598606","http://dx.doi.org/10.1080/13645579.2025.2598606")</f>
        <v>http://dx.doi.org/10.1080/13645579.2025.2598606</v>
      </c>
      <c r="BG117" s="1" t="s">
        <v>74</v>
      </c>
      <c r="BH117" s="1" t="s">
        <v>605</v>
      </c>
      <c r="BI117" s="1" t="s">
        <v>74</v>
      </c>
      <c r="BJ117" s="1" t="s">
        <v>74</v>
      </c>
      <c r="BK117" s="1" t="s">
        <v>74</v>
      </c>
      <c r="BL117" s="1" t="s">
        <v>615</v>
      </c>
      <c r="BM117" s="1" t="s">
        <v>74</v>
      </c>
      <c r="BN117" s="1" t="s">
        <v>74</v>
      </c>
      <c r="BO117" s="1" t="s">
        <v>114</v>
      </c>
      <c r="BP117" s="1" t="s">
        <v>74</v>
      </c>
      <c r="BQ117" s="1" t="s">
        <v>74</v>
      </c>
      <c r="BR117" s="1" t="s">
        <v>74</v>
      </c>
      <c r="BS117" s="1" t="s">
        <v>1268</v>
      </c>
      <c r="BT117" s="1" t="str">
        <f>HYPERLINK("https%3A%2F%2Fwww.webofscience.com%2Fwos%2Fwoscc%2Ffull-record%2FWOS:001632887700001","View Full Record in Web of Science")</f>
        <v>View Full Record in Web of Science</v>
      </c>
    </row>
    <row r="118" ht="12.75" customHeight="1">
      <c r="A118" s="1" t="s">
        <v>72</v>
      </c>
      <c r="B118" s="1" t="s">
        <v>1269</v>
      </c>
      <c r="C118" s="1" t="s">
        <v>74</v>
      </c>
      <c r="D118" s="1" t="s">
        <v>74</v>
      </c>
      <c r="E118" s="1" t="s">
        <v>74</v>
      </c>
      <c r="F118" s="1" t="s">
        <v>1270</v>
      </c>
      <c r="G118" s="1" t="s">
        <v>74</v>
      </c>
      <c r="H118" s="1" t="s">
        <v>74</v>
      </c>
      <c r="I118" s="1" t="s">
        <v>1271</v>
      </c>
      <c r="J118" s="1" t="s">
        <v>1272</v>
      </c>
      <c r="K118" s="1" t="s">
        <v>74</v>
      </c>
      <c r="L118" s="1" t="s">
        <v>74</v>
      </c>
      <c r="M118" s="1" t="s">
        <v>74</v>
      </c>
      <c r="N118" s="1" t="s">
        <v>78</v>
      </c>
      <c r="O118" s="1" t="s">
        <v>74</v>
      </c>
      <c r="P118" s="1" t="s">
        <v>74</v>
      </c>
      <c r="Q118" s="1" t="s">
        <v>74</v>
      </c>
      <c r="R118" s="1" t="s">
        <v>74</v>
      </c>
      <c r="S118" s="1" t="s">
        <v>74</v>
      </c>
      <c r="T118" s="1" t="s">
        <v>1273</v>
      </c>
      <c r="U118" s="1" t="s">
        <v>1274</v>
      </c>
      <c r="V118" s="1" t="s">
        <v>1275</v>
      </c>
      <c r="W118" s="1" t="s">
        <v>74</v>
      </c>
      <c r="X118" s="1" t="s">
        <v>74</v>
      </c>
      <c r="Y118" s="1" t="s">
        <v>74</v>
      </c>
      <c r="Z118" s="1" t="s">
        <v>74</v>
      </c>
      <c r="AA118" s="1" t="s">
        <v>74</v>
      </c>
      <c r="AB118" s="1" t="s">
        <v>74</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1276</v>
      </c>
      <c r="AP118" s="1" t="s">
        <v>1277</v>
      </c>
      <c r="AQ118" s="1" t="s">
        <v>74</v>
      </c>
      <c r="AR118" s="1" t="s">
        <v>74</v>
      </c>
      <c r="AS118" s="1" t="s">
        <v>74</v>
      </c>
      <c r="AT118" s="1" t="s">
        <v>109</v>
      </c>
      <c r="AU118" s="1">
        <v>2024.0</v>
      </c>
      <c r="AV118" s="1">
        <v>81.0</v>
      </c>
      <c r="AW118" s="1">
        <v>1.0</v>
      </c>
      <c r="AX118" s="1" t="s">
        <v>74</v>
      </c>
      <c r="AY118" s="1" t="s">
        <v>74</v>
      </c>
      <c r="AZ118" s="1" t="s">
        <v>74</v>
      </c>
      <c r="BA118" s="1" t="s">
        <v>74</v>
      </c>
      <c r="BB118" s="1" t="s">
        <v>74</v>
      </c>
      <c r="BC118" s="1" t="s">
        <v>74</v>
      </c>
      <c r="BD118" s="1">
        <v>50.0</v>
      </c>
      <c r="BE118" s="1" t="s">
        <v>1278</v>
      </c>
      <c r="BF118" s="2" t="str">
        <f>HYPERLINK("http://dx.doi.org/10.1007/s11227-024-06499-7","http://dx.doi.org/10.1007/s11227-024-06499-7")</f>
        <v>http://dx.doi.org/10.1007/s11227-024-06499-7</v>
      </c>
      <c r="BG118" s="1" t="s">
        <v>74</v>
      </c>
      <c r="BH118" s="1" t="s">
        <v>74</v>
      </c>
      <c r="BI118" s="1" t="s">
        <v>74</v>
      </c>
      <c r="BJ118" s="1" t="s">
        <v>74</v>
      </c>
      <c r="BK118" s="1" t="s">
        <v>74</v>
      </c>
      <c r="BL118" s="1" t="s">
        <v>98</v>
      </c>
      <c r="BM118" s="1" t="s">
        <v>74</v>
      </c>
      <c r="BN118" s="1" t="s">
        <v>74</v>
      </c>
      <c r="BO118" s="1" t="s">
        <v>74</v>
      </c>
      <c r="BP118" s="1" t="s">
        <v>74</v>
      </c>
      <c r="BQ118" s="1" t="s">
        <v>74</v>
      </c>
      <c r="BR118" s="1" t="s">
        <v>74</v>
      </c>
      <c r="BS118" s="1" t="s">
        <v>1279</v>
      </c>
      <c r="BT118" s="1" t="str">
        <f>HYPERLINK("https%3A%2F%2Fwww.webofscience.com%2Fwos%2Fwoscc%2Ffull-record%2FWOS:001340383400002","View Full Record in Web of Science")</f>
        <v>View Full Record in Web of Science</v>
      </c>
    </row>
    <row r="119" ht="12.75" customHeight="1">
      <c r="A119" s="1" t="s">
        <v>72</v>
      </c>
      <c r="B119" s="1" t="s">
        <v>1280</v>
      </c>
      <c r="C119" s="1" t="s">
        <v>74</v>
      </c>
      <c r="D119" s="1" t="s">
        <v>74</v>
      </c>
      <c r="E119" s="1" t="s">
        <v>74</v>
      </c>
      <c r="F119" s="1" t="s">
        <v>1281</v>
      </c>
      <c r="G119" s="1" t="s">
        <v>74</v>
      </c>
      <c r="H119" s="1" t="s">
        <v>74</v>
      </c>
      <c r="I119" s="1" t="s">
        <v>1282</v>
      </c>
      <c r="J119" s="1" t="s">
        <v>320</v>
      </c>
      <c r="K119" s="1" t="s">
        <v>74</v>
      </c>
      <c r="L119" s="1" t="s">
        <v>74</v>
      </c>
      <c r="M119" s="1" t="s">
        <v>74</v>
      </c>
      <c r="N119" s="1" t="s">
        <v>78</v>
      </c>
      <c r="O119" s="1" t="s">
        <v>74</v>
      </c>
      <c r="P119" s="1" t="s">
        <v>74</v>
      </c>
      <c r="Q119" s="1" t="s">
        <v>74</v>
      </c>
      <c r="R119" s="1" t="s">
        <v>74</v>
      </c>
      <c r="S119" s="1" t="s">
        <v>74</v>
      </c>
      <c r="T119" s="1" t="s">
        <v>1283</v>
      </c>
      <c r="U119" s="1" t="s">
        <v>1284</v>
      </c>
      <c r="V119" s="1" t="s">
        <v>1285</v>
      </c>
      <c r="W119" s="1" t="s">
        <v>74</v>
      </c>
      <c r="X119" s="1" t="s">
        <v>74</v>
      </c>
      <c r="Y119" s="1" t="s">
        <v>74</v>
      </c>
      <c r="Z119" s="1" t="s">
        <v>74</v>
      </c>
      <c r="AA119" s="1" t="s">
        <v>74</v>
      </c>
      <c r="AB119" s="1" t="s">
        <v>74</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74</v>
      </c>
      <c r="AP119" s="1" t="s">
        <v>324</v>
      </c>
      <c r="AQ119" s="1" t="s">
        <v>74</v>
      </c>
      <c r="AR119" s="1" t="s">
        <v>74</v>
      </c>
      <c r="AS119" s="1" t="s">
        <v>74</v>
      </c>
      <c r="AT119" s="1" t="s">
        <v>1286</v>
      </c>
      <c r="AU119" s="1">
        <v>2025.0</v>
      </c>
      <c r="AV119" s="1">
        <v>9.0</v>
      </c>
      <c r="AW119" s="1">
        <v>12.0</v>
      </c>
      <c r="AX119" s="1" t="s">
        <v>74</v>
      </c>
      <c r="AY119" s="1" t="s">
        <v>74</v>
      </c>
      <c r="AZ119" s="1" t="s">
        <v>74</v>
      </c>
      <c r="BA119" s="1" t="s">
        <v>74</v>
      </c>
      <c r="BB119" s="1" t="s">
        <v>74</v>
      </c>
      <c r="BC119" s="1" t="s">
        <v>74</v>
      </c>
      <c r="BD119" s="1">
        <v>304.0</v>
      </c>
      <c r="BE119" s="1" t="s">
        <v>1287</v>
      </c>
      <c r="BF119" s="2" t="str">
        <f>HYPERLINK("http://dx.doi.org/10.3390/bdcc9120304","http://dx.doi.org/10.3390/bdcc9120304")</f>
        <v>http://dx.doi.org/10.3390/bdcc9120304</v>
      </c>
      <c r="BG119" s="1" t="s">
        <v>74</v>
      </c>
      <c r="BH119" s="1" t="s">
        <v>74</v>
      </c>
      <c r="BI119" s="1" t="s">
        <v>74</v>
      </c>
      <c r="BJ119" s="1" t="s">
        <v>74</v>
      </c>
      <c r="BK119" s="1" t="s">
        <v>74</v>
      </c>
      <c r="BL119" s="1" t="s">
        <v>174</v>
      </c>
      <c r="BM119" s="1" t="s">
        <v>74</v>
      </c>
      <c r="BN119" s="1" t="s">
        <v>74</v>
      </c>
      <c r="BO119" s="1" t="s">
        <v>163</v>
      </c>
      <c r="BP119" s="1" t="s">
        <v>74</v>
      </c>
      <c r="BQ119" s="1" t="s">
        <v>74</v>
      </c>
      <c r="BR119" s="1" t="s">
        <v>74</v>
      </c>
      <c r="BS119" s="1" t="s">
        <v>1288</v>
      </c>
      <c r="BT119" s="1" t="str">
        <f>HYPERLINK("https%3A%2F%2Fwww.webofscience.com%2Fwos%2Fwoscc%2Ffull-record%2FWOS:001646850900001","View Full Record in Web of Science")</f>
        <v>View Full Record in Web of Science</v>
      </c>
    </row>
    <row r="120" ht="12.75" customHeight="1">
      <c r="A120" s="1" t="s">
        <v>72</v>
      </c>
      <c r="B120" s="1" t="s">
        <v>1289</v>
      </c>
      <c r="C120" s="1" t="s">
        <v>74</v>
      </c>
      <c r="D120" s="1" t="s">
        <v>74</v>
      </c>
      <c r="E120" s="1" t="s">
        <v>74</v>
      </c>
      <c r="F120" s="1" t="s">
        <v>1290</v>
      </c>
      <c r="G120" s="1" t="s">
        <v>74</v>
      </c>
      <c r="H120" s="1" t="s">
        <v>74</v>
      </c>
      <c r="I120" s="1" t="s">
        <v>1291</v>
      </c>
      <c r="J120" s="1" t="s">
        <v>1292</v>
      </c>
      <c r="K120" s="1" t="s">
        <v>74</v>
      </c>
      <c r="L120" s="1" t="s">
        <v>74</v>
      </c>
      <c r="M120" s="1" t="s">
        <v>74</v>
      </c>
      <c r="N120" s="1" t="s">
        <v>78</v>
      </c>
      <c r="O120" s="1" t="s">
        <v>74</v>
      </c>
      <c r="P120" s="1" t="s">
        <v>74</v>
      </c>
      <c r="Q120" s="1" t="s">
        <v>74</v>
      </c>
      <c r="R120" s="1" t="s">
        <v>74</v>
      </c>
      <c r="S120" s="1" t="s">
        <v>74</v>
      </c>
      <c r="T120" s="1" t="s">
        <v>1293</v>
      </c>
      <c r="U120" s="1" t="s">
        <v>74</v>
      </c>
      <c r="V120" s="1" t="s">
        <v>1294</v>
      </c>
      <c r="W120" s="1" t="s">
        <v>74</v>
      </c>
      <c r="X120" s="1" t="s">
        <v>74</v>
      </c>
      <c r="Y120" s="1" t="s">
        <v>74</v>
      </c>
      <c r="Z120" s="1" t="s">
        <v>74</v>
      </c>
      <c r="AA120" s="1" t="s">
        <v>74</v>
      </c>
      <c r="AB120" s="1" t="s">
        <v>74</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1295</v>
      </c>
      <c r="AP120" s="1" t="s">
        <v>1296</v>
      </c>
      <c r="AQ120" s="1" t="s">
        <v>74</v>
      </c>
      <c r="AR120" s="1" t="s">
        <v>74</v>
      </c>
      <c r="AS120" s="1" t="s">
        <v>74</v>
      </c>
      <c r="AT120" s="1" t="s">
        <v>736</v>
      </c>
      <c r="AU120" s="1">
        <v>2026.0</v>
      </c>
      <c r="AV120" s="1">
        <v>91.0</v>
      </c>
      <c r="AW120" s="1" t="s">
        <v>74</v>
      </c>
      <c r="AX120" s="1" t="s">
        <v>74</v>
      </c>
      <c r="AY120" s="1" t="s">
        <v>74</v>
      </c>
      <c r="AZ120" s="1" t="s">
        <v>74</v>
      </c>
      <c r="BA120" s="1" t="s">
        <v>74</v>
      </c>
      <c r="BB120" s="1" t="s">
        <v>74</v>
      </c>
      <c r="BC120" s="1" t="s">
        <v>74</v>
      </c>
      <c r="BD120" s="1">
        <v>103255.0</v>
      </c>
      <c r="BE120" s="1" t="s">
        <v>1297</v>
      </c>
      <c r="BF120" s="2" t="str">
        <f>HYPERLINK("http://dx.doi.org/10.1016/j.displa.2025.103255","http://dx.doi.org/10.1016/j.displa.2025.103255")</f>
        <v>http://dx.doi.org/10.1016/j.displa.2025.103255</v>
      </c>
      <c r="BG120" s="1" t="s">
        <v>74</v>
      </c>
      <c r="BH120" s="1" t="s">
        <v>811</v>
      </c>
      <c r="BI120" s="1" t="s">
        <v>74</v>
      </c>
      <c r="BJ120" s="1" t="s">
        <v>74</v>
      </c>
      <c r="BK120" s="1" t="s">
        <v>74</v>
      </c>
      <c r="BL120" s="1" t="s">
        <v>1298</v>
      </c>
      <c r="BM120" s="1" t="s">
        <v>74</v>
      </c>
      <c r="BN120" s="1" t="s">
        <v>74</v>
      </c>
      <c r="BO120" s="1" t="s">
        <v>74</v>
      </c>
      <c r="BP120" s="1" t="s">
        <v>74</v>
      </c>
      <c r="BQ120" s="1" t="s">
        <v>74</v>
      </c>
      <c r="BR120" s="1" t="s">
        <v>74</v>
      </c>
      <c r="BS120" s="1" t="s">
        <v>1299</v>
      </c>
      <c r="BT120" s="1" t="str">
        <f>HYPERLINK("https%3A%2F%2Fwww.webofscience.com%2Fwos%2Fwoscc%2Ffull-record%2FWOS:001605922100001","View Full Record in Web of Science")</f>
        <v>View Full Record in Web of Science</v>
      </c>
    </row>
    <row r="121" ht="12.75" customHeight="1">
      <c r="A121" s="1" t="s">
        <v>72</v>
      </c>
      <c r="B121" s="1" t="s">
        <v>1300</v>
      </c>
      <c r="C121" s="1" t="s">
        <v>74</v>
      </c>
      <c r="D121" s="1" t="s">
        <v>74</v>
      </c>
      <c r="E121" s="1" t="s">
        <v>74</v>
      </c>
      <c r="F121" s="1" t="s">
        <v>1301</v>
      </c>
      <c r="G121" s="1" t="s">
        <v>74</v>
      </c>
      <c r="H121" s="1" t="s">
        <v>74</v>
      </c>
      <c r="I121" s="1" t="s">
        <v>1302</v>
      </c>
      <c r="J121" s="1" t="s">
        <v>720</v>
      </c>
      <c r="K121" s="1" t="s">
        <v>74</v>
      </c>
      <c r="L121" s="1" t="s">
        <v>74</v>
      </c>
      <c r="M121" s="1" t="s">
        <v>74</v>
      </c>
      <c r="N121" s="1" t="s">
        <v>78</v>
      </c>
      <c r="O121" s="1" t="s">
        <v>74</v>
      </c>
      <c r="P121" s="1" t="s">
        <v>74</v>
      </c>
      <c r="Q121" s="1" t="s">
        <v>74</v>
      </c>
      <c r="R121" s="1" t="s">
        <v>74</v>
      </c>
      <c r="S121" s="1" t="s">
        <v>74</v>
      </c>
      <c r="T121" s="1" t="s">
        <v>1303</v>
      </c>
      <c r="U121" s="1" t="s">
        <v>74</v>
      </c>
      <c r="V121" s="1" t="s">
        <v>1304</v>
      </c>
      <c r="W121" s="1" t="s">
        <v>74</v>
      </c>
      <c r="X121" s="1" t="s">
        <v>74</v>
      </c>
      <c r="Y121" s="1" t="s">
        <v>74</v>
      </c>
      <c r="Z121" s="1" t="s">
        <v>74</v>
      </c>
      <c r="AA121" s="1" t="s">
        <v>74</v>
      </c>
      <c r="AB121" s="1" t="s">
        <v>74</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723</v>
      </c>
      <c r="AP121" s="1" t="s">
        <v>724</v>
      </c>
      <c r="AQ121" s="1" t="s">
        <v>74</v>
      </c>
      <c r="AR121" s="1" t="s">
        <v>74</v>
      </c>
      <c r="AS121" s="1" t="s">
        <v>74</v>
      </c>
      <c r="AT121" s="1" t="s">
        <v>1305</v>
      </c>
      <c r="AU121" s="1">
        <v>2025.0</v>
      </c>
      <c r="AV121" s="1">
        <v>652.0</v>
      </c>
      <c r="AW121" s="1" t="s">
        <v>74</v>
      </c>
      <c r="AX121" s="1" t="s">
        <v>74</v>
      </c>
      <c r="AY121" s="1" t="s">
        <v>74</v>
      </c>
      <c r="AZ121" s="1" t="s">
        <v>74</v>
      </c>
      <c r="BA121" s="1" t="s">
        <v>74</v>
      </c>
      <c r="BB121" s="1" t="s">
        <v>74</v>
      </c>
      <c r="BC121" s="1" t="s">
        <v>74</v>
      </c>
      <c r="BD121" s="1">
        <v>131015.0</v>
      </c>
      <c r="BE121" s="1" t="s">
        <v>1306</v>
      </c>
      <c r="BF121" s="2" t="str">
        <f>HYPERLINK("http://dx.doi.org/10.1016/j.neucom.2025.131015","http://dx.doi.org/10.1016/j.neucom.2025.131015")</f>
        <v>http://dx.doi.org/10.1016/j.neucom.2025.131015</v>
      </c>
      <c r="BG121" s="1" t="s">
        <v>74</v>
      </c>
      <c r="BH121" s="1" t="s">
        <v>973</v>
      </c>
      <c r="BI121" s="1" t="s">
        <v>74</v>
      </c>
      <c r="BJ121" s="1" t="s">
        <v>74</v>
      </c>
      <c r="BK121" s="1" t="s">
        <v>74</v>
      </c>
      <c r="BL121" s="1" t="s">
        <v>174</v>
      </c>
      <c r="BM121" s="1" t="s">
        <v>74</v>
      </c>
      <c r="BN121" s="1" t="s">
        <v>74</v>
      </c>
      <c r="BO121" s="1" t="s">
        <v>74</v>
      </c>
      <c r="BP121" s="1" t="s">
        <v>74</v>
      </c>
      <c r="BQ121" s="1" t="s">
        <v>74</v>
      </c>
      <c r="BR121" s="1" t="s">
        <v>74</v>
      </c>
      <c r="BS121" s="1" t="s">
        <v>1307</v>
      </c>
      <c r="BT121" s="1" t="str">
        <f>HYPERLINK("https%3A%2F%2Fwww.webofscience.com%2Fwos%2Fwoscc%2Ffull-record%2FWOS:001541109600001","View Full Record in Web of Science")</f>
        <v>View Full Record in Web of Science</v>
      </c>
    </row>
    <row r="122" ht="12.75" customHeight="1">
      <c r="A122" s="1" t="s">
        <v>72</v>
      </c>
      <c r="B122" s="1" t="s">
        <v>1308</v>
      </c>
      <c r="C122" s="1" t="s">
        <v>74</v>
      </c>
      <c r="D122" s="1" t="s">
        <v>74</v>
      </c>
      <c r="E122" s="1" t="s">
        <v>74</v>
      </c>
      <c r="F122" s="1" t="s">
        <v>1309</v>
      </c>
      <c r="G122" s="1" t="s">
        <v>74</v>
      </c>
      <c r="H122" s="1" t="s">
        <v>74</v>
      </c>
      <c r="I122" s="1" t="s">
        <v>1310</v>
      </c>
      <c r="J122" s="1" t="s">
        <v>1021</v>
      </c>
      <c r="K122" s="1" t="s">
        <v>74</v>
      </c>
      <c r="L122" s="1" t="s">
        <v>74</v>
      </c>
      <c r="M122" s="1" t="s">
        <v>74</v>
      </c>
      <c r="N122" s="1" t="s">
        <v>78</v>
      </c>
      <c r="O122" s="1" t="s">
        <v>74</v>
      </c>
      <c r="P122" s="1" t="s">
        <v>74</v>
      </c>
      <c r="Q122" s="1" t="s">
        <v>74</v>
      </c>
      <c r="R122" s="1" t="s">
        <v>74</v>
      </c>
      <c r="S122" s="1" t="s">
        <v>74</v>
      </c>
      <c r="T122" s="1" t="s">
        <v>1311</v>
      </c>
      <c r="U122" s="1" t="s">
        <v>74</v>
      </c>
      <c r="V122" s="1" t="s">
        <v>1312</v>
      </c>
      <c r="W122" s="1" t="s">
        <v>74</v>
      </c>
      <c r="X122" s="1" t="s">
        <v>74</v>
      </c>
      <c r="Y122" s="1" t="s">
        <v>74</v>
      </c>
      <c r="Z122" s="1" t="s">
        <v>74</v>
      </c>
      <c r="AA122" s="1" t="s">
        <v>74</v>
      </c>
      <c r="AB122" s="1" t="s">
        <v>74</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1025</v>
      </c>
      <c r="AP122" s="1" t="s">
        <v>1026</v>
      </c>
      <c r="AQ122" s="1" t="s">
        <v>74</v>
      </c>
      <c r="AR122" s="1" t="s">
        <v>74</v>
      </c>
      <c r="AS122" s="1" t="s">
        <v>74</v>
      </c>
      <c r="AT122" s="1" t="s">
        <v>139</v>
      </c>
      <c r="AU122" s="1">
        <v>2025.0</v>
      </c>
      <c r="AV122" s="1">
        <v>42.0</v>
      </c>
      <c r="AW122" s="1">
        <v>2.0</v>
      </c>
      <c r="AX122" s="1" t="s">
        <v>74</v>
      </c>
      <c r="AY122" s="1" t="s">
        <v>74</v>
      </c>
      <c r="AZ122" s="1" t="s">
        <v>74</v>
      </c>
      <c r="BA122" s="1" t="s">
        <v>74</v>
      </c>
      <c r="BB122" s="1" t="s">
        <v>74</v>
      </c>
      <c r="BC122" s="1" t="s">
        <v>74</v>
      </c>
      <c r="BD122" s="1" t="s">
        <v>74</v>
      </c>
      <c r="BE122" s="1" t="s">
        <v>1313</v>
      </c>
      <c r="BF122" s="2" t="str">
        <f>HYPERLINK("http://dx.doi.org/10.1111/exsy.13719","http://dx.doi.org/10.1111/exsy.13719")</f>
        <v>http://dx.doi.org/10.1111/exsy.13719</v>
      </c>
      <c r="BG122" s="1" t="s">
        <v>74</v>
      </c>
      <c r="BH122" s="1" t="s">
        <v>453</v>
      </c>
      <c r="BI122" s="1" t="s">
        <v>74</v>
      </c>
      <c r="BJ122" s="1" t="s">
        <v>74</v>
      </c>
      <c r="BK122" s="1" t="s">
        <v>74</v>
      </c>
      <c r="BL122" s="1" t="s">
        <v>174</v>
      </c>
      <c r="BM122" s="1" t="s">
        <v>74</v>
      </c>
      <c r="BN122" s="1" t="s">
        <v>74</v>
      </c>
      <c r="BO122" s="1" t="s">
        <v>383</v>
      </c>
      <c r="BP122" s="1" t="s">
        <v>74</v>
      </c>
      <c r="BQ122" s="1" t="s">
        <v>74</v>
      </c>
      <c r="BR122" s="1" t="s">
        <v>74</v>
      </c>
      <c r="BS122" s="1" t="s">
        <v>1314</v>
      </c>
      <c r="BT122" s="1" t="str">
        <f>HYPERLINK("https%3A%2F%2Fwww.webofscience.com%2Fwos%2Fwoscc%2Ffull-record%2FWOS:001303692100001","View Full Record in Web of Science")</f>
        <v>View Full Record in Web of Science</v>
      </c>
    </row>
    <row r="123" ht="12.75" customHeight="1">
      <c r="A123" s="1" t="s">
        <v>72</v>
      </c>
      <c r="B123" s="1" t="s">
        <v>1315</v>
      </c>
      <c r="C123" s="1" t="s">
        <v>74</v>
      </c>
      <c r="D123" s="1" t="s">
        <v>74</v>
      </c>
      <c r="E123" s="1" t="s">
        <v>74</v>
      </c>
      <c r="F123" s="1" t="s">
        <v>1316</v>
      </c>
      <c r="G123" s="1" t="s">
        <v>74</v>
      </c>
      <c r="H123" s="1" t="s">
        <v>74</v>
      </c>
      <c r="I123" s="1" t="s">
        <v>1317</v>
      </c>
      <c r="J123" s="1" t="s">
        <v>1318</v>
      </c>
      <c r="K123" s="1" t="s">
        <v>74</v>
      </c>
      <c r="L123" s="1" t="s">
        <v>74</v>
      </c>
      <c r="M123" s="1" t="s">
        <v>74</v>
      </c>
      <c r="N123" s="1" t="s">
        <v>78</v>
      </c>
      <c r="O123" s="1" t="s">
        <v>74</v>
      </c>
      <c r="P123" s="1" t="s">
        <v>74</v>
      </c>
      <c r="Q123" s="1" t="s">
        <v>74</v>
      </c>
      <c r="R123" s="1" t="s">
        <v>74</v>
      </c>
      <c r="S123" s="1" t="s">
        <v>74</v>
      </c>
      <c r="T123" s="1" t="s">
        <v>1319</v>
      </c>
      <c r="U123" s="1" t="s">
        <v>1320</v>
      </c>
      <c r="V123" s="1" t="s">
        <v>1321</v>
      </c>
      <c r="W123" s="1" t="s">
        <v>74</v>
      </c>
      <c r="X123" s="1" t="s">
        <v>74</v>
      </c>
      <c r="Y123" s="1" t="s">
        <v>74</v>
      </c>
      <c r="Z123" s="1" t="s">
        <v>74</v>
      </c>
      <c r="AA123" s="1" t="s">
        <v>74</v>
      </c>
      <c r="AB123" s="1" t="s">
        <v>74</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1322</v>
      </c>
      <c r="AP123" s="1" t="s">
        <v>1323</v>
      </c>
      <c r="AQ123" s="1" t="s">
        <v>74</v>
      </c>
      <c r="AR123" s="1" t="s">
        <v>74</v>
      </c>
      <c r="AS123" s="1" t="s">
        <v>74</v>
      </c>
      <c r="AT123" s="1" t="s">
        <v>1324</v>
      </c>
      <c r="AU123" s="1">
        <v>2024.0</v>
      </c>
      <c r="AV123" s="1">
        <v>18.0</v>
      </c>
      <c r="AW123" s="1">
        <v>1.0</v>
      </c>
      <c r="AX123" s="1" t="s">
        <v>74</v>
      </c>
      <c r="AY123" s="1" t="s">
        <v>74</v>
      </c>
      <c r="AZ123" s="1" t="s">
        <v>74</v>
      </c>
      <c r="BA123" s="1" t="s">
        <v>74</v>
      </c>
      <c r="BB123" s="1" t="s">
        <v>74</v>
      </c>
      <c r="BC123" s="1" t="s">
        <v>74</v>
      </c>
      <c r="BD123" s="1">
        <v>30.0</v>
      </c>
      <c r="BE123" s="1" t="s">
        <v>1325</v>
      </c>
      <c r="BF123" s="2" t="str">
        <f>HYPERLINK("http://dx.doi.org/10.1007/s12145-024-01600-3","http://dx.doi.org/10.1007/s12145-024-01600-3")</f>
        <v>http://dx.doi.org/10.1007/s12145-024-01600-3</v>
      </c>
      <c r="BG123" s="1" t="s">
        <v>74</v>
      </c>
      <c r="BH123" s="1" t="s">
        <v>74</v>
      </c>
      <c r="BI123" s="1" t="s">
        <v>74</v>
      </c>
      <c r="BJ123" s="1" t="s">
        <v>74</v>
      </c>
      <c r="BK123" s="1" t="s">
        <v>74</v>
      </c>
      <c r="BL123" s="1" t="s">
        <v>1326</v>
      </c>
      <c r="BM123" s="1" t="s">
        <v>74</v>
      </c>
      <c r="BN123" s="1" t="s">
        <v>74</v>
      </c>
      <c r="BO123" s="1" t="s">
        <v>74</v>
      </c>
      <c r="BP123" s="1" t="s">
        <v>74</v>
      </c>
      <c r="BQ123" s="1" t="s">
        <v>74</v>
      </c>
      <c r="BR123" s="1" t="s">
        <v>74</v>
      </c>
      <c r="BS123" s="1" t="s">
        <v>1327</v>
      </c>
      <c r="BT123" s="1" t="str">
        <f>HYPERLINK("https%3A%2F%2Fwww.webofscience.com%2Fwos%2Fwoscc%2Ffull-record%2FWOS:001374831100001","View Full Record in Web of Science")</f>
        <v>View Full Record in Web of Science</v>
      </c>
    </row>
    <row r="124" ht="12.75" customHeight="1">
      <c r="A124" s="1" t="s">
        <v>72</v>
      </c>
      <c r="B124" s="1" t="s">
        <v>1328</v>
      </c>
      <c r="C124" s="1" t="s">
        <v>74</v>
      </c>
      <c r="D124" s="1" t="s">
        <v>74</v>
      </c>
      <c r="E124" s="1" t="s">
        <v>74</v>
      </c>
      <c r="F124" s="1" t="s">
        <v>1329</v>
      </c>
      <c r="G124" s="1" t="s">
        <v>74</v>
      </c>
      <c r="H124" s="1" t="s">
        <v>74</v>
      </c>
      <c r="I124" s="1" t="s">
        <v>1330</v>
      </c>
      <c r="J124" s="1" t="s">
        <v>147</v>
      </c>
      <c r="K124" s="1" t="s">
        <v>74</v>
      </c>
      <c r="L124" s="1" t="s">
        <v>74</v>
      </c>
      <c r="M124" s="1" t="s">
        <v>74</v>
      </c>
      <c r="N124" s="1" t="s">
        <v>78</v>
      </c>
      <c r="O124" s="1" t="s">
        <v>74</v>
      </c>
      <c r="P124" s="1" t="s">
        <v>74</v>
      </c>
      <c r="Q124" s="1" t="s">
        <v>74</v>
      </c>
      <c r="R124" s="1" t="s">
        <v>74</v>
      </c>
      <c r="S124" s="1" t="s">
        <v>74</v>
      </c>
      <c r="T124" s="1" t="s">
        <v>1331</v>
      </c>
      <c r="U124" s="1" t="s">
        <v>74</v>
      </c>
      <c r="V124" s="1" t="s">
        <v>1332</v>
      </c>
      <c r="W124" s="1" t="s">
        <v>74</v>
      </c>
      <c r="X124" s="1" t="s">
        <v>74</v>
      </c>
      <c r="Y124" s="1" t="s">
        <v>74</v>
      </c>
      <c r="Z124" s="1" t="s">
        <v>74</v>
      </c>
      <c r="AA124" s="1" t="s">
        <v>74</v>
      </c>
      <c r="AB124" s="1" t="s">
        <v>74</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150</v>
      </c>
      <c r="AP124" s="1" t="s">
        <v>74</v>
      </c>
      <c r="AQ124" s="1" t="s">
        <v>74</v>
      </c>
      <c r="AR124" s="1" t="s">
        <v>74</v>
      </c>
      <c r="AS124" s="1" t="s">
        <v>74</v>
      </c>
      <c r="AT124" s="1" t="s">
        <v>74</v>
      </c>
      <c r="AU124" s="1">
        <v>2025.0</v>
      </c>
      <c r="AV124" s="1">
        <v>13.0</v>
      </c>
      <c r="AW124" s="1" t="s">
        <v>74</v>
      </c>
      <c r="AX124" s="1" t="s">
        <v>74</v>
      </c>
      <c r="AY124" s="1" t="s">
        <v>74</v>
      </c>
      <c r="AZ124" s="1" t="s">
        <v>74</v>
      </c>
      <c r="BA124" s="1" t="s">
        <v>74</v>
      </c>
      <c r="BB124" s="1">
        <v>109946.0</v>
      </c>
      <c r="BC124" s="1">
        <v>109959.0</v>
      </c>
      <c r="BD124" s="1" t="s">
        <v>74</v>
      </c>
      <c r="BE124" s="1" t="s">
        <v>1333</v>
      </c>
      <c r="BF124" s="2" t="str">
        <f>HYPERLINK("http://dx.doi.org/10.1109/ACCESS.2025.3582754","http://dx.doi.org/10.1109/ACCESS.2025.3582754")</f>
        <v>http://dx.doi.org/10.1109/ACCESS.2025.3582754</v>
      </c>
      <c r="BG124" s="1" t="s">
        <v>74</v>
      </c>
      <c r="BH124" s="1" t="s">
        <v>74</v>
      </c>
      <c r="BI124" s="1" t="s">
        <v>74</v>
      </c>
      <c r="BJ124" s="1" t="s">
        <v>74</v>
      </c>
      <c r="BK124" s="1" t="s">
        <v>74</v>
      </c>
      <c r="BL124" s="1" t="s">
        <v>152</v>
      </c>
      <c r="BM124" s="1" t="s">
        <v>74</v>
      </c>
      <c r="BN124" s="1" t="s">
        <v>74</v>
      </c>
      <c r="BO124" s="1" t="s">
        <v>153</v>
      </c>
      <c r="BP124" s="1" t="s">
        <v>74</v>
      </c>
      <c r="BQ124" s="1" t="s">
        <v>74</v>
      </c>
      <c r="BR124" s="1" t="s">
        <v>74</v>
      </c>
      <c r="BS124" s="1" t="s">
        <v>1334</v>
      </c>
      <c r="BT124" s="1" t="str">
        <f>HYPERLINK("https%3A%2F%2Fwww.webofscience.com%2Fwos%2Fwoscc%2Ffull-record%2FWOS:001521568200010","View Full Record in Web of Science")</f>
        <v>View Full Record in Web of Science</v>
      </c>
    </row>
    <row r="125" ht="12.75" customHeight="1">
      <c r="A125" s="1" t="s">
        <v>72</v>
      </c>
      <c r="B125" s="1" t="s">
        <v>1335</v>
      </c>
      <c r="C125" s="1" t="s">
        <v>74</v>
      </c>
      <c r="D125" s="1" t="s">
        <v>74</v>
      </c>
      <c r="E125" s="1" t="s">
        <v>74</v>
      </c>
      <c r="F125" s="1" t="s">
        <v>1336</v>
      </c>
      <c r="G125" s="1" t="s">
        <v>74</v>
      </c>
      <c r="H125" s="1" t="s">
        <v>74</v>
      </c>
      <c r="I125" s="1" t="s">
        <v>1337</v>
      </c>
      <c r="J125" s="1" t="s">
        <v>1338</v>
      </c>
      <c r="K125" s="1" t="s">
        <v>74</v>
      </c>
      <c r="L125" s="1" t="s">
        <v>74</v>
      </c>
      <c r="M125" s="1" t="s">
        <v>74</v>
      </c>
      <c r="N125" s="1" t="s">
        <v>78</v>
      </c>
      <c r="O125" s="1" t="s">
        <v>74</v>
      </c>
      <c r="P125" s="1" t="s">
        <v>74</v>
      </c>
      <c r="Q125" s="1" t="s">
        <v>74</v>
      </c>
      <c r="R125" s="1" t="s">
        <v>74</v>
      </c>
      <c r="S125" s="1" t="s">
        <v>74</v>
      </c>
      <c r="T125" s="1" t="s">
        <v>1339</v>
      </c>
      <c r="U125" s="1" t="s">
        <v>74</v>
      </c>
      <c r="V125" s="1" t="s">
        <v>1340</v>
      </c>
      <c r="W125" s="1" t="s">
        <v>74</v>
      </c>
      <c r="X125" s="1" t="s">
        <v>74</v>
      </c>
      <c r="Y125" s="1" t="s">
        <v>74</v>
      </c>
      <c r="Z125" s="1" t="s">
        <v>74</v>
      </c>
      <c r="AA125" s="1" t="s">
        <v>74</v>
      </c>
      <c r="AB125" s="1" t="s">
        <v>74</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1341</v>
      </c>
      <c r="AP125" s="1" t="s">
        <v>74</v>
      </c>
      <c r="AQ125" s="1" t="s">
        <v>74</v>
      </c>
      <c r="AR125" s="1" t="s">
        <v>74</v>
      </c>
      <c r="AS125" s="1" t="s">
        <v>74</v>
      </c>
      <c r="AT125" s="1" t="s">
        <v>172</v>
      </c>
      <c r="AU125" s="1">
        <v>2024.0</v>
      </c>
      <c r="AV125" s="1">
        <v>17.0</v>
      </c>
      <c r="AW125" s="1">
        <v>6.0</v>
      </c>
      <c r="AX125" s="1" t="s">
        <v>74</v>
      </c>
      <c r="AY125" s="1" t="s">
        <v>74</v>
      </c>
      <c r="AZ125" s="1" t="s">
        <v>74</v>
      </c>
      <c r="BA125" s="1" t="s">
        <v>74</v>
      </c>
      <c r="BB125" s="1">
        <v>4558.0</v>
      </c>
      <c r="BC125" s="1">
        <v>4577.0</v>
      </c>
      <c r="BD125" s="1" t="s">
        <v>74</v>
      </c>
      <c r="BE125" s="1" t="s">
        <v>1342</v>
      </c>
      <c r="BF125" s="2" t="str">
        <f>HYPERLINK("http://dx.doi.org/10.1109/TSC.2024.3451185","http://dx.doi.org/10.1109/TSC.2024.3451185")</f>
        <v>http://dx.doi.org/10.1109/TSC.2024.3451185</v>
      </c>
      <c r="BG125" s="1" t="s">
        <v>74</v>
      </c>
      <c r="BH125" s="1" t="s">
        <v>74</v>
      </c>
      <c r="BI125" s="1" t="s">
        <v>74</v>
      </c>
      <c r="BJ125" s="1" t="s">
        <v>74</v>
      </c>
      <c r="BK125" s="1" t="s">
        <v>74</v>
      </c>
      <c r="BL125" s="1" t="s">
        <v>174</v>
      </c>
      <c r="BM125" s="1" t="s">
        <v>74</v>
      </c>
      <c r="BN125" s="1" t="s">
        <v>74</v>
      </c>
      <c r="BO125" s="1" t="s">
        <v>74</v>
      </c>
      <c r="BP125" s="1" t="s">
        <v>74</v>
      </c>
      <c r="BQ125" s="1" t="s">
        <v>74</v>
      </c>
      <c r="BR125" s="1" t="s">
        <v>74</v>
      </c>
      <c r="BS125" s="1" t="s">
        <v>1343</v>
      </c>
      <c r="BT125" s="1" t="str">
        <f>HYPERLINK("https%3A%2F%2Fwww.webofscience.com%2Fwos%2Fwoscc%2Ffull-record%2FWOS:001386510000027","View Full Record in Web of Science")</f>
        <v>View Full Record in Web of Science</v>
      </c>
    </row>
    <row r="126" ht="12.75" customHeight="1">
      <c r="A126" s="1" t="s">
        <v>72</v>
      </c>
      <c r="B126" s="1" t="s">
        <v>1344</v>
      </c>
      <c r="C126" s="1" t="s">
        <v>74</v>
      </c>
      <c r="D126" s="1" t="s">
        <v>74</v>
      </c>
      <c r="E126" s="1" t="s">
        <v>74</v>
      </c>
      <c r="F126" s="1" t="s">
        <v>1345</v>
      </c>
      <c r="G126" s="1" t="s">
        <v>74</v>
      </c>
      <c r="H126" s="1" t="s">
        <v>74</v>
      </c>
      <c r="I126" s="1" t="s">
        <v>1346</v>
      </c>
      <c r="J126" s="1" t="s">
        <v>793</v>
      </c>
      <c r="K126" s="1" t="s">
        <v>74</v>
      </c>
      <c r="L126" s="1" t="s">
        <v>74</v>
      </c>
      <c r="M126" s="1" t="s">
        <v>74</v>
      </c>
      <c r="N126" s="1" t="s">
        <v>158</v>
      </c>
      <c r="O126" s="1" t="s">
        <v>74</v>
      </c>
      <c r="P126" s="1" t="s">
        <v>74</v>
      </c>
      <c r="Q126" s="1" t="s">
        <v>74</v>
      </c>
      <c r="R126" s="1" t="s">
        <v>74</v>
      </c>
      <c r="S126" s="1" t="s">
        <v>74</v>
      </c>
      <c r="T126" s="1" t="s">
        <v>1347</v>
      </c>
      <c r="U126" s="1" t="s">
        <v>74</v>
      </c>
      <c r="V126" s="1" t="s">
        <v>1348</v>
      </c>
      <c r="W126" s="1" t="s">
        <v>74</v>
      </c>
      <c r="X126" s="1" t="s">
        <v>74</v>
      </c>
      <c r="Y126" s="1" t="s">
        <v>74</v>
      </c>
      <c r="Z126" s="1" t="s">
        <v>74</v>
      </c>
      <c r="AA126" s="1" t="s">
        <v>74</v>
      </c>
      <c r="AB126" s="1" t="s">
        <v>74</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797</v>
      </c>
      <c r="AP126" s="1" t="s">
        <v>74</v>
      </c>
      <c r="AQ126" s="1" t="s">
        <v>74</v>
      </c>
      <c r="AR126" s="1" t="s">
        <v>74</v>
      </c>
      <c r="AS126" s="1" t="s">
        <v>74</v>
      </c>
      <c r="AT126" s="1" t="s">
        <v>1349</v>
      </c>
      <c r="AU126" s="1">
        <v>2025.0</v>
      </c>
      <c r="AV126" s="1">
        <v>17.0</v>
      </c>
      <c r="AW126" s="1">
        <v>9.0</v>
      </c>
      <c r="AX126" s="1" t="s">
        <v>74</v>
      </c>
      <c r="AY126" s="1" t="s">
        <v>74</v>
      </c>
      <c r="AZ126" s="1" t="s">
        <v>74</v>
      </c>
      <c r="BA126" s="1" t="s">
        <v>74</v>
      </c>
      <c r="BB126" s="1" t="s">
        <v>74</v>
      </c>
      <c r="BC126" s="1" t="s">
        <v>74</v>
      </c>
      <c r="BD126" s="1">
        <v>396.0</v>
      </c>
      <c r="BE126" s="1" t="s">
        <v>1350</v>
      </c>
      <c r="BF126" s="2" t="str">
        <f>HYPERLINK("http://dx.doi.org/10.3390/fi17090396","http://dx.doi.org/10.3390/fi17090396")</f>
        <v>http://dx.doi.org/10.3390/fi17090396</v>
      </c>
      <c r="BG126" s="1" t="s">
        <v>74</v>
      </c>
      <c r="BH126" s="1" t="s">
        <v>74</v>
      </c>
      <c r="BI126" s="1" t="s">
        <v>74</v>
      </c>
      <c r="BJ126" s="1" t="s">
        <v>74</v>
      </c>
      <c r="BK126" s="1" t="s">
        <v>74</v>
      </c>
      <c r="BL126" s="1" t="s">
        <v>174</v>
      </c>
      <c r="BM126" s="1" t="s">
        <v>74</v>
      </c>
      <c r="BN126" s="1" t="s">
        <v>74</v>
      </c>
      <c r="BO126" s="1" t="s">
        <v>163</v>
      </c>
      <c r="BP126" s="1" t="s">
        <v>74</v>
      </c>
      <c r="BQ126" s="1" t="s">
        <v>74</v>
      </c>
      <c r="BR126" s="1" t="s">
        <v>74</v>
      </c>
      <c r="BS126" s="1" t="s">
        <v>1351</v>
      </c>
      <c r="BT126" s="1" t="str">
        <f>HYPERLINK("https%3A%2F%2Fwww.webofscience.com%2Fwos%2Fwoscc%2Ffull-record%2FWOS:001580972800001","View Full Record in Web of Science")</f>
        <v>View Full Record in Web of Science</v>
      </c>
    </row>
    <row r="127" ht="12.75" customHeight="1">
      <c r="A127" s="1" t="s">
        <v>72</v>
      </c>
      <c r="B127" s="1" t="s">
        <v>1352</v>
      </c>
      <c r="C127" s="1" t="s">
        <v>74</v>
      </c>
      <c r="D127" s="1" t="s">
        <v>74</v>
      </c>
      <c r="E127" s="1" t="s">
        <v>74</v>
      </c>
      <c r="F127" s="1" t="s">
        <v>1353</v>
      </c>
      <c r="G127" s="1" t="s">
        <v>74</v>
      </c>
      <c r="H127" s="1" t="s">
        <v>74</v>
      </c>
      <c r="I127" s="1" t="s">
        <v>1354</v>
      </c>
      <c r="J127" s="1" t="s">
        <v>471</v>
      </c>
      <c r="K127" s="1" t="s">
        <v>74</v>
      </c>
      <c r="L127" s="1" t="s">
        <v>74</v>
      </c>
      <c r="M127" s="1" t="s">
        <v>74</v>
      </c>
      <c r="N127" s="1" t="s">
        <v>78</v>
      </c>
      <c r="O127" s="1" t="s">
        <v>74</v>
      </c>
      <c r="P127" s="1" t="s">
        <v>74</v>
      </c>
      <c r="Q127" s="1" t="s">
        <v>74</v>
      </c>
      <c r="R127" s="1" t="s">
        <v>74</v>
      </c>
      <c r="S127" s="1" t="s">
        <v>74</v>
      </c>
      <c r="T127" s="1" t="s">
        <v>1355</v>
      </c>
      <c r="U127" s="1" t="s">
        <v>74</v>
      </c>
      <c r="V127" s="1" t="s">
        <v>1356</v>
      </c>
      <c r="W127" s="1" t="s">
        <v>74</v>
      </c>
      <c r="X127" s="1" t="s">
        <v>74</v>
      </c>
      <c r="Y127" s="1" t="s">
        <v>74</v>
      </c>
      <c r="Z127" s="1" t="s">
        <v>74</v>
      </c>
      <c r="AA127" s="1" t="s">
        <v>74</v>
      </c>
      <c r="AB127" s="1" t="s">
        <v>74</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474</v>
      </c>
      <c r="AP127" s="1" t="s">
        <v>74</v>
      </c>
      <c r="AQ127" s="1" t="s">
        <v>74</v>
      </c>
      <c r="AR127" s="1" t="s">
        <v>74</v>
      </c>
      <c r="AS127" s="1" t="s">
        <v>74</v>
      </c>
      <c r="AT127" s="1" t="s">
        <v>172</v>
      </c>
      <c r="AU127" s="1">
        <v>2024.0</v>
      </c>
      <c r="AV127" s="1">
        <v>13.0</v>
      </c>
      <c r="AW127" s="1">
        <v>11.0</v>
      </c>
      <c r="AX127" s="1" t="s">
        <v>74</v>
      </c>
      <c r="AY127" s="1" t="s">
        <v>74</v>
      </c>
      <c r="AZ127" s="1" t="s">
        <v>74</v>
      </c>
      <c r="BA127" s="1" t="s">
        <v>74</v>
      </c>
      <c r="BB127" s="1" t="s">
        <v>74</v>
      </c>
      <c r="BC127" s="1" t="s">
        <v>74</v>
      </c>
      <c r="BD127" s="1">
        <v>292.0</v>
      </c>
      <c r="BE127" s="1" t="s">
        <v>1357</v>
      </c>
      <c r="BF127" s="2" t="str">
        <f>HYPERLINK("http://dx.doi.org/10.3390/computers13110292","http://dx.doi.org/10.3390/computers13110292")</f>
        <v>http://dx.doi.org/10.3390/computers13110292</v>
      </c>
      <c r="BG127" s="1" t="s">
        <v>74</v>
      </c>
      <c r="BH127" s="1" t="s">
        <v>74</v>
      </c>
      <c r="BI127" s="1" t="s">
        <v>74</v>
      </c>
      <c r="BJ127" s="1" t="s">
        <v>74</v>
      </c>
      <c r="BK127" s="1" t="s">
        <v>74</v>
      </c>
      <c r="BL127" s="1" t="s">
        <v>174</v>
      </c>
      <c r="BM127" s="1" t="s">
        <v>74</v>
      </c>
      <c r="BN127" s="1" t="s">
        <v>74</v>
      </c>
      <c r="BO127" s="1" t="s">
        <v>163</v>
      </c>
      <c r="BP127" s="1" t="s">
        <v>74</v>
      </c>
      <c r="BQ127" s="1" t="s">
        <v>74</v>
      </c>
      <c r="BR127" s="1" t="s">
        <v>74</v>
      </c>
      <c r="BS127" s="1" t="s">
        <v>1358</v>
      </c>
      <c r="BT127" s="1" t="str">
        <f>HYPERLINK("https%3A%2F%2Fwww.webofscience.com%2Fwos%2Fwoscc%2Ffull-record%2FWOS:001364091900001","View Full Record in Web of Science")</f>
        <v>View Full Record in Web of Science</v>
      </c>
    </row>
    <row r="128" ht="12.75" customHeight="1">
      <c r="A128" s="1" t="s">
        <v>72</v>
      </c>
      <c r="B128" s="1" t="s">
        <v>1359</v>
      </c>
      <c r="C128" s="1" t="s">
        <v>74</v>
      </c>
      <c r="D128" s="1" t="s">
        <v>74</v>
      </c>
      <c r="E128" s="1" t="s">
        <v>74</v>
      </c>
      <c r="F128" s="1" t="s">
        <v>1360</v>
      </c>
      <c r="G128" s="1" t="s">
        <v>74</v>
      </c>
      <c r="H128" s="1" t="s">
        <v>74</v>
      </c>
      <c r="I128" s="1" t="s">
        <v>1361</v>
      </c>
      <c r="J128" s="1" t="s">
        <v>1362</v>
      </c>
      <c r="K128" s="1" t="s">
        <v>74</v>
      </c>
      <c r="L128" s="1" t="s">
        <v>74</v>
      </c>
      <c r="M128" s="1" t="s">
        <v>74</v>
      </c>
      <c r="N128" s="1" t="s">
        <v>953</v>
      </c>
      <c r="O128" s="1" t="s">
        <v>74</v>
      </c>
      <c r="P128" s="1" t="s">
        <v>74</v>
      </c>
      <c r="Q128" s="1" t="s">
        <v>74</v>
      </c>
      <c r="R128" s="1" t="s">
        <v>74</v>
      </c>
      <c r="S128" s="1" t="s">
        <v>74</v>
      </c>
      <c r="T128" s="1" t="s">
        <v>1363</v>
      </c>
      <c r="U128" s="1" t="s">
        <v>1364</v>
      </c>
      <c r="V128" s="1" t="s">
        <v>1365</v>
      </c>
      <c r="W128" s="1" t="s">
        <v>74</v>
      </c>
      <c r="X128" s="1" t="s">
        <v>74</v>
      </c>
      <c r="Y128" s="1" t="s">
        <v>74</v>
      </c>
      <c r="Z128" s="1" t="s">
        <v>74</v>
      </c>
      <c r="AA128" s="1" t="s">
        <v>74</v>
      </c>
      <c r="AB128" s="1" t="s">
        <v>74</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1366</v>
      </c>
      <c r="AP128" s="1" t="s">
        <v>1367</v>
      </c>
      <c r="AQ128" s="1" t="s">
        <v>74</v>
      </c>
      <c r="AR128" s="1" t="s">
        <v>74</v>
      </c>
      <c r="AS128" s="1" t="s">
        <v>74</v>
      </c>
      <c r="AT128" s="1" t="s">
        <v>1368</v>
      </c>
      <c r="AU128" s="1">
        <v>2024.0</v>
      </c>
      <c r="AV128" s="1" t="s">
        <v>74</v>
      </c>
      <c r="AW128" s="1" t="s">
        <v>74</v>
      </c>
      <c r="AX128" s="1" t="s">
        <v>74</v>
      </c>
      <c r="AY128" s="1" t="s">
        <v>74</v>
      </c>
      <c r="AZ128" s="1" t="s">
        <v>74</v>
      </c>
      <c r="BA128" s="1" t="s">
        <v>74</v>
      </c>
      <c r="BB128" s="1" t="s">
        <v>74</v>
      </c>
      <c r="BC128" s="1" t="s">
        <v>74</v>
      </c>
      <c r="BD128" s="1" t="s">
        <v>74</v>
      </c>
      <c r="BE128" s="1" t="s">
        <v>1369</v>
      </c>
      <c r="BF128" s="2" t="str">
        <f>HYPERLINK("http://dx.doi.org/10.1080/0020174X.2024.2439995","http://dx.doi.org/10.1080/0020174X.2024.2439995")</f>
        <v>http://dx.doi.org/10.1080/0020174X.2024.2439995</v>
      </c>
      <c r="BG128" s="1" t="s">
        <v>74</v>
      </c>
      <c r="BH128" s="1" t="s">
        <v>1080</v>
      </c>
      <c r="BI128" s="1" t="s">
        <v>74</v>
      </c>
      <c r="BJ128" s="1" t="s">
        <v>74</v>
      </c>
      <c r="BK128" s="1" t="s">
        <v>74</v>
      </c>
      <c r="BL128" s="1" t="s">
        <v>1370</v>
      </c>
      <c r="BM128" s="1" t="s">
        <v>74</v>
      </c>
      <c r="BN128" s="1" t="s">
        <v>74</v>
      </c>
      <c r="BO128" s="1" t="s">
        <v>74</v>
      </c>
      <c r="BP128" s="1" t="s">
        <v>74</v>
      </c>
      <c r="BQ128" s="1" t="s">
        <v>74</v>
      </c>
      <c r="BR128" s="1" t="s">
        <v>74</v>
      </c>
      <c r="BS128" s="1" t="s">
        <v>1371</v>
      </c>
      <c r="BT128" s="1" t="str">
        <f>HYPERLINK("https%3A%2F%2Fwww.webofscience.com%2Fwos%2Fwoscc%2Ffull-record%2FWOS:001378472900001","View Full Record in Web of Science")</f>
        <v>View Full Record in Web of Science</v>
      </c>
    </row>
    <row r="129" ht="12.75" customHeight="1">
      <c r="A129" s="1" t="s">
        <v>72</v>
      </c>
      <c r="B129" s="1" t="s">
        <v>1372</v>
      </c>
      <c r="C129" s="1" t="s">
        <v>74</v>
      </c>
      <c r="D129" s="1" t="s">
        <v>74</v>
      </c>
      <c r="E129" s="1" t="s">
        <v>74</v>
      </c>
      <c r="F129" s="1" t="s">
        <v>1373</v>
      </c>
      <c r="G129" s="1" t="s">
        <v>74</v>
      </c>
      <c r="H129" s="1" t="s">
        <v>74</v>
      </c>
      <c r="I129" s="1" t="s">
        <v>1374</v>
      </c>
      <c r="J129" s="1" t="s">
        <v>881</v>
      </c>
      <c r="K129" s="1" t="s">
        <v>74</v>
      </c>
      <c r="L129" s="1" t="s">
        <v>74</v>
      </c>
      <c r="M129" s="1" t="s">
        <v>74</v>
      </c>
      <c r="N129" s="1" t="s">
        <v>158</v>
      </c>
      <c r="O129" s="1" t="s">
        <v>74</v>
      </c>
      <c r="P129" s="1" t="s">
        <v>74</v>
      </c>
      <c r="Q129" s="1" t="s">
        <v>74</v>
      </c>
      <c r="R129" s="1" t="s">
        <v>74</v>
      </c>
      <c r="S129" s="1" t="s">
        <v>74</v>
      </c>
      <c r="T129" s="1" t="s">
        <v>1375</v>
      </c>
      <c r="U129" s="1" t="s">
        <v>1376</v>
      </c>
      <c r="V129" s="1" t="s">
        <v>1377</v>
      </c>
      <c r="W129" s="1" t="s">
        <v>74</v>
      </c>
      <c r="X129" s="1" t="s">
        <v>74</v>
      </c>
      <c r="Y129" s="1" t="s">
        <v>74</v>
      </c>
      <c r="Z129" s="1" t="s">
        <v>74</v>
      </c>
      <c r="AA129" s="1" t="s">
        <v>74</v>
      </c>
      <c r="AB129" s="1" t="s">
        <v>74</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74</v>
      </c>
      <c r="AP129" s="1" t="s">
        <v>884</v>
      </c>
      <c r="AQ129" s="1" t="s">
        <v>74</v>
      </c>
      <c r="AR129" s="1" t="s">
        <v>74</v>
      </c>
      <c r="AS129" s="1" t="s">
        <v>74</v>
      </c>
      <c r="AT129" s="1" t="s">
        <v>1378</v>
      </c>
      <c r="AU129" s="1">
        <v>2025.0</v>
      </c>
      <c r="AV129" s="1">
        <v>16.0</v>
      </c>
      <c r="AW129" s="1">
        <v>10.0</v>
      </c>
      <c r="AX129" s="1" t="s">
        <v>74</v>
      </c>
      <c r="AY129" s="1" t="s">
        <v>74</v>
      </c>
      <c r="AZ129" s="1" t="s">
        <v>74</v>
      </c>
      <c r="BA129" s="1" t="s">
        <v>74</v>
      </c>
      <c r="BB129" s="1" t="s">
        <v>74</v>
      </c>
      <c r="BC129" s="1" t="s">
        <v>74</v>
      </c>
      <c r="BD129" s="1">
        <v>894.0</v>
      </c>
      <c r="BE129" s="1" t="s">
        <v>1379</v>
      </c>
      <c r="BF129" s="2" t="str">
        <f>HYPERLINK("http://dx.doi.org/10.3390/info16100894","http://dx.doi.org/10.3390/info16100894")</f>
        <v>http://dx.doi.org/10.3390/info16100894</v>
      </c>
      <c r="BG129" s="1" t="s">
        <v>74</v>
      </c>
      <c r="BH129" s="1" t="s">
        <v>74</v>
      </c>
      <c r="BI129" s="1" t="s">
        <v>74</v>
      </c>
      <c r="BJ129" s="1" t="s">
        <v>74</v>
      </c>
      <c r="BK129" s="1" t="s">
        <v>74</v>
      </c>
      <c r="BL129" s="1" t="s">
        <v>174</v>
      </c>
      <c r="BM129" s="1" t="s">
        <v>74</v>
      </c>
      <c r="BN129" s="1" t="s">
        <v>74</v>
      </c>
      <c r="BO129" s="1" t="s">
        <v>163</v>
      </c>
      <c r="BP129" s="1" t="s">
        <v>74</v>
      </c>
      <c r="BQ129" s="1" t="s">
        <v>74</v>
      </c>
      <c r="BR129" s="1" t="s">
        <v>74</v>
      </c>
      <c r="BS129" s="1" t="s">
        <v>1380</v>
      </c>
      <c r="BT129" s="1" t="str">
        <f>HYPERLINK("https%3A%2F%2Fwww.webofscience.com%2Fwos%2Fwoscc%2Ffull-record%2FWOS:001601677900001","View Full Record in Web of Science")</f>
        <v>View Full Record in Web of Science</v>
      </c>
    </row>
    <row r="130" ht="12.75" customHeight="1">
      <c r="A130" s="1" t="s">
        <v>72</v>
      </c>
      <c r="B130" s="1" t="s">
        <v>1381</v>
      </c>
      <c r="C130" s="1" t="s">
        <v>74</v>
      </c>
      <c r="D130" s="1" t="s">
        <v>74</v>
      </c>
      <c r="E130" s="1" t="s">
        <v>74</v>
      </c>
      <c r="F130" s="1" t="s">
        <v>1382</v>
      </c>
      <c r="G130" s="1" t="s">
        <v>74</v>
      </c>
      <c r="H130" s="1" t="s">
        <v>74</v>
      </c>
      <c r="I130" s="1" t="s">
        <v>1383</v>
      </c>
      <c r="J130" s="1" t="s">
        <v>854</v>
      </c>
      <c r="K130" s="1" t="s">
        <v>74</v>
      </c>
      <c r="L130" s="1" t="s">
        <v>74</v>
      </c>
      <c r="M130" s="1" t="s">
        <v>74</v>
      </c>
      <c r="N130" s="1" t="s">
        <v>78</v>
      </c>
      <c r="O130" s="1" t="s">
        <v>74</v>
      </c>
      <c r="P130" s="1" t="s">
        <v>74</v>
      </c>
      <c r="Q130" s="1" t="s">
        <v>74</v>
      </c>
      <c r="R130" s="1" t="s">
        <v>74</v>
      </c>
      <c r="S130" s="1" t="s">
        <v>74</v>
      </c>
      <c r="T130" s="1" t="s">
        <v>1384</v>
      </c>
      <c r="U130" s="1" t="s">
        <v>74</v>
      </c>
      <c r="V130" s="1" t="s">
        <v>1385</v>
      </c>
      <c r="W130" s="1" t="s">
        <v>74</v>
      </c>
      <c r="X130" s="1" t="s">
        <v>74</v>
      </c>
      <c r="Y130" s="1" t="s">
        <v>74</v>
      </c>
      <c r="Z130" s="1" t="s">
        <v>74</v>
      </c>
      <c r="AA130" s="1" t="s">
        <v>74</v>
      </c>
      <c r="AB130" s="1" t="s">
        <v>74</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857</v>
      </c>
      <c r="AP130" s="1" t="s">
        <v>858</v>
      </c>
      <c r="AQ130" s="1" t="s">
        <v>74</v>
      </c>
      <c r="AR130" s="1" t="s">
        <v>74</v>
      </c>
      <c r="AS130" s="1" t="s">
        <v>74</v>
      </c>
      <c r="AT130" s="1" t="s">
        <v>74</v>
      </c>
      <c r="AU130" s="1">
        <v>2024.0</v>
      </c>
      <c r="AV130" s="1">
        <v>26.0</v>
      </c>
      <c r="AW130" s="1" t="s">
        <v>74</v>
      </c>
      <c r="AX130" s="1" t="s">
        <v>74</v>
      </c>
      <c r="AY130" s="1" t="s">
        <v>74</v>
      </c>
      <c r="AZ130" s="1" t="s">
        <v>74</v>
      </c>
      <c r="BA130" s="1" t="s">
        <v>74</v>
      </c>
      <c r="BB130" s="1">
        <v>10952.0</v>
      </c>
      <c r="BC130" s="1">
        <v>10964.0</v>
      </c>
      <c r="BD130" s="1" t="s">
        <v>74</v>
      </c>
      <c r="BE130" s="1" t="s">
        <v>1386</v>
      </c>
      <c r="BF130" s="2" t="str">
        <f>HYPERLINK("http://dx.doi.org/10.1109/TMM.2024.3428317","http://dx.doi.org/10.1109/TMM.2024.3428317")</f>
        <v>http://dx.doi.org/10.1109/TMM.2024.3428317</v>
      </c>
      <c r="BG130" s="1" t="s">
        <v>74</v>
      </c>
      <c r="BH130" s="1" t="s">
        <v>74</v>
      </c>
      <c r="BI130" s="1" t="s">
        <v>74</v>
      </c>
      <c r="BJ130" s="1" t="s">
        <v>74</v>
      </c>
      <c r="BK130" s="1" t="s">
        <v>74</v>
      </c>
      <c r="BL130" s="1" t="s">
        <v>394</v>
      </c>
      <c r="BM130" s="1" t="s">
        <v>74</v>
      </c>
      <c r="BN130" s="1" t="s">
        <v>74</v>
      </c>
      <c r="BO130" s="1" t="s">
        <v>74</v>
      </c>
      <c r="BP130" s="1" t="s">
        <v>74</v>
      </c>
      <c r="BQ130" s="1" t="s">
        <v>74</v>
      </c>
      <c r="BR130" s="1" t="s">
        <v>74</v>
      </c>
      <c r="BS130" s="1" t="s">
        <v>1387</v>
      </c>
      <c r="BT130" s="1" t="str">
        <f>HYPERLINK("https%3A%2F%2Fwww.webofscience.com%2Fwos%2Fwoscc%2Ffull-record%2FWOS:001362169100023","View Full Record in Web of Science")</f>
        <v>View Full Record in Web of Science</v>
      </c>
    </row>
    <row r="131" ht="12.75" customHeight="1">
      <c r="A131" s="1" t="s">
        <v>72</v>
      </c>
      <c r="B131" s="1" t="s">
        <v>1388</v>
      </c>
      <c r="C131" s="1" t="s">
        <v>74</v>
      </c>
      <c r="D131" s="1" t="s">
        <v>74</v>
      </c>
      <c r="E131" s="1" t="s">
        <v>74</v>
      </c>
      <c r="F131" s="1" t="s">
        <v>1389</v>
      </c>
      <c r="G131" s="1" t="s">
        <v>74</v>
      </c>
      <c r="H131" s="1" t="s">
        <v>74</v>
      </c>
      <c r="I131" s="1" t="s">
        <v>1390</v>
      </c>
      <c r="J131" s="1" t="s">
        <v>296</v>
      </c>
      <c r="K131" s="1" t="s">
        <v>74</v>
      </c>
      <c r="L131" s="1" t="s">
        <v>74</v>
      </c>
      <c r="M131" s="1" t="s">
        <v>74</v>
      </c>
      <c r="N131" s="1" t="s">
        <v>78</v>
      </c>
      <c r="O131" s="1" t="s">
        <v>74</v>
      </c>
      <c r="P131" s="1" t="s">
        <v>74</v>
      </c>
      <c r="Q131" s="1" t="s">
        <v>74</v>
      </c>
      <c r="R131" s="1" t="s">
        <v>74</v>
      </c>
      <c r="S131" s="1" t="s">
        <v>74</v>
      </c>
      <c r="T131" s="1" t="s">
        <v>1391</v>
      </c>
      <c r="U131" s="1" t="s">
        <v>74</v>
      </c>
      <c r="V131" s="1" t="s">
        <v>1392</v>
      </c>
      <c r="W131" s="1" t="s">
        <v>74</v>
      </c>
      <c r="X131" s="1" t="s">
        <v>74</v>
      </c>
      <c r="Y131" s="1" t="s">
        <v>74</v>
      </c>
      <c r="Z131" s="1" t="s">
        <v>74</v>
      </c>
      <c r="AA131" s="1" t="s">
        <v>74</v>
      </c>
      <c r="AB131" s="1" t="s">
        <v>74</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299</v>
      </c>
      <c r="AP131" s="1" t="s">
        <v>300</v>
      </c>
      <c r="AQ131" s="1" t="s">
        <v>74</v>
      </c>
      <c r="AR131" s="1" t="s">
        <v>74</v>
      </c>
      <c r="AS131" s="1" t="s">
        <v>74</v>
      </c>
      <c r="AT131" s="1" t="s">
        <v>74</v>
      </c>
      <c r="AU131" s="1">
        <v>2025.0</v>
      </c>
      <c r="AV131" s="1">
        <v>85.0</v>
      </c>
      <c r="AW131" s="1">
        <v>1.0</v>
      </c>
      <c r="AX131" s="1" t="s">
        <v>74</v>
      </c>
      <c r="AY131" s="1" t="s">
        <v>74</v>
      </c>
      <c r="AZ131" s="1" t="s">
        <v>74</v>
      </c>
      <c r="BA131" s="1" t="s">
        <v>74</v>
      </c>
      <c r="BB131" s="1">
        <v>1559.0</v>
      </c>
      <c r="BC131" s="1">
        <v>1583.0</v>
      </c>
      <c r="BD131" s="1" t="s">
        <v>74</v>
      </c>
      <c r="BE131" s="1" t="s">
        <v>1393</v>
      </c>
      <c r="BF131" s="2" t="str">
        <f>HYPERLINK("http://dx.doi.org/10.32604/cmc.2025.065916","http://dx.doi.org/10.32604/cmc.2025.065916")</f>
        <v>http://dx.doi.org/10.32604/cmc.2025.065916</v>
      </c>
      <c r="BG131" s="1" t="s">
        <v>74</v>
      </c>
      <c r="BH131" s="1" t="s">
        <v>74</v>
      </c>
      <c r="BI131" s="1" t="s">
        <v>74</v>
      </c>
      <c r="BJ131" s="1" t="s">
        <v>74</v>
      </c>
      <c r="BK131" s="1" t="s">
        <v>74</v>
      </c>
      <c r="BL131" s="1" t="s">
        <v>302</v>
      </c>
      <c r="BM131" s="1" t="s">
        <v>74</v>
      </c>
      <c r="BN131" s="1" t="s">
        <v>74</v>
      </c>
      <c r="BO131" s="1" t="s">
        <v>163</v>
      </c>
      <c r="BP131" s="1" t="s">
        <v>74</v>
      </c>
      <c r="BQ131" s="1" t="s">
        <v>74</v>
      </c>
      <c r="BR131" s="1" t="s">
        <v>74</v>
      </c>
      <c r="BS131" s="1" t="s">
        <v>1394</v>
      </c>
      <c r="BT131" s="1" t="str">
        <f>HYPERLINK("https%3A%2F%2Fwww.webofscience.com%2Fwos%2Fwoscc%2Ffull-record%2FWOS:001565385800001","View Full Record in Web of Science")</f>
        <v>View Full Record in Web of Science</v>
      </c>
    </row>
    <row r="132" ht="12.75" customHeight="1">
      <c r="A132" s="1" t="s">
        <v>72</v>
      </c>
      <c r="B132" s="1" t="s">
        <v>1395</v>
      </c>
      <c r="C132" s="1" t="s">
        <v>74</v>
      </c>
      <c r="D132" s="1" t="s">
        <v>74</v>
      </c>
      <c r="E132" s="1" t="s">
        <v>74</v>
      </c>
      <c r="F132" s="1" t="s">
        <v>1396</v>
      </c>
      <c r="G132" s="1" t="s">
        <v>74</v>
      </c>
      <c r="H132" s="1" t="s">
        <v>74</v>
      </c>
      <c r="I132" s="1" t="s">
        <v>1397</v>
      </c>
      <c r="J132" s="1" t="s">
        <v>785</v>
      </c>
      <c r="K132" s="1" t="s">
        <v>74</v>
      </c>
      <c r="L132" s="1" t="s">
        <v>74</v>
      </c>
      <c r="M132" s="1" t="s">
        <v>74</v>
      </c>
      <c r="N132" s="1" t="s">
        <v>78</v>
      </c>
      <c r="O132" s="1" t="s">
        <v>74</v>
      </c>
      <c r="P132" s="1" t="s">
        <v>74</v>
      </c>
      <c r="Q132" s="1" t="s">
        <v>74</v>
      </c>
      <c r="R132" s="1" t="s">
        <v>74</v>
      </c>
      <c r="S132" s="1" t="s">
        <v>74</v>
      </c>
      <c r="T132" s="1" t="s">
        <v>1398</v>
      </c>
      <c r="U132" s="1" t="s">
        <v>74</v>
      </c>
      <c r="V132" s="1" t="s">
        <v>1399</v>
      </c>
      <c r="W132" s="1" t="s">
        <v>74</v>
      </c>
      <c r="X132" s="1" t="s">
        <v>74</v>
      </c>
      <c r="Y132" s="1" t="s">
        <v>74</v>
      </c>
      <c r="Z132" s="1" t="s">
        <v>74</v>
      </c>
      <c r="AA132" s="1" t="s">
        <v>74</v>
      </c>
      <c r="AB132" s="1" t="s">
        <v>74</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74</v>
      </c>
      <c r="AP132" s="1" t="s">
        <v>788</v>
      </c>
      <c r="AQ132" s="1" t="s">
        <v>74</v>
      </c>
      <c r="AR132" s="1" t="s">
        <v>74</v>
      </c>
      <c r="AS132" s="1" t="s">
        <v>74</v>
      </c>
      <c r="AT132" s="1" t="s">
        <v>84</v>
      </c>
      <c r="AU132" s="1">
        <v>2023.0</v>
      </c>
      <c r="AV132" s="1">
        <v>3.0</v>
      </c>
      <c r="AW132" s="1">
        <v>2.0</v>
      </c>
      <c r="AX132" s="1" t="s">
        <v>74</v>
      </c>
      <c r="AY132" s="1" t="s">
        <v>74</v>
      </c>
      <c r="AZ132" s="1" t="s">
        <v>74</v>
      </c>
      <c r="BA132" s="1" t="s">
        <v>74</v>
      </c>
      <c r="BB132" s="1">
        <v>1094.0</v>
      </c>
      <c r="BC132" s="1">
        <v>1109.0</v>
      </c>
      <c r="BD132" s="1" t="s">
        <v>74</v>
      </c>
      <c r="BE132" s="1" t="s">
        <v>74</v>
      </c>
      <c r="BF132" s="1" t="s">
        <v>74</v>
      </c>
      <c r="BG132" s="1" t="s">
        <v>74</v>
      </c>
      <c r="BH132" s="1" t="s">
        <v>74</v>
      </c>
      <c r="BI132" s="1" t="s">
        <v>74</v>
      </c>
      <c r="BJ132" s="1" t="s">
        <v>74</v>
      </c>
      <c r="BK132" s="1" t="s">
        <v>74</v>
      </c>
      <c r="BL132" s="1" t="s">
        <v>174</v>
      </c>
      <c r="BM132" s="1" t="s">
        <v>74</v>
      </c>
      <c r="BN132" s="1" t="s">
        <v>74</v>
      </c>
      <c r="BO132" s="1" t="s">
        <v>74</v>
      </c>
      <c r="BP132" s="1" t="s">
        <v>74</v>
      </c>
      <c r="BQ132" s="1" t="s">
        <v>74</v>
      </c>
      <c r="BR132" s="1" t="s">
        <v>74</v>
      </c>
      <c r="BS132" s="1" t="s">
        <v>1400</v>
      </c>
      <c r="BT132" s="1" t="str">
        <f>HYPERLINK("https%3A%2F%2Fwww.webofscience.com%2Fwos%2Fwoscc%2Ffull-record%2FWOS:001327690400007","View Full Record in Web of Science")</f>
        <v>View Full Record in Web of Science</v>
      </c>
    </row>
    <row r="133" ht="12.75" customHeight="1">
      <c r="A133" s="1" t="s">
        <v>72</v>
      </c>
      <c r="B133" s="1" t="s">
        <v>1401</v>
      </c>
      <c r="C133" s="1" t="s">
        <v>74</v>
      </c>
      <c r="D133" s="1" t="s">
        <v>74</v>
      </c>
      <c r="E133" s="1" t="s">
        <v>74</v>
      </c>
      <c r="F133" s="1" t="s">
        <v>1402</v>
      </c>
      <c r="G133" s="1" t="s">
        <v>74</v>
      </c>
      <c r="H133" s="1" t="s">
        <v>74</v>
      </c>
      <c r="I133" s="1" t="s">
        <v>1403</v>
      </c>
      <c r="J133" s="1" t="s">
        <v>1404</v>
      </c>
      <c r="K133" s="1" t="s">
        <v>74</v>
      </c>
      <c r="L133" s="1" t="s">
        <v>74</v>
      </c>
      <c r="M133" s="1" t="s">
        <v>74</v>
      </c>
      <c r="N133" s="1" t="s">
        <v>78</v>
      </c>
      <c r="O133" s="1" t="s">
        <v>74</v>
      </c>
      <c r="P133" s="1" t="s">
        <v>74</v>
      </c>
      <c r="Q133" s="1" t="s">
        <v>74</v>
      </c>
      <c r="R133" s="1" t="s">
        <v>74</v>
      </c>
      <c r="S133" s="1" t="s">
        <v>74</v>
      </c>
      <c r="T133" s="1" t="s">
        <v>1405</v>
      </c>
      <c r="U133" s="1" t="s">
        <v>74</v>
      </c>
      <c r="V133" s="1" t="s">
        <v>1406</v>
      </c>
      <c r="W133" s="1" t="s">
        <v>74</v>
      </c>
      <c r="X133" s="1" t="s">
        <v>74</v>
      </c>
      <c r="Y133" s="1" t="s">
        <v>74</v>
      </c>
      <c r="Z133" s="1" t="s">
        <v>74</v>
      </c>
      <c r="AA133" s="1" t="s">
        <v>74</v>
      </c>
      <c r="AB133" s="1" t="s">
        <v>74</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1407</v>
      </c>
      <c r="AP133" s="1" t="s">
        <v>1408</v>
      </c>
      <c r="AQ133" s="1" t="s">
        <v>74</v>
      </c>
      <c r="AR133" s="1" t="s">
        <v>74</v>
      </c>
      <c r="AS133" s="1" t="s">
        <v>74</v>
      </c>
      <c r="AT133" s="1" t="s">
        <v>736</v>
      </c>
      <c r="AU133" s="1">
        <v>2026.0</v>
      </c>
      <c r="AV133" s="1">
        <v>107.0</v>
      </c>
      <c r="AW133" s="1" t="s">
        <v>74</v>
      </c>
      <c r="AX133" s="1" t="s">
        <v>1409</v>
      </c>
      <c r="AY133" s="1" t="s">
        <v>74</v>
      </c>
      <c r="AZ133" s="1" t="s">
        <v>74</v>
      </c>
      <c r="BA133" s="1" t="s">
        <v>74</v>
      </c>
      <c r="BB133" s="1" t="s">
        <v>74</v>
      </c>
      <c r="BC133" s="1" t="s">
        <v>74</v>
      </c>
      <c r="BD133" s="1">
        <v>103789.0</v>
      </c>
      <c r="BE133" s="1" t="s">
        <v>1410</v>
      </c>
      <c r="BF133" s="2" t="str">
        <f>HYPERLINK("http://dx.doi.org/10.1016/j.media.2025.103789","http://dx.doi.org/10.1016/j.media.2025.103789")</f>
        <v>http://dx.doi.org/10.1016/j.media.2025.103789</v>
      </c>
      <c r="BG133" s="1" t="s">
        <v>74</v>
      </c>
      <c r="BH133" s="1" t="s">
        <v>738</v>
      </c>
      <c r="BI133" s="1" t="s">
        <v>74</v>
      </c>
      <c r="BJ133" s="1" t="s">
        <v>74</v>
      </c>
      <c r="BK133" s="1" t="s">
        <v>74</v>
      </c>
      <c r="BL133" s="1" t="s">
        <v>1411</v>
      </c>
      <c r="BM133" s="1" t="s">
        <v>74</v>
      </c>
      <c r="BN133" s="1" t="s">
        <v>74</v>
      </c>
      <c r="BO133" s="1" t="s">
        <v>576</v>
      </c>
      <c r="BP133" s="1" t="s">
        <v>74</v>
      </c>
      <c r="BQ133" s="1" t="s">
        <v>74</v>
      </c>
      <c r="BR133" s="1" t="s">
        <v>74</v>
      </c>
      <c r="BS133" s="1" t="s">
        <v>1412</v>
      </c>
      <c r="BT133" s="1" t="str">
        <f>HYPERLINK("https%3A%2F%2Fwww.webofscience.com%2Fwos%2Fwoscc%2Ffull-record%2FWOS:001582276700001","View Full Record in Web of Science")</f>
        <v>View Full Record in Web of Science</v>
      </c>
    </row>
    <row r="134" ht="12.75" customHeight="1">
      <c r="A134" s="1" t="s">
        <v>72</v>
      </c>
      <c r="B134" s="1" t="s">
        <v>1413</v>
      </c>
      <c r="C134" s="1" t="s">
        <v>74</v>
      </c>
      <c r="D134" s="1" t="s">
        <v>74</v>
      </c>
      <c r="E134" s="1" t="s">
        <v>74</v>
      </c>
      <c r="F134" s="1" t="s">
        <v>1414</v>
      </c>
      <c r="G134" s="1" t="s">
        <v>74</v>
      </c>
      <c r="H134" s="1" t="s">
        <v>74</v>
      </c>
      <c r="I134" s="1" t="s">
        <v>1415</v>
      </c>
      <c r="J134" s="1" t="s">
        <v>1416</v>
      </c>
      <c r="K134" s="1" t="s">
        <v>74</v>
      </c>
      <c r="L134" s="1" t="s">
        <v>74</v>
      </c>
      <c r="M134" s="1" t="s">
        <v>74</v>
      </c>
      <c r="N134" s="1" t="s">
        <v>953</v>
      </c>
      <c r="O134" s="1" t="s">
        <v>74</v>
      </c>
      <c r="P134" s="1" t="s">
        <v>74</v>
      </c>
      <c r="Q134" s="1" t="s">
        <v>74</v>
      </c>
      <c r="R134" s="1" t="s">
        <v>74</v>
      </c>
      <c r="S134" s="1" t="s">
        <v>74</v>
      </c>
      <c r="T134" s="1" t="s">
        <v>1417</v>
      </c>
      <c r="U134" s="1" t="s">
        <v>74</v>
      </c>
      <c r="V134" s="1" t="s">
        <v>1418</v>
      </c>
      <c r="W134" s="1" t="s">
        <v>74</v>
      </c>
      <c r="X134" s="1" t="s">
        <v>74</v>
      </c>
      <c r="Y134" s="1" t="s">
        <v>74</v>
      </c>
      <c r="Z134" s="1" t="s">
        <v>74</v>
      </c>
      <c r="AA134" s="1" t="s">
        <v>74</v>
      </c>
      <c r="AB134" s="1" t="s">
        <v>74</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1419</v>
      </c>
      <c r="AP134" s="1" t="s">
        <v>1420</v>
      </c>
      <c r="AQ134" s="1" t="s">
        <v>74</v>
      </c>
      <c r="AR134" s="1" t="s">
        <v>74</v>
      </c>
      <c r="AS134" s="1" t="s">
        <v>74</v>
      </c>
      <c r="AT134" s="1" t="s">
        <v>1421</v>
      </c>
      <c r="AU134" s="1">
        <v>2025.0</v>
      </c>
      <c r="AV134" s="1" t="s">
        <v>74</v>
      </c>
      <c r="AW134" s="1" t="s">
        <v>74</v>
      </c>
      <c r="AX134" s="1" t="s">
        <v>74</v>
      </c>
      <c r="AY134" s="1" t="s">
        <v>74</v>
      </c>
      <c r="AZ134" s="1" t="s">
        <v>74</v>
      </c>
      <c r="BA134" s="1" t="s">
        <v>74</v>
      </c>
      <c r="BB134" s="1" t="s">
        <v>74</v>
      </c>
      <c r="BC134" s="1" t="s">
        <v>74</v>
      </c>
      <c r="BD134" s="1" t="s">
        <v>74</v>
      </c>
      <c r="BE134" s="1" t="s">
        <v>1422</v>
      </c>
      <c r="BF134" s="2" t="str">
        <f>HYPERLINK("http://dx.doi.org/10.1007/s10506-025-09447-9","http://dx.doi.org/10.1007/s10506-025-09447-9")</f>
        <v>http://dx.doi.org/10.1007/s10506-025-09447-9</v>
      </c>
      <c r="BG134" s="1" t="s">
        <v>74</v>
      </c>
      <c r="BH134" s="1" t="s">
        <v>526</v>
      </c>
      <c r="BI134" s="1" t="s">
        <v>74</v>
      </c>
      <c r="BJ134" s="1" t="s">
        <v>74</v>
      </c>
      <c r="BK134" s="1" t="s">
        <v>74</v>
      </c>
      <c r="BL134" s="1" t="s">
        <v>1423</v>
      </c>
      <c r="BM134" s="1" t="s">
        <v>74</v>
      </c>
      <c r="BN134" s="1" t="s">
        <v>74</v>
      </c>
      <c r="BO134" s="1" t="s">
        <v>114</v>
      </c>
      <c r="BP134" s="1" t="s">
        <v>74</v>
      </c>
      <c r="BQ134" s="1" t="s">
        <v>74</v>
      </c>
      <c r="BR134" s="1" t="s">
        <v>74</v>
      </c>
      <c r="BS134" s="1" t="s">
        <v>1424</v>
      </c>
      <c r="BT134" s="1" t="str">
        <f>HYPERLINK("https%3A%2F%2Fwww.webofscience.com%2Fwos%2Fwoscc%2Ffull-record%2FWOS:001467065200001","View Full Record in Web of Science")</f>
        <v>View Full Record in Web of Science</v>
      </c>
    </row>
    <row r="135" ht="12.75" customHeight="1">
      <c r="A135" s="1" t="s">
        <v>72</v>
      </c>
      <c r="B135" s="1" t="s">
        <v>1425</v>
      </c>
      <c r="C135" s="1" t="s">
        <v>74</v>
      </c>
      <c r="D135" s="1" t="s">
        <v>74</v>
      </c>
      <c r="E135" s="1" t="s">
        <v>74</v>
      </c>
      <c r="F135" s="1" t="s">
        <v>1426</v>
      </c>
      <c r="G135" s="1" t="s">
        <v>74</v>
      </c>
      <c r="H135" s="1" t="s">
        <v>74</v>
      </c>
      <c r="I135" s="1" t="s">
        <v>1427</v>
      </c>
      <c r="J135" s="1" t="s">
        <v>1428</v>
      </c>
      <c r="K135" s="1" t="s">
        <v>74</v>
      </c>
      <c r="L135" s="1" t="s">
        <v>74</v>
      </c>
      <c r="M135" s="1" t="s">
        <v>74</v>
      </c>
      <c r="N135" s="1" t="s">
        <v>158</v>
      </c>
      <c r="O135" s="1" t="s">
        <v>74</v>
      </c>
      <c r="P135" s="1" t="s">
        <v>74</v>
      </c>
      <c r="Q135" s="1" t="s">
        <v>74</v>
      </c>
      <c r="R135" s="1" t="s">
        <v>74</v>
      </c>
      <c r="S135" s="1" t="s">
        <v>74</v>
      </c>
      <c r="T135" s="1" t="s">
        <v>1429</v>
      </c>
      <c r="U135" s="1" t="s">
        <v>1430</v>
      </c>
      <c r="V135" s="1" t="s">
        <v>1431</v>
      </c>
      <c r="W135" s="1" t="s">
        <v>74</v>
      </c>
      <c r="X135" s="1" t="s">
        <v>74</v>
      </c>
      <c r="Y135" s="1" t="s">
        <v>74</v>
      </c>
      <c r="Z135" s="1" t="s">
        <v>74</v>
      </c>
      <c r="AA135" s="1" t="s">
        <v>74</v>
      </c>
      <c r="AB135" s="1" t="s">
        <v>74</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1432</v>
      </c>
      <c r="AP135" s="1" t="s">
        <v>1433</v>
      </c>
      <c r="AQ135" s="1" t="s">
        <v>74</v>
      </c>
      <c r="AR135" s="1" t="s">
        <v>74</v>
      </c>
      <c r="AS135" s="1" t="s">
        <v>74</v>
      </c>
      <c r="AT135" s="1" t="s">
        <v>139</v>
      </c>
      <c r="AU135" s="1">
        <v>2026.0</v>
      </c>
      <c r="AV135" s="1">
        <v>59.0</v>
      </c>
      <c r="AW135" s="1" t="s">
        <v>74</v>
      </c>
      <c r="AX135" s="1" t="s">
        <v>74</v>
      </c>
      <c r="AY135" s="1" t="s">
        <v>74</v>
      </c>
      <c r="AZ135" s="1" t="s">
        <v>74</v>
      </c>
      <c r="BA135" s="1" t="s">
        <v>74</v>
      </c>
      <c r="BB135" s="1" t="s">
        <v>74</v>
      </c>
      <c r="BC135" s="1" t="s">
        <v>74</v>
      </c>
      <c r="BD135" s="1">
        <v>100817.0</v>
      </c>
      <c r="BE135" s="1" t="s">
        <v>1434</v>
      </c>
      <c r="BF135" s="2" t="str">
        <f>HYPERLINK("http://dx.doi.org/10.1016/j.cosrev.2025.100817","http://dx.doi.org/10.1016/j.cosrev.2025.100817")</f>
        <v>http://dx.doi.org/10.1016/j.cosrev.2025.100817</v>
      </c>
      <c r="BG135" s="1" t="s">
        <v>74</v>
      </c>
      <c r="BH135" s="1" t="s">
        <v>738</v>
      </c>
      <c r="BI135" s="1" t="s">
        <v>74</v>
      </c>
      <c r="BJ135" s="1" t="s">
        <v>74</v>
      </c>
      <c r="BK135" s="1" t="s">
        <v>74</v>
      </c>
      <c r="BL135" s="1" t="s">
        <v>174</v>
      </c>
      <c r="BM135" s="1" t="s">
        <v>74</v>
      </c>
      <c r="BN135" s="1" t="s">
        <v>74</v>
      </c>
      <c r="BO135" s="1" t="s">
        <v>74</v>
      </c>
      <c r="BP135" s="1" t="s">
        <v>74</v>
      </c>
      <c r="BQ135" s="1" t="s">
        <v>74</v>
      </c>
      <c r="BR135" s="1" t="s">
        <v>74</v>
      </c>
      <c r="BS135" s="1" t="s">
        <v>1435</v>
      </c>
      <c r="BT135" s="1" t="str">
        <f>HYPERLINK("https%3A%2F%2Fwww.webofscience.com%2Fwos%2Fwoscc%2Ffull-record%2FWOS:001577589600001","View Full Record in Web of Science")</f>
        <v>View Full Record in Web of Science</v>
      </c>
    </row>
    <row r="136" ht="12.75" customHeight="1">
      <c r="A136" s="1" t="s">
        <v>72</v>
      </c>
      <c r="B136" s="1" t="s">
        <v>1436</v>
      </c>
      <c r="C136" s="1" t="s">
        <v>74</v>
      </c>
      <c r="D136" s="1" t="s">
        <v>74</v>
      </c>
      <c r="E136" s="1" t="s">
        <v>74</v>
      </c>
      <c r="F136" s="1" t="s">
        <v>1437</v>
      </c>
      <c r="G136" s="1" t="s">
        <v>74</v>
      </c>
      <c r="H136" s="1" t="s">
        <v>74</v>
      </c>
      <c r="I136" s="1" t="s">
        <v>1438</v>
      </c>
      <c r="J136" s="1" t="s">
        <v>147</v>
      </c>
      <c r="K136" s="1" t="s">
        <v>74</v>
      </c>
      <c r="L136" s="1" t="s">
        <v>74</v>
      </c>
      <c r="M136" s="1" t="s">
        <v>74</v>
      </c>
      <c r="N136" s="1" t="s">
        <v>78</v>
      </c>
      <c r="O136" s="1" t="s">
        <v>74</v>
      </c>
      <c r="P136" s="1" t="s">
        <v>74</v>
      </c>
      <c r="Q136" s="1" t="s">
        <v>74</v>
      </c>
      <c r="R136" s="1" t="s">
        <v>74</v>
      </c>
      <c r="S136" s="1" t="s">
        <v>74</v>
      </c>
      <c r="T136" s="1" t="s">
        <v>1439</v>
      </c>
      <c r="U136" s="1" t="s">
        <v>74</v>
      </c>
      <c r="V136" s="1" t="s">
        <v>1440</v>
      </c>
      <c r="W136" s="1" t="s">
        <v>74</v>
      </c>
      <c r="X136" s="1" t="s">
        <v>74</v>
      </c>
      <c r="Y136" s="1" t="s">
        <v>74</v>
      </c>
      <c r="Z136" s="1" t="s">
        <v>74</v>
      </c>
      <c r="AA136" s="1" t="s">
        <v>74</v>
      </c>
      <c r="AB136" s="1" t="s">
        <v>74</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150</v>
      </c>
      <c r="AP136" s="1" t="s">
        <v>74</v>
      </c>
      <c r="AQ136" s="1" t="s">
        <v>74</v>
      </c>
      <c r="AR136" s="1" t="s">
        <v>74</v>
      </c>
      <c r="AS136" s="1" t="s">
        <v>74</v>
      </c>
      <c r="AT136" s="1" t="s">
        <v>74</v>
      </c>
      <c r="AU136" s="1">
        <v>2025.0</v>
      </c>
      <c r="AV136" s="1">
        <v>13.0</v>
      </c>
      <c r="AW136" s="1" t="s">
        <v>74</v>
      </c>
      <c r="AX136" s="1" t="s">
        <v>74</v>
      </c>
      <c r="AY136" s="1" t="s">
        <v>74</v>
      </c>
      <c r="AZ136" s="1" t="s">
        <v>74</v>
      </c>
      <c r="BA136" s="1" t="s">
        <v>74</v>
      </c>
      <c r="BB136" s="1">
        <v>11341.0</v>
      </c>
      <c r="BC136" s="1">
        <v>11379.0</v>
      </c>
      <c r="BD136" s="1" t="s">
        <v>74</v>
      </c>
      <c r="BE136" s="1" t="s">
        <v>1441</v>
      </c>
      <c r="BF136" s="2" t="str">
        <f>HYPERLINK("http://dx.doi.org/10.1109/ACCESS.2024.3523764","http://dx.doi.org/10.1109/ACCESS.2024.3523764")</f>
        <v>http://dx.doi.org/10.1109/ACCESS.2024.3523764</v>
      </c>
      <c r="BG136" s="1" t="s">
        <v>74</v>
      </c>
      <c r="BH136" s="1" t="s">
        <v>74</v>
      </c>
      <c r="BI136" s="1" t="s">
        <v>74</v>
      </c>
      <c r="BJ136" s="1" t="s">
        <v>74</v>
      </c>
      <c r="BK136" s="1" t="s">
        <v>74</v>
      </c>
      <c r="BL136" s="1" t="s">
        <v>152</v>
      </c>
      <c r="BM136" s="1" t="s">
        <v>74</v>
      </c>
      <c r="BN136" s="1" t="s">
        <v>74</v>
      </c>
      <c r="BO136" s="1" t="s">
        <v>153</v>
      </c>
      <c r="BP136" s="1" t="s">
        <v>74</v>
      </c>
      <c r="BQ136" s="1" t="s">
        <v>74</v>
      </c>
      <c r="BR136" s="1" t="s">
        <v>74</v>
      </c>
      <c r="BS136" s="1" t="s">
        <v>1442</v>
      </c>
      <c r="BT136" s="1" t="str">
        <f>HYPERLINK("https%3A%2F%2Fwww.webofscience.com%2Fwos%2Fwoscc%2Ffull-record%2FWOS:001403270400042","View Full Record in Web of Science")</f>
        <v>View Full Record in Web of Science</v>
      </c>
    </row>
    <row r="137" ht="12.75" customHeight="1">
      <c r="A137" s="1" t="s">
        <v>72</v>
      </c>
      <c r="B137" s="1" t="s">
        <v>1443</v>
      </c>
      <c r="C137" s="1" t="s">
        <v>74</v>
      </c>
      <c r="D137" s="1" t="s">
        <v>74</v>
      </c>
      <c r="E137" s="1" t="s">
        <v>74</v>
      </c>
      <c r="F137" s="1" t="s">
        <v>1444</v>
      </c>
      <c r="G137" s="1" t="s">
        <v>74</v>
      </c>
      <c r="H137" s="1" t="s">
        <v>74</v>
      </c>
      <c r="I137" s="1" t="s">
        <v>1445</v>
      </c>
      <c r="J137" s="1" t="s">
        <v>147</v>
      </c>
      <c r="K137" s="1" t="s">
        <v>74</v>
      </c>
      <c r="L137" s="1" t="s">
        <v>74</v>
      </c>
      <c r="M137" s="1" t="s">
        <v>74</v>
      </c>
      <c r="N137" s="1" t="s">
        <v>78</v>
      </c>
      <c r="O137" s="1" t="s">
        <v>74</v>
      </c>
      <c r="P137" s="1" t="s">
        <v>74</v>
      </c>
      <c r="Q137" s="1" t="s">
        <v>74</v>
      </c>
      <c r="R137" s="1" t="s">
        <v>74</v>
      </c>
      <c r="S137" s="1" t="s">
        <v>74</v>
      </c>
      <c r="T137" s="1" t="s">
        <v>1446</v>
      </c>
      <c r="U137" s="1" t="s">
        <v>74</v>
      </c>
      <c r="V137" s="1" t="s">
        <v>1447</v>
      </c>
      <c r="W137" s="1" t="s">
        <v>74</v>
      </c>
      <c r="X137" s="1" t="s">
        <v>74</v>
      </c>
      <c r="Y137" s="1" t="s">
        <v>74</v>
      </c>
      <c r="Z137" s="1" t="s">
        <v>74</v>
      </c>
      <c r="AA137" s="1" t="s">
        <v>74</v>
      </c>
      <c r="AB137" s="1" t="s">
        <v>74</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150</v>
      </c>
      <c r="AP137" s="1" t="s">
        <v>74</v>
      </c>
      <c r="AQ137" s="1" t="s">
        <v>74</v>
      </c>
      <c r="AR137" s="1" t="s">
        <v>74</v>
      </c>
      <c r="AS137" s="1" t="s">
        <v>74</v>
      </c>
      <c r="AT137" s="1" t="s">
        <v>74</v>
      </c>
      <c r="AU137" s="1">
        <v>2025.0</v>
      </c>
      <c r="AV137" s="1">
        <v>13.0</v>
      </c>
      <c r="AW137" s="1" t="s">
        <v>74</v>
      </c>
      <c r="AX137" s="1" t="s">
        <v>74</v>
      </c>
      <c r="AY137" s="1" t="s">
        <v>74</v>
      </c>
      <c r="AZ137" s="1" t="s">
        <v>74</v>
      </c>
      <c r="BA137" s="1" t="s">
        <v>74</v>
      </c>
      <c r="BB137" s="1">
        <v>74200.0</v>
      </c>
      <c r="BC137" s="1">
        <v>74216.0</v>
      </c>
      <c r="BD137" s="1" t="s">
        <v>74</v>
      </c>
      <c r="BE137" s="1" t="s">
        <v>1448</v>
      </c>
      <c r="BF137" s="2" t="str">
        <f>HYPERLINK("http://dx.doi.org/10.1109/ACCESS.2025.3564435","http://dx.doi.org/10.1109/ACCESS.2025.3564435")</f>
        <v>http://dx.doi.org/10.1109/ACCESS.2025.3564435</v>
      </c>
      <c r="BG137" s="1" t="s">
        <v>74</v>
      </c>
      <c r="BH137" s="1" t="s">
        <v>74</v>
      </c>
      <c r="BI137" s="1" t="s">
        <v>74</v>
      </c>
      <c r="BJ137" s="1" t="s">
        <v>74</v>
      </c>
      <c r="BK137" s="1" t="s">
        <v>74</v>
      </c>
      <c r="BL137" s="1" t="s">
        <v>152</v>
      </c>
      <c r="BM137" s="1" t="s">
        <v>74</v>
      </c>
      <c r="BN137" s="1" t="s">
        <v>74</v>
      </c>
      <c r="BO137" s="1" t="s">
        <v>153</v>
      </c>
      <c r="BP137" s="1" t="s">
        <v>74</v>
      </c>
      <c r="BQ137" s="1" t="s">
        <v>74</v>
      </c>
      <c r="BR137" s="1" t="s">
        <v>74</v>
      </c>
      <c r="BS137" s="1" t="s">
        <v>1449</v>
      </c>
      <c r="BT137" s="1" t="str">
        <f>HYPERLINK("https%3A%2F%2Fwww.webofscience.com%2Fwos%2Fwoscc%2Ffull-record%2FWOS:001481864700039","View Full Record in Web of Science")</f>
        <v>View Full Record in Web of Science</v>
      </c>
    </row>
    <row r="138" ht="12.75" customHeight="1">
      <c r="A138" s="1" t="s">
        <v>72</v>
      </c>
      <c r="B138" s="1" t="s">
        <v>1450</v>
      </c>
      <c r="C138" s="1" t="s">
        <v>74</v>
      </c>
      <c r="D138" s="1" t="s">
        <v>74</v>
      </c>
      <c r="E138" s="1" t="s">
        <v>74</v>
      </c>
      <c r="F138" s="1" t="s">
        <v>1451</v>
      </c>
      <c r="G138" s="1" t="s">
        <v>74</v>
      </c>
      <c r="H138" s="1" t="s">
        <v>74</v>
      </c>
      <c r="I138" s="1" t="s">
        <v>1452</v>
      </c>
      <c r="J138" s="1" t="s">
        <v>1453</v>
      </c>
      <c r="K138" s="1" t="s">
        <v>74</v>
      </c>
      <c r="L138" s="1" t="s">
        <v>74</v>
      </c>
      <c r="M138" s="1" t="s">
        <v>74</v>
      </c>
      <c r="N138" s="1" t="s">
        <v>78</v>
      </c>
      <c r="O138" s="1" t="s">
        <v>74</v>
      </c>
      <c r="P138" s="1" t="s">
        <v>74</v>
      </c>
      <c r="Q138" s="1" t="s">
        <v>74</v>
      </c>
      <c r="R138" s="1" t="s">
        <v>74</v>
      </c>
      <c r="S138" s="1" t="s">
        <v>74</v>
      </c>
      <c r="T138" s="1" t="s">
        <v>1454</v>
      </c>
      <c r="U138" s="1" t="s">
        <v>74</v>
      </c>
      <c r="V138" s="1" t="s">
        <v>1455</v>
      </c>
      <c r="W138" s="1" t="s">
        <v>74</v>
      </c>
      <c r="X138" s="1" t="s">
        <v>74</v>
      </c>
      <c r="Y138" s="1" t="s">
        <v>74</v>
      </c>
      <c r="Z138" s="1" t="s">
        <v>74</v>
      </c>
      <c r="AA138" s="1" t="s">
        <v>74</v>
      </c>
      <c r="AB138" s="1" t="s">
        <v>74</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1456</v>
      </c>
      <c r="AP138" s="1" t="s">
        <v>1457</v>
      </c>
      <c r="AQ138" s="1" t="s">
        <v>74</v>
      </c>
      <c r="AR138" s="1" t="s">
        <v>74</v>
      </c>
      <c r="AS138" s="1" t="s">
        <v>74</v>
      </c>
      <c r="AT138" s="1" t="s">
        <v>1458</v>
      </c>
      <c r="AU138" s="1">
        <v>2025.0</v>
      </c>
      <c r="AV138" s="1">
        <v>17.0</v>
      </c>
      <c r="AW138" s="1">
        <v>2.0</v>
      </c>
      <c r="AX138" s="1" t="s">
        <v>74</v>
      </c>
      <c r="AY138" s="1" t="s">
        <v>74</v>
      </c>
      <c r="AZ138" s="1" t="s">
        <v>74</v>
      </c>
      <c r="BA138" s="1" t="s">
        <v>74</v>
      </c>
      <c r="BB138" s="1" t="s">
        <v>74</v>
      </c>
      <c r="BC138" s="1" t="s">
        <v>74</v>
      </c>
      <c r="BD138" s="1">
        <v>85.0</v>
      </c>
      <c r="BE138" s="1" t="s">
        <v>1459</v>
      </c>
      <c r="BF138" s="2" t="str">
        <f>HYPERLINK("http://dx.doi.org/10.1007/s12559-025-10441-1","http://dx.doi.org/10.1007/s12559-025-10441-1")</f>
        <v>http://dx.doi.org/10.1007/s12559-025-10441-1</v>
      </c>
      <c r="BG138" s="1" t="s">
        <v>74</v>
      </c>
      <c r="BH138" s="1" t="s">
        <v>74</v>
      </c>
      <c r="BI138" s="1" t="s">
        <v>74</v>
      </c>
      <c r="BJ138" s="1" t="s">
        <v>74</v>
      </c>
      <c r="BK138" s="1" t="s">
        <v>74</v>
      </c>
      <c r="BL138" s="1" t="s">
        <v>1460</v>
      </c>
      <c r="BM138" s="1" t="s">
        <v>74</v>
      </c>
      <c r="BN138" s="1" t="s">
        <v>74</v>
      </c>
      <c r="BO138" s="1" t="s">
        <v>74</v>
      </c>
      <c r="BP138" s="1" t="s">
        <v>74</v>
      </c>
      <c r="BQ138" s="1" t="s">
        <v>74</v>
      </c>
      <c r="BR138" s="1" t="s">
        <v>74</v>
      </c>
      <c r="BS138" s="1" t="s">
        <v>1461</v>
      </c>
      <c r="BT138" s="1" t="str">
        <f>HYPERLINK("https%3A%2F%2Fwww.webofscience.com%2Fwos%2Fwoscc%2Ffull-record%2FWOS:001450764500001","View Full Record in Web of Science")</f>
        <v>View Full Record in Web of Science</v>
      </c>
    </row>
    <row r="139" ht="12.75" customHeight="1">
      <c r="A139" s="1" t="s">
        <v>72</v>
      </c>
      <c r="B139" s="1" t="s">
        <v>1462</v>
      </c>
      <c r="C139" s="1" t="s">
        <v>74</v>
      </c>
      <c r="D139" s="1" t="s">
        <v>74</v>
      </c>
      <c r="E139" s="1" t="s">
        <v>74</v>
      </c>
      <c r="F139" s="1" t="s">
        <v>1463</v>
      </c>
      <c r="G139" s="1" t="s">
        <v>74</v>
      </c>
      <c r="H139" s="1" t="s">
        <v>74</v>
      </c>
      <c r="I139" s="1" t="s">
        <v>1464</v>
      </c>
      <c r="J139" s="1" t="s">
        <v>1242</v>
      </c>
      <c r="K139" s="1" t="s">
        <v>74</v>
      </c>
      <c r="L139" s="1" t="s">
        <v>74</v>
      </c>
      <c r="M139" s="1" t="s">
        <v>74</v>
      </c>
      <c r="N139" s="1" t="s">
        <v>78</v>
      </c>
      <c r="O139" s="1" t="s">
        <v>74</v>
      </c>
      <c r="P139" s="1" t="s">
        <v>74</v>
      </c>
      <c r="Q139" s="1" t="s">
        <v>74</v>
      </c>
      <c r="R139" s="1" t="s">
        <v>74</v>
      </c>
      <c r="S139" s="1" t="s">
        <v>74</v>
      </c>
      <c r="T139" s="1" t="s">
        <v>1465</v>
      </c>
      <c r="U139" s="1" t="s">
        <v>1466</v>
      </c>
      <c r="V139" s="1" t="s">
        <v>1467</v>
      </c>
      <c r="W139" s="1" t="s">
        <v>74</v>
      </c>
      <c r="X139" s="1" t="s">
        <v>74</v>
      </c>
      <c r="Y139" s="1" t="s">
        <v>74</v>
      </c>
      <c r="Z139" s="1" t="s">
        <v>74</v>
      </c>
      <c r="AA139" s="1" t="s">
        <v>74</v>
      </c>
      <c r="AB139" s="1" t="s">
        <v>74</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1246</v>
      </c>
      <c r="AP139" s="1" t="s">
        <v>1247</v>
      </c>
      <c r="AQ139" s="1" t="s">
        <v>74</v>
      </c>
      <c r="AR139" s="1" t="s">
        <v>74</v>
      </c>
      <c r="AS139" s="1" t="s">
        <v>74</v>
      </c>
      <c r="AT139" s="1" t="s">
        <v>736</v>
      </c>
      <c r="AU139" s="1">
        <v>2026.0</v>
      </c>
      <c r="AV139" s="1">
        <v>58.0</v>
      </c>
      <c r="AW139" s="1">
        <v>1.0</v>
      </c>
      <c r="AX139" s="1" t="s">
        <v>74</v>
      </c>
      <c r="AY139" s="1" t="s">
        <v>74</v>
      </c>
      <c r="AZ139" s="1" t="s">
        <v>74</v>
      </c>
      <c r="BA139" s="1" t="s">
        <v>74</v>
      </c>
      <c r="BB139" s="1" t="s">
        <v>74</v>
      </c>
      <c r="BC139" s="1" t="s">
        <v>74</v>
      </c>
      <c r="BD139" s="1">
        <v>11.0</v>
      </c>
      <c r="BE139" s="1" t="s">
        <v>1468</v>
      </c>
      <c r="BF139" s="2" t="str">
        <f>HYPERLINK("http://dx.doi.org/10.1145/3746224","http://dx.doi.org/10.1145/3746224")</f>
        <v>http://dx.doi.org/10.1145/3746224</v>
      </c>
      <c r="BG139" s="1" t="s">
        <v>74</v>
      </c>
      <c r="BH139" s="1" t="s">
        <v>74</v>
      </c>
      <c r="BI139" s="1" t="s">
        <v>74</v>
      </c>
      <c r="BJ139" s="1" t="s">
        <v>74</v>
      </c>
      <c r="BK139" s="1" t="s">
        <v>74</v>
      </c>
      <c r="BL139" s="1" t="s">
        <v>174</v>
      </c>
      <c r="BM139" s="1" t="s">
        <v>74</v>
      </c>
      <c r="BN139" s="1" t="s">
        <v>74</v>
      </c>
      <c r="BO139" s="1" t="s">
        <v>74</v>
      </c>
      <c r="BP139" s="1" t="s">
        <v>74</v>
      </c>
      <c r="BQ139" s="1" t="s">
        <v>74</v>
      </c>
      <c r="BR139" s="1" t="s">
        <v>74</v>
      </c>
      <c r="BS139" s="1" t="s">
        <v>1469</v>
      </c>
      <c r="BT139" s="1" t="str">
        <f>HYPERLINK("https%3A%2F%2Fwww.webofscience.com%2Fwos%2Fwoscc%2Ffull-record%2FWOS:001607381000015","View Full Record in Web of Science")</f>
        <v>View Full Record in Web of Science</v>
      </c>
    </row>
    <row r="140" ht="12.75" customHeight="1">
      <c r="A140" s="1" t="s">
        <v>72</v>
      </c>
      <c r="B140" s="1" t="s">
        <v>1470</v>
      </c>
      <c r="C140" s="1" t="s">
        <v>74</v>
      </c>
      <c r="D140" s="1" t="s">
        <v>74</v>
      </c>
      <c r="E140" s="1" t="s">
        <v>74</v>
      </c>
      <c r="F140" s="1" t="s">
        <v>1471</v>
      </c>
      <c r="G140" s="1" t="s">
        <v>74</v>
      </c>
      <c r="H140" s="1" t="s">
        <v>74</v>
      </c>
      <c r="I140" s="1" t="s">
        <v>1472</v>
      </c>
      <c r="J140" s="1" t="s">
        <v>1230</v>
      </c>
      <c r="K140" s="1" t="s">
        <v>74</v>
      </c>
      <c r="L140" s="1" t="s">
        <v>74</v>
      </c>
      <c r="M140" s="1" t="s">
        <v>74</v>
      </c>
      <c r="N140" s="1" t="s">
        <v>78</v>
      </c>
      <c r="O140" s="1" t="s">
        <v>74</v>
      </c>
      <c r="P140" s="1" t="s">
        <v>74</v>
      </c>
      <c r="Q140" s="1" t="s">
        <v>74</v>
      </c>
      <c r="R140" s="1" t="s">
        <v>74</v>
      </c>
      <c r="S140" s="1" t="s">
        <v>74</v>
      </c>
      <c r="T140" s="1" t="s">
        <v>1473</v>
      </c>
      <c r="U140" s="1" t="s">
        <v>1474</v>
      </c>
      <c r="V140" s="1" t="s">
        <v>1475</v>
      </c>
      <c r="W140" s="1" t="s">
        <v>74</v>
      </c>
      <c r="X140" s="1" t="s">
        <v>74</v>
      </c>
      <c r="Y140" s="1" t="s">
        <v>74</v>
      </c>
      <c r="Z140" s="1" t="s">
        <v>74</v>
      </c>
      <c r="AA140" s="1" t="s">
        <v>74</v>
      </c>
      <c r="AB140" s="1" t="s">
        <v>74</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1233</v>
      </c>
      <c r="AP140" s="1" t="s">
        <v>1234</v>
      </c>
      <c r="AQ140" s="1" t="s">
        <v>74</v>
      </c>
      <c r="AR140" s="1" t="s">
        <v>74</v>
      </c>
      <c r="AS140" s="1" t="s">
        <v>74</v>
      </c>
      <c r="AT140" s="1" t="s">
        <v>1476</v>
      </c>
      <c r="AU140" s="1">
        <v>2025.0</v>
      </c>
      <c r="AV140" s="1">
        <v>282.0</v>
      </c>
      <c r="AW140" s="1" t="s">
        <v>74</v>
      </c>
      <c r="AX140" s="1" t="s">
        <v>74</v>
      </c>
      <c r="AY140" s="1" t="s">
        <v>74</v>
      </c>
      <c r="AZ140" s="1" t="s">
        <v>74</v>
      </c>
      <c r="BA140" s="1" t="s">
        <v>74</v>
      </c>
      <c r="BB140" s="1" t="s">
        <v>74</v>
      </c>
      <c r="BC140" s="1" t="s">
        <v>74</v>
      </c>
      <c r="BD140" s="1">
        <v>127430.0</v>
      </c>
      <c r="BE140" s="1" t="s">
        <v>1477</v>
      </c>
      <c r="BF140" s="2" t="str">
        <f>HYPERLINK("http://dx.doi.org/10.1016/j.eswa.2025.127430","http://dx.doi.org/10.1016/j.eswa.2025.127430")</f>
        <v>http://dx.doi.org/10.1016/j.eswa.2025.127430</v>
      </c>
      <c r="BG140" s="1" t="s">
        <v>74</v>
      </c>
      <c r="BH140" s="1" t="s">
        <v>526</v>
      </c>
      <c r="BI140" s="1" t="s">
        <v>74</v>
      </c>
      <c r="BJ140" s="1" t="s">
        <v>74</v>
      </c>
      <c r="BK140" s="1" t="s">
        <v>74</v>
      </c>
      <c r="BL140" s="1" t="s">
        <v>1237</v>
      </c>
      <c r="BM140" s="1" t="s">
        <v>74</v>
      </c>
      <c r="BN140" s="1" t="s">
        <v>74</v>
      </c>
      <c r="BO140" s="1" t="s">
        <v>74</v>
      </c>
      <c r="BP140" s="1" t="s">
        <v>74</v>
      </c>
      <c r="BQ140" s="1" t="s">
        <v>74</v>
      </c>
      <c r="BR140" s="1" t="s">
        <v>74</v>
      </c>
      <c r="BS140" s="1" t="s">
        <v>1478</v>
      </c>
      <c r="BT140" s="1" t="str">
        <f>HYPERLINK("https%3A%2F%2Fwww.webofscience.com%2Fwos%2Fwoscc%2Ffull-record%2FWOS:001489842200001","View Full Record in Web of Science")</f>
        <v>View Full Record in Web of Science</v>
      </c>
    </row>
    <row r="141" ht="12.75" customHeight="1">
      <c r="A141" s="1" t="s">
        <v>72</v>
      </c>
      <c r="B141" s="1" t="s">
        <v>1479</v>
      </c>
      <c r="C141" s="1" t="s">
        <v>74</v>
      </c>
      <c r="D141" s="1" t="s">
        <v>74</v>
      </c>
      <c r="E141" s="1" t="s">
        <v>74</v>
      </c>
      <c r="F141" s="1" t="s">
        <v>1480</v>
      </c>
      <c r="G141" s="1" t="s">
        <v>74</v>
      </c>
      <c r="H141" s="1" t="s">
        <v>74</v>
      </c>
      <c r="I141" s="1" t="s">
        <v>1481</v>
      </c>
      <c r="J141" s="1" t="s">
        <v>1482</v>
      </c>
      <c r="K141" s="1" t="s">
        <v>74</v>
      </c>
      <c r="L141" s="1" t="s">
        <v>74</v>
      </c>
      <c r="M141" s="1" t="s">
        <v>74</v>
      </c>
      <c r="N141" s="1" t="s">
        <v>78</v>
      </c>
      <c r="O141" s="1" t="s">
        <v>74</v>
      </c>
      <c r="P141" s="1" t="s">
        <v>74</v>
      </c>
      <c r="Q141" s="1" t="s">
        <v>74</v>
      </c>
      <c r="R141" s="1" t="s">
        <v>74</v>
      </c>
      <c r="S141" s="1" t="s">
        <v>74</v>
      </c>
      <c r="T141" s="1" t="s">
        <v>1483</v>
      </c>
      <c r="U141" s="1" t="s">
        <v>1484</v>
      </c>
      <c r="V141" s="1" t="s">
        <v>1485</v>
      </c>
      <c r="W141" s="1" t="s">
        <v>74</v>
      </c>
      <c r="X141" s="1" t="s">
        <v>74</v>
      </c>
      <c r="Y141" s="1" t="s">
        <v>74</v>
      </c>
      <c r="Z141" s="1" t="s">
        <v>74</v>
      </c>
      <c r="AA141" s="1" t="s">
        <v>74</v>
      </c>
      <c r="AB141" s="1" t="s">
        <v>74</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1486</v>
      </c>
      <c r="AP141" s="1" t="s">
        <v>74</v>
      </c>
      <c r="AQ141" s="1" t="s">
        <v>74</v>
      </c>
      <c r="AR141" s="1" t="s">
        <v>74</v>
      </c>
      <c r="AS141" s="1" t="s">
        <v>74</v>
      </c>
      <c r="AT141" s="1" t="s">
        <v>84</v>
      </c>
      <c r="AU141" s="1">
        <v>2025.0</v>
      </c>
      <c r="AV141" s="1">
        <v>20.0</v>
      </c>
      <c r="AW141" s="1" t="s">
        <v>74</v>
      </c>
      <c r="AX141" s="1" t="s">
        <v>74</v>
      </c>
      <c r="AY141" s="1" t="s">
        <v>74</v>
      </c>
      <c r="AZ141" s="1" t="s">
        <v>74</v>
      </c>
      <c r="BA141" s="1" t="s">
        <v>74</v>
      </c>
      <c r="BB141" s="1" t="s">
        <v>74</v>
      </c>
      <c r="BC141" s="1" t="s">
        <v>74</v>
      </c>
      <c r="BD141" s="1">
        <v>100489.0</v>
      </c>
      <c r="BE141" s="1" t="s">
        <v>1487</v>
      </c>
      <c r="BF141" s="2" t="str">
        <f>HYPERLINK("http://dx.doi.org/10.1016/j.egyai.2025.100489","http://dx.doi.org/10.1016/j.egyai.2025.100489")</f>
        <v>http://dx.doi.org/10.1016/j.egyai.2025.100489</v>
      </c>
      <c r="BG141" s="1" t="s">
        <v>74</v>
      </c>
      <c r="BH141" s="1" t="s">
        <v>314</v>
      </c>
      <c r="BI141" s="1" t="s">
        <v>74</v>
      </c>
      <c r="BJ141" s="1" t="s">
        <v>74</v>
      </c>
      <c r="BK141" s="1" t="s">
        <v>74</v>
      </c>
      <c r="BL141" s="1" t="s">
        <v>1488</v>
      </c>
      <c r="BM141" s="1" t="s">
        <v>74</v>
      </c>
      <c r="BN141" s="1" t="s">
        <v>74</v>
      </c>
      <c r="BO141" s="1" t="s">
        <v>163</v>
      </c>
      <c r="BP141" s="1" t="s">
        <v>74</v>
      </c>
      <c r="BQ141" s="1" t="s">
        <v>74</v>
      </c>
      <c r="BR141" s="1" t="s">
        <v>74</v>
      </c>
      <c r="BS141" s="1" t="s">
        <v>1489</v>
      </c>
      <c r="BT141" s="1" t="str">
        <f>HYPERLINK("https%3A%2F%2Fwww.webofscience.com%2Fwos%2Fwoscc%2Ffull-record%2FWOS:001432202000001","View Full Record in Web of Science")</f>
        <v>View Full Record in Web of Science</v>
      </c>
    </row>
    <row r="142" ht="12.75" customHeight="1">
      <c r="A142" s="1" t="s">
        <v>72</v>
      </c>
      <c r="B142" s="1" t="s">
        <v>1490</v>
      </c>
      <c r="C142" s="1" t="s">
        <v>74</v>
      </c>
      <c r="D142" s="1" t="s">
        <v>74</v>
      </c>
      <c r="E142" s="1" t="s">
        <v>74</v>
      </c>
      <c r="F142" s="1" t="s">
        <v>1491</v>
      </c>
      <c r="G142" s="1" t="s">
        <v>74</v>
      </c>
      <c r="H142" s="1" t="s">
        <v>74</v>
      </c>
      <c r="I142" s="1" t="s">
        <v>1492</v>
      </c>
      <c r="J142" s="1" t="s">
        <v>519</v>
      </c>
      <c r="K142" s="1" t="s">
        <v>74</v>
      </c>
      <c r="L142" s="1" t="s">
        <v>74</v>
      </c>
      <c r="M142" s="1" t="s">
        <v>74</v>
      </c>
      <c r="N142" s="1" t="s">
        <v>78</v>
      </c>
      <c r="O142" s="1" t="s">
        <v>74</v>
      </c>
      <c r="P142" s="1" t="s">
        <v>74</v>
      </c>
      <c r="Q142" s="1" t="s">
        <v>74</v>
      </c>
      <c r="R142" s="1" t="s">
        <v>74</v>
      </c>
      <c r="S142" s="1" t="s">
        <v>74</v>
      </c>
      <c r="T142" s="1" t="s">
        <v>1493</v>
      </c>
      <c r="U142" s="1" t="s">
        <v>1494</v>
      </c>
      <c r="V142" s="1" t="s">
        <v>1495</v>
      </c>
      <c r="W142" s="1" t="s">
        <v>74</v>
      </c>
      <c r="X142" s="1" t="s">
        <v>74</v>
      </c>
      <c r="Y142" s="1" t="s">
        <v>74</v>
      </c>
      <c r="Z142" s="1" t="s">
        <v>74</v>
      </c>
      <c r="AA142" s="1" t="s">
        <v>74</v>
      </c>
      <c r="AB142" s="1" t="s">
        <v>74</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523</v>
      </c>
      <c r="AP142" s="1" t="s">
        <v>524</v>
      </c>
      <c r="AQ142" s="1" t="s">
        <v>74</v>
      </c>
      <c r="AR142" s="1" t="s">
        <v>74</v>
      </c>
      <c r="AS142" s="1" t="s">
        <v>74</v>
      </c>
      <c r="AT142" s="1" t="s">
        <v>736</v>
      </c>
      <c r="AU142" s="1">
        <v>2026.0</v>
      </c>
      <c r="AV142" s="1">
        <v>125.0</v>
      </c>
      <c r="AW142" s="1" t="s">
        <v>74</v>
      </c>
      <c r="AX142" s="1" t="s">
        <v>74</v>
      </c>
      <c r="AY142" s="1" t="s">
        <v>74</v>
      </c>
      <c r="AZ142" s="1" t="s">
        <v>74</v>
      </c>
      <c r="BA142" s="1" t="s">
        <v>74</v>
      </c>
      <c r="BB142" s="1" t="s">
        <v>74</v>
      </c>
      <c r="BC142" s="1" t="s">
        <v>74</v>
      </c>
      <c r="BD142" s="1">
        <v>103426.0</v>
      </c>
      <c r="BE142" s="1" t="s">
        <v>1496</v>
      </c>
      <c r="BF142" s="2" t="str">
        <f>HYPERLINK("http://dx.doi.org/10.1016/j.inffus.2025.103426","http://dx.doi.org/10.1016/j.inffus.2025.103426")</f>
        <v>http://dx.doi.org/10.1016/j.inffus.2025.103426</v>
      </c>
      <c r="BG142" s="1" t="s">
        <v>74</v>
      </c>
      <c r="BH142" s="1" t="s">
        <v>973</v>
      </c>
      <c r="BI142" s="1" t="s">
        <v>74</v>
      </c>
      <c r="BJ142" s="1" t="s">
        <v>74</v>
      </c>
      <c r="BK142" s="1" t="s">
        <v>74</v>
      </c>
      <c r="BL142" s="1" t="s">
        <v>174</v>
      </c>
      <c r="BM142" s="1" t="s">
        <v>74</v>
      </c>
      <c r="BN142" s="1" t="s">
        <v>74</v>
      </c>
      <c r="BO142" s="1" t="s">
        <v>114</v>
      </c>
      <c r="BP142" s="1" t="s">
        <v>74</v>
      </c>
      <c r="BQ142" s="1" t="s">
        <v>74</v>
      </c>
      <c r="BR142" s="1" t="s">
        <v>74</v>
      </c>
      <c r="BS142" s="1" t="s">
        <v>1497</v>
      </c>
      <c r="BT142" s="1" t="str">
        <f>HYPERLINK("https%3A%2F%2Fwww.webofscience.com%2Fwos%2Fwoscc%2Ffull-record%2FWOS:001533874500002","View Full Record in Web of Science")</f>
        <v>View Full Record in Web of Science</v>
      </c>
    </row>
    <row r="143" ht="12.75" customHeight="1">
      <c r="A143" s="1" t="s">
        <v>72</v>
      </c>
      <c r="B143" s="1" t="s">
        <v>1498</v>
      </c>
      <c r="C143" s="1" t="s">
        <v>74</v>
      </c>
      <c r="D143" s="1" t="s">
        <v>74</v>
      </c>
      <c r="E143" s="1" t="s">
        <v>74</v>
      </c>
      <c r="F143" s="1" t="s">
        <v>1499</v>
      </c>
      <c r="G143" s="1" t="s">
        <v>74</v>
      </c>
      <c r="H143" s="1" t="s">
        <v>74</v>
      </c>
      <c r="I143" s="1" t="s">
        <v>1500</v>
      </c>
      <c r="J143" s="1" t="s">
        <v>1501</v>
      </c>
      <c r="K143" s="1" t="s">
        <v>74</v>
      </c>
      <c r="L143" s="1" t="s">
        <v>74</v>
      </c>
      <c r="M143" s="1" t="s">
        <v>74</v>
      </c>
      <c r="N143" s="1" t="s">
        <v>953</v>
      </c>
      <c r="O143" s="1" t="s">
        <v>74</v>
      </c>
      <c r="P143" s="1" t="s">
        <v>74</v>
      </c>
      <c r="Q143" s="1" t="s">
        <v>74</v>
      </c>
      <c r="R143" s="1" t="s">
        <v>74</v>
      </c>
      <c r="S143" s="1" t="s">
        <v>74</v>
      </c>
      <c r="T143" s="1" t="s">
        <v>1502</v>
      </c>
      <c r="U143" s="1" t="s">
        <v>74</v>
      </c>
      <c r="V143" s="1" t="s">
        <v>1503</v>
      </c>
      <c r="W143" s="1" t="s">
        <v>74</v>
      </c>
      <c r="X143" s="1" t="s">
        <v>74</v>
      </c>
      <c r="Y143" s="1" t="s">
        <v>74</v>
      </c>
      <c r="Z143" s="1" t="s">
        <v>74</v>
      </c>
      <c r="AA143" s="1" t="s">
        <v>74</v>
      </c>
      <c r="AB143" s="1" t="s">
        <v>74</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1504</v>
      </c>
      <c r="AP143" s="1" t="s">
        <v>1505</v>
      </c>
      <c r="AQ143" s="1" t="s">
        <v>74</v>
      </c>
      <c r="AR143" s="1" t="s">
        <v>74</v>
      </c>
      <c r="AS143" s="1" t="s">
        <v>74</v>
      </c>
      <c r="AT143" s="1" t="s">
        <v>1506</v>
      </c>
      <c r="AU143" s="1">
        <v>2025.0</v>
      </c>
      <c r="AV143" s="1" t="s">
        <v>74</v>
      </c>
      <c r="AW143" s="1" t="s">
        <v>74</v>
      </c>
      <c r="AX143" s="1" t="s">
        <v>74</v>
      </c>
      <c r="AY143" s="1" t="s">
        <v>74</v>
      </c>
      <c r="AZ143" s="1" t="s">
        <v>74</v>
      </c>
      <c r="BA143" s="1" t="s">
        <v>74</v>
      </c>
      <c r="BB143" s="1" t="s">
        <v>74</v>
      </c>
      <c r="BC143" s="1" t="s">
        <v>74</v>
      </c>
      <c r="BD143" s="1" t="s">
        <v>74</v>
      </c>
      <c r="BE143" s="1" t="s">
        <v>1507</v>
      </c>
      <c r="BF143" s="2" t="str">
        <f>HYPERLINK("http://dx.doi.org/10.1007/s11761-025-00480-9","http://dx.doi.org/10.1007/s11761-025-00480-9")</f>
        <v>http://dx.doi.org/10.1007/s11761-025-00480-9</v>
      </c>
      <c r="BG143" s="1" t="s">
        <v>74</v>
      </c>
      <c r="BH143" s="1" t="s">
        <v>605</v>
      </c>
      <c r="BI143" s="1" t="s">
        <v>74</v>
      </c>
      <c r="BJ143" s="1" t="s">
        <v>74</v>
      </c>
      <c r="BK143" s="1" t="s">
        <v>74</v>
      </c>
      <c r="BL143" s="1" t="s">
        <v>174</v>
      </c>
      <c r="BM143" s="1" t="s">
        <v>74</v>
      </c>
      <c r="BN143" s="1" t="s">
        <v>74</v>
      </c>
      <c r="BO143" s="1" t="s">
        <v>74</v>
      </c>
      <c r="BP143" s="1" t="s">
        <v>74</v>
      </c>
      <c r="BQ143" s="1" t="s">
        <v>74</v>
      </c>
      <c r="BR143" s="1" t="s">
        <v>74</v>
      </c>
      <c r="BS143" s="1" t="s">
        <v>1508</v>
      </c>
      <c r="BT143" s="1" t="str">
        <f>HYPERLINK("https%3A%2F%2Fwww.webofscience.com%2Fwos%2Fwoscc%2Ffull-record%2FWOS:001631233400001","View Full Record in Web of Science")</f>
        <v>View Full Record in Web of Science</v>
      </c>
    </row>
    <row r="144" ht="12.75" customHeight="1">
      <c r="A144" s="1" t="s">
        <v>72</v>
      </c>
      <c r="B144" s="1" t="s">
        <v>1509</v>
      </c>
      <c r="C144" s="1" t="s">
        <v>74</v>
      </c>
      <c r="D144" s="1" t="s">
        <v>74</v>
      </c>
      <c r="E144" s="1" t="s">
        <v>74</v>
      </c>
      <c r="F144" s="1" t="s">
        <v>1510</v>
      </c>
      <c r="G144" s="1" t="s">
        <v>74</v>
      </c>
      <c r="H144" s="1" t="s">
        <v>74</v>
      </c>
      <c r="I144" s="1" t="s">
        <v>1511</v>
      </c>
      <c r="J144" s="1" t="s">
        <v>1512</v>
      </c>
      <c r="K144" s="1" t="s">
        <v>74</v>
      </c>
      <c r="L144" s="1" t="s">
        <v>74</v>
      </c>
      <c r="M144" s="1" t="s">
        <v>74</v>
      </c>
      <c r="N144" s="1" t="s">
        <v>78</v>
      </c>
      <c r="O144" s="1" t="s">
        <v>74</v>
      </c>
      <c r="P144" s="1" t="s">
        <v>74</v>
      </c>
      <c r="Q144" s="1" t="s">
        <v>74</v>
      </c>
      <c r="R144" s="1" t="s">
        <v>74</v>
      </c>
      <c r="S144" s="1" t="s">
        <v>74</v>
      </c>
      <c r="T144" s="1" t="s">
        <v>1513</v>
      </c>
      <c r="U144" s="1" t="s">
        <v>74</v>
      </c>
      <c r="V144" s="1" t="s">
        <v>1514</v>
      </c>
      <c r="W144" s="1" t="s">
        <v>74</v>
      </c>
      <c r="X144" s="1" t="s">
        <v>74</v>
      </c>
      <c r="Y144" s="1" t="s">
        <v>74</v>
      </c>
      <c r="Z144" s="1" t="s">
        <v>74</v>
      </c>
      <c r="AA144" s="1" t="s">
        <v>74</v>
      </c>
      <c r="AB144" s="1" t="s">
        <v>74</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1515</v>
      </c>
      <c r="AP144" s="1" t="s">
        <v>74</v>
      </c>
      <c r="AQ144" s="1" t="s">
        <v>74</v>
      </c>
      <c r="AR144" s="1" t="s">
        <v>74</v>
      </c>
      <c r="AS144" s="1" t="s">
        <v>74</v>
      </c>
      <c r="AT144" s="1" t="s">
        <v>262</v>
      </c>
      <c r="AU144" s="1">
        <v>2025.0</v>
      </c>
      <c r="AV144" s="1">
        <v>27.0</v>
      </c>
      <c r="AW144" s="1" t="s">
        <v>74</v>
      </c>
      <c r="AX144" s="1" t="s">
        <v>74</v>
      </c>
      <c r="AY144" s="1" t="s">
        <v>74</v>
      </c>
      <c r="AZ144" s="1" t="s">
        <v>74</v>
      </c>
      <c r="BA144" s="1" t="s">
        <v>74</v>
      </c>
      <c r="BB144" s="1" t="s">
        <v>74</v>
      </c>
      <c r="BC144" s="1" t="s">
        <v>74</v>
      </c>
      <c r="BD144" s="1">
        <v>100420.0</v>
      </c>
      <c r="BE144" s="1" t="s">
        <v>1516</v>
      </c>
      <c r="BF144" s="2" t="str">
        <f>HYPERLINK("http://dx.doi.org/10.1016/j.array.2025.100420","http://dx.doi.org/10.1016/j.array.2025.100420")</f>
        <v>http://dx.doi.org/10.1016/j.array.2025.100420</v>
      </c>
      <c r="BG144" s="1" t="s">
        <v>74</v>
      </c>
      <c r="BH144" s="1" t="s">
        <v>112</v>
      </c>
      <c r="BI144" s="1" t="s">
        <v>74</v>
      </c>
      <c r="BJ144" s="1" t="s">
        <v>74</v>
      </c>
      <c r="BK144" s="1" t="s">
        <v>74</v>
      </c>
      <c r="BL144" s="1" t="s">
        <v>174</v>
      </c>
      <c r="BM144" s="1" t="s">
        <v>74</v>
      </c>
      <c r="BN144" s="1" t="s">
        <v>74</v>
      </c>
      <c r="BO144" s="1" t="s">
        <v>163</v>
      </c>
      <c r="BP144" s="1" t="s">
        <v>74</v>
      </c>
      <c r="BQ144" s="1" t="s">
        <v>74</v>
      </c>
      <c r="BR144" s="1" t="s">
        <v>74</v>
      </c>
      <c r="BS144" s="1" t="s">
        <v>1517</v>
      </c>
      <c r="BT144" s="1" t="str">
        <f>HYPERLINK("https%3A%2F%2Fwww.webofscience.com%2Fwos%2Fwoscc%2Ffull-record%2FWOS:001511710400001","View Full Record in Web of Science")</f>
        <v>View Full Record in Web of Science</v>
      </c>
    </row>
    <row r="145" ht="12.75" customHeight="1">
      <c r="A145" s="1" t="s">
        <v>72</v>
      </c>
      <c r="B145" s="1" t="s">
        <v>1518</v>
      </c>
      <c r="C145" s="1" t="s">
        <v>74</v>
      </c>
      <c r="D145" s="1" t="s">
        <v>74</v>
      </c>
      <c r="E145" s="1" t="s">
        <v>74</v>
      </c>
      <c r="F145" s="1" t="s">
        <v>1519</v>
      </c>
      <c r="G145" s="1" t="s">
        <v>74</v>
      </c>
      <c r="H145" s="1" t="s">
        <v>74</v>
      </c>
      <c r="I145" s="1" t="s">
        <v>1520</v>
      </c>
      <c r="J145" s="1" t="s">
        <v>1230</v>
      </c>
      <c r="K145" s="1" t="s">
        <v>74</v>
      </c>
      <c r="L145" s="1" t="s">
        <v>74</v>
      </c>
      <c r="M145" s="1" t="s">
        <v>74</v>
      </c>
      <c r="N145" s="1" t="s">
        <v>78</v>
      </c>
      <c r="O145" s="1" t="s">
        <v>74</v>
      </c>
      <c r="P145" s="1" t="s">
        <v>74</v>
      </c>
      <c r="Q145" s="1" t="s">
        <v>74</v>
      </c>
      <c r="R145" s="1" t="s">
        <v>74</v>
      </c>
      <c r="S145" s="1" t="s">
        <v>74</v>
      </c>
      <c r="T145" s="1" t="s">
        <v>1521</v>
      </c>
      <c r="U145" s="1" t="s">
        <v>1522</v>
      </c>
      <c r="V145" s="1" t="s">
        <v>1523</v>
      </c>
      <c r="W145" s="1" t="s">
        <v>74</v>
      </c>
      <c r="X145" s="1" t="s">
        <v>74</v>
      </c>
      <c r="Y145" s="1" t="s">
        <v>74</v>
      </c>
      <c r="Z145" s="1" t="s">
        <v>74</v>
      </c>
      <c r="AA145" s="1" t="s">
        <v>74</v>
      </c>
      <c r="AB145" s="1" t="s">
        <v>74</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1233</v>
      </c>
      <c r="AP145" s="1" t="s">
        <v>1234</v>
      </c>
      <c r="AQ145" s="1" t="s">
        <v>74</v>
      </c>
      <c r="AR145" s="1" t="s">
        <v>74</v>
      </c>
      <c r="AS145" s="1" t="s">
        <v>74</v>
      </c>
      <c r="AT145" s="1" t="s">
        <v>1524</v>
      </c>
      <c r="AU145" s="1">
        <v>2026.0</v>
      </c>
      <c r="AV145" s="1">
        <v>299.0</v>
      </c>
      <c r="AW145" s="1" t="s">
        <v>74</v>
      </c>
      <c r="AX145" s="1" t="s">
        <v>1409</v>
      </c>
      <c r="AY145" s="1" t="s">
        <v>74</v>
      </c>
      <c r="AZ145" s="1" t="s">
        <v>74</v>
      </c>
      <c r="BA145" s="1" t="s">
        <v>74</v>
      </c>
      <c r="BB145" s="1" t="s">
        <v>74</v>
      </c>
      <c r="BC145" s="1" t="s">
        <v>74</v>
      </c>
      <c r="BD145" s="1">
        <v>129832.0</v>
      </c>
      <c r="BE145" s="1" t="s">
        <v>1525</v>
      </c>
      <c r="BF145" s="2" t="str">
        <f>HYPERLINK("http://dx.doi.org/10.1016/j.eswa.2025.129832","http://dx.doi.org/10.1016/j.eswa.2025.129832")</f>
        <v>http://dx.doi.org/10.1016/j.eswa.2025.129832</v>
      </c>
      <c r="BG145" s="1" t="s">
        <v>74</v>
      </c>
      <c r="BH145" s="1" t="s">
        <v>811</v>
      </c>
      <c r="BI145" s="1" t="s">
        <v>74</v>
      </c>
      <c r="BJ145" s="1" t="s">
        <v>74</v>
      </c>
      <c r="BK145" s="1" t="s">
        <v>74</v>
      </c>
      <c r="BL145" s="1" t="s">
        <v>1237</v>
      </c>
      <c r="BM145" s="1" t="s">
        <v>74</v>
      </c>
      <c r="BN145" s="1" t="s">
        <v>74</v>
      </c>
      <c r="BO145" s="1" t="s">
        <v>127</v>
      </c>
      <c r="BP145" s="1" t="s">
        <v>74</v>
      </c>
      <c r="BQ145" s="1" t="s">
        <v>74</v>
      </c>
      <c r="BR145" s="1" t="s">
        <v>74</v>
      </c>
      <c r="BS145" s="1" t="s">
        <v>1526</v>
      </c>
      <c r="BT145" s="1" t="str">
        <f>HYPERLINK("https%3A%2F%2Fwww.webofscience.com%2Fwos%2Fwoscc%2Ffull-record%2FWOS:001597588400004","View Full Record in Web of Science")</f>
        <v>View Full Record in Web of Science</v>
      </c>
    </row>
    <row r="146" ht="12.75" customHeight="1">
      <c r="A146" s="1" t="s">
        <v>72</v>
      </c>
      <c r="B146" s="1" t="s">
        <v>939</v>
      </c>
      <c r="C146" s="1" t="s">
        <v>74</v>
      </c>
      <c r="D146" s="1" t="s">
        <v>74</v>
      </c>
      <c r="E146" s="1" t="s">
        <v>74</v>
      </c>
      <c r="F146" s="1" t="s">
        <v>940</v>
      </c>
      <c r="G146" s="1" t="s">
        <v>74</v>
      </c>
      <c r="H146" s="1" t="s">
        <v>74</v>
      </c>
      <c r="I146" s="1" t="s">
        <v>941</v>
      </c>
      <c r="J146" s="1" t="s">
        <v>942</v>
      </c>
      <c r="K146" s="1" t="s">
        <v>74</v>
      </c>
      <c r="L146" s="1" t="s">
        <v>74</v>
      </c>
      <c r="M146" s="1" t="s">
        <v>74</v>
      </c>
      <c r="N146" s="1" t="s">
        <v>78</v>
      </c>
      <c r="O146" s="1" t="s">
        <v>74</v>
      </c>
      <c r="P146" s="1" t="s">
        <v>74</v>
      </c>
      <c r="Q146" s="1" t="s">
        <v>74</v>
      </c>
      <c r="R146" s="1" t="s">
        <v>74</v>
      </c>
      <c r="S146" s="1" t="s">
        <v>74</v>
      </c>
      <c r="T146" s="1" t="s">
        <v>943</v>
      </c>
      <c r="U146" s="1" t="s">
        <v>74</v>
      </c>
      <c r="V146" s="1" t="s">
        <v>944</v>
      </c>
      <c r="W146" s="1" t="s">
        <v>74</v>
      </c>
      <c r="X146" s="1" t="s">
        <v>74</v>
      </c>
      <c r="Y146" s="1" t="s">
        <v>74</v>
      </c>
      <c r="Z146" s="1" t="s">
        <v>74</v>
      </c>
      <c r="AA146" s="1" t="s">
        <v>74</v>
      </c>
      <c r="AB146" s="1" t="s">
        <v>74</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945</v>
      </c>
      <c r="AP146" s="1" t="s">
        <v>946</v>
      </c>
      <c r="AQ146" s="1" t="s">
        <v>74</v>
      </c>
      <c r="AR146" s="1" t="s">
        <v>74</v>
      </c>
      <c r="AS146" s="1" t="s">
        <v>74</v>
      </c>
      <c r="AT146" s="1" t="s">
        <v>172</v>
      </c>
      <c r="AU146" s="1">
        <v>2025.0</v>
      </c>
      <c r="AV146" s="1">
        <v>30.0</v>
      </c>
      <c r="AW146" s="1">
        <v>6.0</v>
      </c>
      <c r="AX146" s="1" t="s">
        <v>74</v>
      </c>
      <c r="AY146" s="1" t="s">
        <v>74</v>
      </c>
      <c r="AZ146" s="1" t="s">
        <v>74</v>
      </c>
      <c r="BA146" s="1" t="s">
        <v>74</v>
      </c>
      <c r="BB146" s="1" t="s">
        <v>74</v>
      </c>
      <c r="BC146" s="1" t="s">
        <v>74</v>
      </c>
      <c r="BD146" s="1">
        <v>102.0</v>
      </c>
      <c r="BE146" s="1" t="s">
        <v>947</v>
      </c>
      <c r="BF146" s="2" t="str">
        <f>HYPERLINK("http://dx.doi.org/10.1145/3735638","http://dx.doi.org/10.1145/3735638")</f>
        <v>http://dx.doi.org/10.1145/3735638</v>
      </c>
      <c r="BG146" s="1" t="s">
        <v>74</v>
      </c>
      <c r="BH146" s="1" t="s">
        <v>74</v>
      </c>
      <c r="BI146" s="1" t="s">
        <v>74</v>
      </c>
      <c r="BJ146" s="1" t="s">
        <v>74</v>
      </c>
      <c r="BK146" s="1" t="s">
        <v>74</v>
      </c>
      <c r="BL146" s="1" t="s">
        <v>174</v>
      </c>
      <c r="BM146" s="1" t="s">
        <v>74</v>
      </c>
      <c r="BN146" s="1" t="s">
        <v>74</v>
      </c>
      <c r="BO146" s="1" t="s">
        <v>114</v>
      </c>
      <c r="BP146" s="1" t="s">
        <v>74</v>
      </c>
      <c r="BQ146" s="1" t="s">
        <v>74</v>
      </c>
      <c r="BR146" s="1" t="s">
        <v>74</v>
      </c>
      <c r="BS146" s="1" t="s">
        <v>1527</v>
      </c>
      <c r="BT146" s="1" t="str">
        <f>HYPERLINK("https%3A%2F%2Fwww.webofscience.com%2Fwos%2Fwoscc%2Ffull-record%2FWOS:001616616200014","View Full Record in Web of Science")</f>
        <v>View Full Record in Web of Science</v>
      </c>
    </row>
    <row r="147" ht="12.75" customHeight="1">
      <c r="A147" s="1" t="s">
        <v>72</v>
      </c>
      <c r="B147" s="1" t="s">
        <v>1528</v>
      </c>
      <c r="C147" s="1" t="s">
        <v>74</v>
      </c>
      <c r="D147" s="1" t="s">
        <v>74</v>
      </c>
      <c r="E147" s="1" t="s">
        <v>74</v>
      </c>
      <c r="F147" s="1" t="s">
        <v>1529</v>
      </c>
      <c r="G147" s="1" t="s">
        <v>74</v>
      </c>
      <c r="H147" s="1" t="s">
        <v>74</v>
      </c>
      <c r="I147" s="1" t="s">
        <v>1530</v>
      </c>
      <c r="J147" s="1" t="s">
        <v>1531</v>
      </c>
      <c r="K147" s="1" t="s">
        <v>74</v>
      </c>
      <c r="L147" s="1" t="s">
        <v>74</v>
      </c>
      <c r="M147" s="1" t="s">
        <v>74</v>
      </c>
      <c r="N147" s="1" t="s">
        <v>78</v>
      </c>
      <c r="O147" s="1" t="s">
        <v>74</v>
      </c>
      <c r="P147" s="1" t="s">
        <v>74</v>
      </c>
      <c r="Q147" s="1" t="s">
        <v>74</v>
      </c>
      <c r="R147" s="1" t="s">
        <v>74</v>
      </c>
      <c r="S147" s="1" t="s">
        <v>74</v>
      </c>
      <c r="T147" s="1" t="s">
        <v>1532</v>
      </c>
      <c r="U147" s="1" t="s">
        <v>74</v>
      </c>
      <c r="V147" s="1" t="s">
        <v>1533</v>
      </c>
      <c r="W147" s="1" t="s">
        <v>74</v>
      </c>
      <c r="X147" s="1" t="s">
        <v>74</v>
      </c>
      <c r="Y147" s="1" t="s">
        <v>74</v>
      </c>
      <c r="Z147" s="1" t="s">
        <v>74</v>
      </c>
      <c r="AA147" s="1" t="s">
        <v>74</v>
      </c>
      <c r="AB147" s="1" t="s">
        <v>74</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1534</v>
      </c>
      <c r="AP147" s="1" t="s">
        <v>74</v>
      </c>
      <c r="AQ147" s="1" t="s">
        <v>74</v>
      </c>
      <c r="AR147" s="1" t="s">
        <v>74</v>
      </c>
      <c r="AS147" s="1" t="s">
        <v>74</v>
      </c>
      <c r="AT147" s="1" t="s">
        <v>74</v>
      </c>
      <c r="AU147" s="1">
        <v>2025.0</v>
      </c>
      <c r="AV147" s="1">
        <v>16.0</v>
      </c>
      <c r="AW147" s="1">
        <v>8.0</v>
      </c>
      <c r="AX147" s="1" t="s">
        <v>74</v>
      </c>
      <c r="AY147" s="1" t="s">
        <v>74</v>
      </c>
      <c r="AZ147" s="1" t="s">
        <v>74</v>
      </c>
      <c r="BA147" s="1" t="s">
        <v>74</v>
      </c>
      <c r="BB147" s="1">
        <v>1118.0</v>
      </c>
      <c r="BC147" s="1">
        <v>1126.0</v>
      </c>
      <c r="BD147" s="1" t="s">
        <v>74</v>
      </c>
      <c r="BE147" s="1" t="s">
        <v>1535</v>
      </c>
      <c r="BF147" s="2" t="str">
        <f>HYPERLINK("http://dx.doi.org/10.12720/jait.16.8.1118-1126","http://dx.doi.org/10.12720/jait.16.8.1118-1126")</f>
        <v>http://dx.doi.org/10.12720/jait.16.8.1118-1126</v>
      </c>
      <c r="BG147" s="1" t="s">
        <v>74</v>
      </c>
      <c r="BH147" s="1" t="s">
        <v>74</v>
      </c>
      <c r="BI147" s="1" t="s">
        <v>74</v>
      </c>
      <c r="BJ147" s="1" t="s">
        <v>74</v>
      </c>
      <c r="BK147" s="1" t="s">
        <v>74</v>
      </c>
      <c r="BL147" s="1" t="s">
        <v>174</v>
      </c>
      <c r="BM147" s="1" t="s">
        <v>74</v>
      </c>
      <c r="BN147" s="1" t="s">
        <v>74</v>
      </c>
      <c r="BO147" s="1" t="s">
        <v>163</v>
      </c>
      <c r="BP147" s="1" t="s">
        <v>74</v>
      </c>
      <c r="BQ147" s="1" t="s">
        <v>74</v>
      </c>
      <c r="BR147" s="1" t="s">
        <v>74</v>
      </c>
      <c r="BS147" s="1" t="s">
        <v>1536</v>
      </c>
      <c r="BT147" s="1" t="str">
        <f>HYPERLINK("https%3A%2F%2Fwww.webofscience.com%2Fwos%2Fwoscc%2Ffull-record%2FWOS:001560713200005","View Full Record in Web of Science")</f>
        <v>View Full Record in Web of Science</v>
      </c>
    </row>
    <row r="148" ht="12.75" customHeight="1">
      <c r="A148" s="1" t="s">
        <v>72</v>
      </c>
      <c r="B148" s="1" t="s">
        <v>1537</v>
      </c>
      <c r="C148" s="1" t="s">
        <v>74</v>
      </c>
      <c r="D148" s="1" t="s">
        <v>74</v>
      </c>
      <c r="E148" s="1" t="s">
        <v>74</v>
      </c>
      <c r="F148" s="1" t="s">
        <v>1538</v>
      </c>
      <c r="G148" s="1" t="s">
        <v>74</v>
      </c>
      <c r="H148" s="1" t="s">
        <v>74</v>
      </c>
      <c r="I148" s="1" t="s">
        <v>1539</v>
      </c>
      <c r="J148" s="1" t="s">
        <v>1540</v>
      </c>
      <c r="K148" s="1" t="s">
        <v>74</v>
      </c>
      <c r="L148" s="1" t="s">
        <v>74</v>
      </c>
      <c r="M148" s="1" t="s">
        <v>74</v>
      </c>
      <c r="N148" s="1" t="s">
        <v>158</v>
      </c>
      <c r="O148" s="1" t="s">
        <v>74</v>
      </c>
      <c r="P148" s="1" t="s">
        <v>74</v>
      </c>
      <c r="Q148" s="1" t="s">
        <v>74</v>
      </c>
      <c r="R148" s="1" t="s">
        <v>74</v>
      </c>
      <c r="S148" s="1" t="s">
        <v>74</v>
      </c>
      <c r="T148" s="1" t="s">
        <v>1541</v>
      </c>
      <c r="U148" s="1" t="s">
        <v>1542</v>
      </c>
      <c r="V148" s="1" t="s">
        <v>1543</v>
      </c>
      <c r="W148" s="1" t="s">
        <v>74</v>
      </c>
      <c r="X148" s="1" t="s">
        <v>74</v>
      </c>
      <c r="Y148" s="1" t="s">
        <v>74</v>
      </c>
      <c r="Z148" s="1" t="s">
        <v>74</v>
      </c>
      <c r="AA148" s="1" t="s">
        <v>74</v>
      </c>
      <c r="AB148" s="1" t="s">
        <v>74</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1544</v>
      </c>
      <c r="AP148" s="1" t="s">
        <v>1545</v>
      </c>
      <c r="AQ148" s="1" t="s">
        <v>74</v>
      </c>
      <c r="AR148" s="1" t="s">
        <v>74</v>
      </c>
      <c r="AS148" s="1" t="s">
        <v>74</v>
      </c>
      <c r="AT148" s="1" t="s">
        <v>200</v>
      </c>
      <c r="AU148" s="1">
        <v>2025.0</v>
      </c>
      <c r="AV148" s="1">
        <v>15.0</v>
      </c>
      <c r="AW148" s="1">
        <v>4.0</v>
      </c>
      <c r="AX148" s="1" t="s">
        <v>74</v>
      </c>
      <c r="AY148" s="1" t="s">
        <v>74</v>
      </c>
      <c r="AZ148" s="1" t="s">
        <v>74</v>
      </c>
      <c r="BA148" s="1" t="s">
        <v>74</v>
      </c>
      <c r="BB148" s="1">
        <v>671.0</v>
      </c>
      <c r="BC148" s="1">
        <v>685.0</v>
      </c>
      <c r="BD148" s="1" t="s">
        <v>74</v>
      </c>
      <c r="BE148" s="1" t="s">
        <v>1546</v>
      </c>
      <c r="BF148" s="2" t="str">
        <f>HYPERLINK("http://dx.doi.org/10.1016/j.aiia.2025.05.006","http://dx.doi.org/10.1016/j.aiia.2025.05.006")</f>
        <v>http://dx.doi.org/10.1016/j.aiia.2025.05.006</v>
      </c>
      <c r="BG148" s="1" t="s">
        <v>74</v>
      </c>
      <c r="BH148" s="1" t="s">
        <v>74</v>
      </c>
      <c r="BI148" s="1" t="s">
        <v>74</v>
      </c>
      <c r="BJ148" s="1" t="s">
        <v>74</v>
      </c>
      <c r="BK148" s="1" t="s">
        <v>74</v>
      </c>
      <c r="BL148" s="1" t="s">
        <v>315</v>
      </c>
      <c r="BM148" s="1" t="s">
        <v>74</v>
      </c>
      <c r="BN148" s="1" t="s">
        <v>74</v>
      </c>
      <c r="BO148" s="1" t="s">
        <v>163</v>
      </c>
      <c r="BP148" s="1" t="s">
        <v>74</v>
      </c>
      <c r="BQ148" s="1" t="s">
        <v>74</v>
      </c>
      <c r="BR148" s="1" t="s">
        <v>74</v>
      </c>
      <c r="BS148" s="1" t="s">
        <v>1547</v>
      </c>
      <c r="BT148" s="1" t="str">
        <f>HYPERLINK("https%3A%2F%2Fwww.webofscience.com%2Fwos%2Fwoscc%2Ffull-record%2FWOS:001515051200001","View Full Record in Web of Science")</f>
        <v>View Full Record in Web of Science</v>
      </c>
    </row>
    <row r="149" ht="12.75" customHeight="1">
      <c r="A149" s="1" t="s">
        <v>72</v>
      </c>
      <c r="B149" s="1" t="s">
        <v>1548</v>
      </c>
      <c r="C149" s="1" t="s">
        <v>74</v>
      </c>
      <c r="D149" s="1" t="s">
        <v>74</v>
      </c>
      <c r="E149" s="1" t="s">
        <v>74</v>
      </c>
      <c r="F149" s="1" t="s">
        <v>1549</v>
      </c>
      <c r="G149" s="1" t="s">
        <v>74</v>
      </c>
      <c r="H149" s="1" t="s">
        <v>74</v>
      </c>
      <c r="I149" s="1" t="s">
        <v>1550</v>
      </c>
      <c r="J149" s="1" t="s">
        <v>1428</v>
      </c>
      <c r="K149" s="1" t="s">
        <v>74</v>
      </c>
      <c r="L149" s="1" t="s">
        <v>74</v>
      </c>
      <c r="M149" s="1" t="s">
        <v>74</v>
      </c>
      <c r="N149" s="1" t="s">
        <v>78</v>
      </c>
      <c r="O149" s="1" t="s">
        <v>74</v>
      </c>
      <c r="P149" s="1" t="s">
        <v>74</v>
      </c>
      <c r="Q149" s="1" t="s">
        <v>74</v>
      </c>
      <c r="R149" s="1" t="s">
        <v>74</v>
      </c>
      <c r="S149" s="1" t="s">
        <v>74</v>
      </c>
      <c r="T149" s="1" t="s">
        <v>1551</v>
      </c>
      <c r="U149" s="1" t="s">
        <v>1552</v>
      </c>
      <c r="V149" s="1" t="s">
        <v>1553</v>
      </c>
      <c r="W149" s="1" t="s">
        <v>74</v>
      </c>
      <c r="X149" s="1" t="s">
        <v>74</v>
      </c>
      <c r="Y149" s="1" t="s">
        <v>74</v>
      </c>
      <c r="Z149" s="1" t="s">
        <v>74</v>
      </c>
      <c r="AA149" s="1" t="s">
        <v>74</v>
      </c>
      <c r="AB149" s="1" t="s">
        <v>74</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1432</v>
      </c>
      <c r="AP149" s="1" t="s">
        <v>1433</v>
      </c>
      <c r="AQ149" s="1" t="s">
        <v>74</v>
      </c>
      <c r="AR149" s="1" t="s">
        <v>74</v>
      </c>
      <c r="AS149" s="1" t="s">
        <v>74</v>
      </c>
      <c r="AT149" s="1" t="s">
        <v>84</v>
      </c>
      <c r="AU149" s="1">
        <v>2026.0</v>
      </c>
      <c r="AV149" s="1">
        <v>60.0</v>
      </c>
      <c r="AW149" s="1" t="s">
        <v>74</v>
      </c>
      <c r="AX149" s="1" t="s">
        <v>74</v>
      </c>
      <c r="AY149" s="1" t="s">
        <v>74</v>
      </c>
      <c r="AZ149" s="1" t="s">
        <v>74</v>
      </c>
      <c r="BA149" s="1" t="s">
        <v>74</v>
      </c>
      <c r="BB149" s="1" t="s">
        <v>74</v>
      </c>
      <c r="BC149" s="1" t="s">
        <v>74</v>
      </c>
      <c r="BD149" s="1">
        <v>100883.0</v>
      </c>
      <c r="BE149" s="1" t="s">
        <v>1554</v>
      </c>
      <c r="BF149" s="2" t="str">
        <f>HYPERLINK("http://dx.doi.org/10.1016/j.cosrev.2025.100883","http://dx.doi.org/10.1016/j.cosrev.2025.100883")</f>
        <v>http://dx.doi.org/10.1016/j.cosrev.2025.100883</v>
      </c>
      <c r="BG149" s="1" t="s">
        <v>74</v>
      </c>
      <c r="BH149" s="1" t="s">
        <v>605</v>
      </c>
      <c r="BI149" s="1" t="s">
        <v>74</v>
      </c>
      <c r="BJ149" s="1" t="s">
        <v>74</v>
      </c>
      <c r="BK149" s="1" t="s">
        <v>74</v>
      </c>
      <c r="BL149" s="1" t="s">
        <v>174</v>
      </c>
      <c r="BM149" s="1" t="s">
        <v>74</v>
      </c>
      <c r="BN149" s="1" t="s">
        <v>74</v>
      </c>
      <c r="BO149" s="1" t="s">
        <v>114</v>
      </c>
      <c r="BP149" s="1" t="s">
        <v>74</v>
      </c>
      <c r="BQ149" s="1" t="s">
        <v>74</v>
      </c>
      <c r="BR149" s="1" t="s">
        <v>74</v>
      </c>
      <c r="BS149" s="1" t="s">
        <v>1555</v>
      </c>
      <c r="BT149" s="1" t="str">
        <f>HYPERLINK("https%3A%2F%2Fwww.webofscience.com%2Fwos%2Fwoscc%2Ffull-record%2FWOS:001648653700001","View Full Record in Web of Science")</f>
        <v>View Full Record in Web of Science</v>
      </c>
    </row>
    <row r="150" ht="12.75" customHeight="1">
      <c r="A150" s="1" t="s">
        <v>72</v>
      </c>
      <c r="B150" s="1" t="s">
        <v>1556</v>
      </c>
      <c r="C150" s="1" t="s">
        <v>74</v>
      </c>
      <c r="D150" s="1" t="s">
        <v>74</v>
      </c>
      <c r="E150" s="1" t="s">
        <v>74</v>
      </c>
      <c r="F150" s="1" t="s">
        <v>1557</v>
      </c>
      <c r="G150" s="1" t="s">
        <v>74</v>
      </c>
      <c r="H150" s="1" t="s">
        <v>74</v>
      </c>
      <c r="I150" s="1" t="s">
        <v>1558</v>
      </c>
      <c r="J150" s="1" t="s">
        <v>1559</v>
      </c>
      <c r="K150" s="1" t="s">
        <v>74</v>
      </c>
      <c r="L150" s="1" t="s">
        <v>74</v>
      </c>
      <c r="M150" s="1" t="s">
        <v>74</v>
      </c>
      <c r="N150" s="1" t="s">
        <v>78</v>
      </c>
      <c r="O150" s="1" t="s">
        <v>74</v>
      </c>
      <c r="P150" s="1" t="s">
        <v>74</v>
      </c>
      <c r="Q150" s="1" t="s">
        <v>74</v>
      </c>
      <c r="R150" s="1" t="s">
        <v>74</v>
      </c>
      <c r="S150" s="1" t="s">
        <v>74</v>
      </c>
      <c r="T150" s="1" t="s">
        <v>1560</v>
      </c>
      <c r="U150" s="1" t="s">
        <v>1561</v>
      </c>
      <c r="V150" s="1" t="s">
        <v>1562</v>
      </c>
      <c r="W150" s="1" t="s">
        <v>74</v>
      </c>
      <c r="X150" s="1" t="s">
        <v>74</v>
      </c>
      <c r="Y150" s="1" t="s">
        <v>74</v>
      </c>
      <c r="Z150" s="1" t="s">
        <v>74</v>
      </c>
      <c r="AA150" s="1" t="s">
        <v>74</v>
      </c>
      <c r="AB150" s="1" t="s">
        <v>74</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1563</v>
      </c>
      <c r="AP150" s="1" t="s">
        <v>1564</v>
      </c>
      <c r="AQ150" s="1" t="s">
        <v>74</v>
      </c>
      <c r="AR150" s="1" t="s">
        <v>74</v>
      </c>
      <c r="AS150" s="1" t="s">
        <v>74</v>
      </c>
      <c r="AT150" s="1" t="s">
        <v>172</v>
      </c>
      <c r="AU150" s="1">
        <v>2025.0</v>
      </c>
      <c r="AV150" s="1">
        <v>55.0</v>
      </c>
      <c r="AW150" s="1">
        <v>11.0</v>
      </c>
      <c r="AX150" s="1" t="s">
        <v>74</v>
      </c>
      <c r="AY150" s="1" t="s">
        <v>74</v>
      </c>
      <c r="AZ150" s="1" t="s">
        <v>74</v>
      </c>
      <c r="BA150" s="1" t="s">
        <v>74</v>
      </c>
      <c r="BB150" s="1">
        <v>8506.0</v>
      </c>
      <c r="BC150" s="1">
        <v>8518.0</v>
      </c>
      <c r="BD150" s="1" t="s">
        <v>74</v>
      </c>
      <c r="BE150" s="1" t="s">
        <v>1565</v>
      </c>
      <c r="BF150" s="2" t="str">
        <f>HYPERLINK("http://dx.doi.org/10.1109/TSMC.2025.3605404","http://dx.doi.org/10.1109/TSMC.2025.3605404")</f>
        <v>http://dx.doi.org/10.1109/TSMC.2025.3605404</v>
      </c>
      <c r="BG150" s="1" t="s">
        <v>74</v>
      </c>
      <c r="BH150" s="1" t="s">
        <v>738</v>
      </c>
      <c r="BI150" s="1" t="s">
        <v>74</v>
      </c>
      <c r="BJ150" s="1" t="s">
        <v>74</v>
      </c>
      <c r="BK150" s="1" t="s">
        <v>74</v>
      </c>
      <c r="BL150" s="1" t="s">
        <v>780</v>
      </c>
      <c r="BM150" s="1" t="s">
        <v>74</v>
      </c>
      <c r="BN150" s="1" t="s">
        <v>74</v>
      </c>
      <c r="BO150" s="1" t="s">
        <v>74</v>
      </c>
      <c r="BP150" s="1" t="s">
        <v>74</v>
      </c>
      <c r="BQ150" s="1" t="s">
        <v>74</v>
      </c>
      <c r="BR150" s="1" t="s">
        <v>74</v>
      </c>
      <c r="BS150" s="1" t="s">
        <v>1566</v>
      </c>
      <c r="BT150" s="1" t="str">
        <f>HYPERLINK("https%3A%2F%2Fwww.webofscience.com%2Fwos%2Fwoscc%2Ffull-record%2FWOS:001571472500001","View Full Record in Web of Science")</f>
        <v>View Full Record in Web of Science</v>
      </c>
    </row>
    <row r="151" ht="12.75" customHeight="1">
      <c r="A151" s="1" t="s">
        <v>72</v>
      </c>
      <c r="B151" s="1" t="s">
        <v>1567</v>
      </c>
      <c r="C151" s="1" t="s">
        <v>74</v>
      </c>
      <c r="D151" s="1" t="s">
        <v>74</v>
      </c>
      <c r="E151" s="1" t="s">
        <v>74</v>
      </c>
      <c r="F151" s="1" t="s">
        <v>1568</v>
      </c>
      <c r="G151" s="1" t="s">
        <v>74</v>
      </c>
      <c r="H151" s="1" t="s">
        <v>74</v>
      </c>
      <c r="I151" s="1" t="s">
        <v>1569</v>
      </c>
      <c r="J151" s="1" t="s">
        <v>1570</v>
      </c>
      <c r="K151" s="1" t="s">
        <v>74</v>
      </c>
      <c r="L151" s="1" t="s">
        <v>74</v>
      </c>
      <c r="M151" s="1" t="s">
        <v>74</v>
      </c>
      <c r="N151" s="1" t="s">
        <v>78</v>
      </c>
      <c r="O151" s="1" t="s">
        <v>74</v>
      </c>
      <c r="P151" s="1" t="s">
        <v>74</v>
      </c>
      <c r="Q151" s="1" t="s">
        <v>74</v>
      </c>
      <c r="R151" s="1" t="s">
        <v>74</v>
      </c>
      <c r="S151" s="1" t="s">
        <v>74</v>
      </c>
      <c r="T151" s="1" t="s">
        <v>1571</v>
      </c>
      <c r="U151" s="1" t="s">
        <v>74</v>
      </c>
      <c r="V151" s="1" t="s">
        <v>1572</v>
      </c>
      <c r="W151" s="1" t="s">
        <v>74</v>
      </c>
      <c r="X151" s="1" t="s">
        <v>74</v>
      </c>
      <c r="Y151" s="1" t="s">
        <v>74</v>
      </c>
      <c r="Z151" s="1" t="s">
        <v>74</v>
      </c>
      <c r="AA151" s="1" t="s">
        <v>74</v>
      </c>
      <c r="AB151" s="1" t="s">
        <v>74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1573</v>
      </c>
      <c r="AP151" s="1" t="s">
        <v>1574</v>
      </c>
      <c r="AQ151" s="1" t="s">
        <v>74</v>
      </c>
      <c r="AR151" s="1" t="s">
        <v>74</v>
      </c>
      <c r="AS151" s="1" t="s">
        <v>74</v>
      </c>
      <c r="AT151" s="1" t="s">
        <v>736</v>
      </c>
      <c r="AU151" s="1">
        <v>2025.0</v>
      </c>
      <c r="AV151" s="1">
        <v>31.0</v>
      </c>
      <c r="AW151" s="1">
        <v>1.0</v>
      </c>
      <c r="AX151" s="1" t="s">
        <v>74</v>
      </c>
      <c r="AY151" s="1" t="s">
        <v>74</v>
      </c>
      <c r="AZ151" s="1" t="s">
        <v>74</v>
      </c>
      <c r="BA151" s="1" t="s">
        <v>74</v>
      </c>
      <c r="BB151" s="1">
        <v>503.0</v>
      </c>
      <c r="BC151" s="1">
        <v>513.0</v>
      </c>
      <c r="BD151" s="1" t="s">
        <v>74</v>
      </c>
      <c r="BE151" s="1" t="s">
        <v>1575</v>
      </c>
      <c r="BF151" s="2" t="str">
        <f>HYPERLINK("http://dx.doi.org/10.1109/TVCG.2024.3456354","http://dx.doi.org/10.1109/TVCG.2024.3456354")</f>
        <v>http://dx.doi.org/10.1109/TVCG.2024.3456354</v>
      </c>
      <c r="BG151" s="1" t="s">
        <v>74</v>
      </c>
      <c r="BH151" s="1" t="s">
        <v>74</v>
      </c>
      <c r="BI151" s="1" t="s">
        <v>74</v>
      </c>
      <c r="BJ151" s="1" t="s">
        <v>74</v>
      </c>
      <c r="BK151" s="1" t="s">
        <v>74</v>
      </c>
      <c r="BL151" s="1" t="s">
        <v>174</v>
      </c>
      <c r="BM151" s="1" t="s">
        <v>74</v>
      </c>
      <c r="BN151" s="1" t="s">
        <v>74</v>
      </c>
      <c r="BO151" s="1" t="s">
        <v>114</v>
      </c>
      <c r="BP151" s="1" t="s">
        <v>74</v>
      </c>
      <c r="BQ151" s="1" t="s">
        <v>74</v>
      </c>
      <c r="BR151" s="1" t="s">
        <v>74</v>
      </c>
      <c r="BS151" s="1" t="s">
        <v>1576</v>
      </c>
      <c r="BT151" s="1" t="str">
        <f>HYPERLINK("https%3A%2F%2Fwww.webofscience.com%2Fwos%2Fwoscc%2Ffull-record%2FWOS:001449829900043","View Full Record in Web of Science")</f>
        <v>View Full Record in Web of Science</v>
      </c>
    </row>
    <row r="152" ht="12.75" customHeight="1">
      <c r="A152" s="1" t="s">
        <v>72</v>
      </c>
      <c r="B152" s="1" t="s">
        <v>1577</v>
      </c>
      <c r="C152" s="1" t="s">
        <v>74</v>
      </c>
      <c r="D152" s="1" t="s">
        <v>74</v>
      </c>
      <c r="E152" s="1" t="s">
        <v>74</v>
      </c>
      <c r="F152" s="1" t="s">
        <v>1578</v>
      </c>
      <c r="G152" s="1" t="s">
        <v>74</v>
      </c>
      <c r="H152" s="1" t="s">
        <v>74</v>
      </c>
      <c r="I152" s="1" t="s">
        <v>1579</v>
      </c>
      <c r="J152" s="1" t="s">
        <v>1580</v>
      </c>
      <c r="K152" s="1" t="s">
        <v>74</v>
      </c>
      <c r="L152" s="1" t="s">
        <v>74</v>
      </c>
      <c r="M152" s="1" t="s">
        <v>74</v>
      </c>
      <c r="N152" s="1" t="s">
        <v>78</v>
      </c>
      <c r="O152" s="1" t="s">
        <v>74</v>
      </c>
      <c r="P152" s="1" t="s">
        <v>74</v>
      </c>
      <c r="Q152" s="1" t="s">
        <v>74</v>
      </c>
      <c r="R152" s="1" t="s">
        <v>74</v>
      </c>
      <c r="S152" s="1" t="s">
        <v>74</v>
      </c>
      <c r="T152" s="1" t="s">
        <v>1581</v>
      </c>
      <c r="U152" s="1" t="s">
        <v>74</v>
      </c>
      <c r="V152" s="1" t="s">
        <v>1582</v>
      </c>
      <c r="W152" s="1" t="s">
        <v>74</v>
      </c>
      <c r="X152" s="1" t="s">
        <v>74</v>
      </c>
      <c r="Y152" s="1" t="s">
        <v>74</v>
      </c>
      <c r="Z152" s="1" t="s">
        <v>74</v>
      </c>
      <c r="AA152" s="1" t="s">
        <v>74</v>
      </c>
      <c r="AB152" s="1" t="s">
        <v>74</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1583</v>
      </c>
      <c r="AP152" s="1" t="s">
        <v>1584</v>
      </c>
      <c r="AQ152" s="1" t="s">
        <v>74</v>
      </c>
      <c r="AR152" s="1" t="s">
        <v>74</v>
      </c>
      <c r="AS152" s="1" t="s">
        <v>74</v>
      </c>
      <c r="AT152" s="1" t="s">
        <v>84</v>
      </c>
      <c r="AU152" s="1">
        <v>2024.0</v>
      </c>
      <c r="AV152" s="1">
        <v>157.0</v>
      </c>
      <c r="AW152" s="1" t="s">
        <v>74</v>
      </c>
      <c r="AX152" s="1" t="s">
        <v>74</v>
      </c>
      <c r="AY152" s="1" t="s">
        <v>74</v>
      </c>
      <c r="AZ152" s="1" t="s">
        <v>74</v>
      </c>
      <c r="BA152" s="1" t="s">
        <v>74</v>
      </c>
      <c r="BB152" s="1" t="s">
        <v>74</v>
      </c>
      <c r="BC152" s="1" t="s">
        <v>74</v>
      </c>
      <c r="BD152" s="1">
        <v>111531.0</v>
      </c>
      <c r="BE152" s="1" t="s">
        <v>1585</v>
      </c>
      <c r="BF152" s="2" t="str">
        <f>HYPERLINK("http://dx.doi.org/10.1016/j.asoc.2024.111531","http://dx.doi.org/10.1016/j.asoc.2024.111531")</f>
        <v>http://dx.doi.org/10.1016/j.asoc.2024.111531</v>
      </c>
      <c r="BG152" s="1" t="s">
        <v>74</v>
      </c>
      <c r="BH152" s="1" t="s">
        <v>86</v>
      </c>
      <c r="BI152" s="1" t="s">
        <v>74</v>
      </c>
      <c r="BJ152" s="1" t="s">
        <v>74</v>
      </c>
      <c r="BK152" s="1" t="s">
        <v>74</v>
      </c>
      <c r="BL152" s="1" t="s">
        <v>174</v>
      </c>
      <c r="BM152" s="1" t="s">
        <v>74</v>
      </c>
      <c r="BN152" s="1" t="s">
        <v>74</v>
      </c>
      <c r="BO152" s="1" t="s">
        <v>74</v>
      </c>
      <c r="BP152" s="1" t="s">
        <v>74</v>
      </c>
      <c r="BQ152" s="1" t="s">
        <v>74</v>
      </c>
      <c r="BR152" s="1" t="s">
        <v>74</v>
      </c>
      <c r="BS152" s="1" t="s">
        <v>1586</v>
      </c>
      <c r="BT152" s="1" t="str">
        <f>HYPERLINK("https%3A%2F%2Fwww.webofscience.com%2Fwos%2Fwoscc%2Ffull-record%2FWOS:001224424600001","View Full Record in Web of Science")</f>
        <v>View Full Record in Web of Science</v>
      </c>
    </row>
    <row r="153" ht="12.75" customHeight="1">
      <c r="A153" s="1" t="s">
        <v>72</v>
      </c>
      <c r="B153" s="1" t="s">
        <v>1587</v>
      </c>
      <c r="C153" s="1" t="s">
        <v>74</v>
      </c>
      <c r="D153" s="1" t="s">
        <v>74</v>
      </c>
      <c r="E153" s="1" t="s">
        <v>74</v>
      </c>
      <c r="F153" s="1" t="s">
        <v>1588</v>
      </c>
      <c r="G153" s="1" t="s">
        <v>74</v>
      </c>
      <c r="H153" s="1" t="s">
        <v>74</v>
      </c>
      <c r="I153" s="1" t="s">
        <v>1589</v>
      </c>
      <c r="J153" s="1" t="s">
        <v>147</v>
      </c>
      <c r="K153" s="1" t="s">
        <v>74</v>
      </c>
      <c r="L153" s="1" t="s">
        <v>74</v>
      </c>
      <c r="M153" s="1" t="s">
        <v>74</v>
      </c>
      <c r="N153" s="1" t="s">
        <v>78</v>
      </c>
      <c r="O153" s="1" t="s">
        <v>74</v>
      </c>
      <c r="P153" s="1" t="s">
        <v>74</v>
      </c>
      <c r="Q153" s="1" t="s">
        <v>74</v>
      </c>
      <c r="R153" s="1" t="s">
        <v>74</v>
      </c>
      <c r="S153" s="1" t="s">
        <v>74</v>
      </c>
      <c r="T153" s="1" t="s">
        <v>1590</v>
      </c>
      <c r="U153" s="1" t="s">
        <v>1591</v>
      </c>
      <c r="V153" s="1" t="s">
        <v>1592</v>
      </c>
      <c r="W153" s="1" t="s">
        <v>74</v>
      </c>
      <c r="X153" s="1" t="s">
        <v>74</v>
      </c>
      <c r="Y153" s="1" t="s">
        <v>74</v>
      </c>
      <c r="Z153" s="1" t="s">
        <v>74</v>
      </c>
      <c r="AA153" s="1" t="s">
        <v>74</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150</v>
      </c>
      <c r="AP153" s="1" t="s">
        <v>74</v>
      </c>
      <c r="AQ153" s="1" t="s">
        <v>74</v>
      </c>
      <c r="AR153" s="1" t="s">
        <v>74</v>
      </c>
      <c r="AS153" s="1" t="s">
        <v>74</v>
      </c>
      <c r="AT153" s="1" t="s">
        <v>74</v>
      </c>
      <c r="AU153" s="1">
        <v>2025.0</v>
      </c>
      <c r="AV153" s="1">
        <v>13.0</v>
      </c>
      <c r="AW153" s="1" t="s">
        <v>74</v>
      </c>
      <c r="AX153" s="1" t="s">
        <v>74</v>
      </c>
      <c r="AY153" s="1" t="s">
        <v>74</v>
      </c>
      <c r="AZ153" s="1" t="s">
        <v>74</v>
      </c>
      <c r="BA153" s="1" t="s">
        <v>74</v>
      </c>
      <c r="BB153" s="1">
        <v>132547.0</v>
      </c>
      <c r="BC153" s="1">
        <v>132598.0</v>
      </c>
      <c r="BD153" s="1" t="s">
        <v>74</v>
      </c>
      <c r="BE153" s="1" t="s">
        <v>1593</v>
      </c>
      <c r="BF153" s="2" t="str">
        <f>HYPERLINK("http://dx.doi.org/10.1109/ACCESS.2025.3589319","http://dx.doi.org/10.1109/ACCESS.2025.3589319")</f>
        <v>http://dx.doi.org/10.1109/ACCESS.2025.3589319</v>
      </c>
      <c r="BG153" s="1" t="s">
        <v>74</v>
      </c>
      <c r="BH153" s="1" t="s">
        <v>74</v>
      </c>
      <c r="BI153" s="1" t="s">
        <v>74</v>
      </c>
      <c r="BJ153" s="1" t="s">
        <v>74</v>
      </c>
      <c r="BK153" s="1" t="s">
        <v>74</v>
      </c>
      <c r="BL153" s="1" t="s">
        <v>152</v>
      </c>
      <c r="BM153" s="1" t="s">
        <v>74</v>
      </c>
      <c r="BN153" s="1" t="s">
        <v>74</v>
      </c>
      <c r="BO153" s="1" t="s">
        <v>153</v>
      </c>
      <c r="BP153" s="1" t="s">
        <v>74</v>
      </c>
      <c r="BQ153" s="1" t="s">
        <v>74</v>
      </c>
      <c r="BR153" s="1" t="s">
        <v>74</v>
      </c>
      <c r="BS153" s="1" t="s">
        <v>1594</v>
      </c>
      <c r="BT153" s="1" t="str">
        <f>HYPERLINK("https%3A%2F%2Fwww.webofscience.com%2Fwos%2Fwoscc%2Ffull-record%2FWOS:001542429700031","View Full Record in Web of Science")</f>
        <v>View Full Record in Web of Science</v>
      </c>
    </row>
    <row r="154" ht="12.75" customHeight="1">
      <c r="A154" s="1" t="s">
        <v>72</v>
      </c>
      <c r="B154" s="1" t="s">
        <v>1595</v>
      </c>
      <c r="C154" s="1" t="s">
        <v>74</v>
      </c>
      <c r="D154" s="1" t="s">
        <v>74</v>
      </c>
      <c r="E154" s="1" t="s">
        <v>74</v>
      </c>
      <c r="F154" s="1" t="s">
        <v>1596</v>
      </c>
      <c r="G154" s="1" t="s">
        <v>74</v>
      </c>
      <c r="H154" s="1" t="s">
        <v>74</v>
      </c>
      <c r="I154" s="1" t="s">
        <v>1597</v>
      </c>
      <c r="J154" s="1" t="s">
        <v>1230</v>
      </c>
      <c r="K154" s="1" t="s">
        <v>74</v>
      </c>
      <c r="L154" s="1" t="s">
        <v>74</v>
      </c>
      <c r="M154" s="1" t="s">
        <v>74</v>
      </c>
      <c r="N154" s="1" t="s">
        <v>78</v>
      </c>
      <c r="O154" s="1" t="s">
        <v>74</v>
      </c>
      <c r="P154" s="1" t="s">
        <v>74</v>
      </c>
      <c r="Q154" s="1" t="s">
        <v>74</v>
      </c>
      <c r="R154" s="1" t="s">
        <v>74</v>
      </c>
      <c r="S154" s="1" t="s">
        <v>74</v>
      </c>
      <c r="T154" s="1" t="s">
        <v>1598</v>
      </c>
      <c r="U154" s="1" t="s">
        <v>1599</v>
      </c>
      <c r="V154" s="1" t="s">
        <v>1600</v>
      </c>
      <c r="W154" s="1" t="s">
        <v>74</v>
      </c>
      <c r="X154" s="1" t="s">
        <v>74</v>
      </c>
      <c r="Y154" s="1" t="s">
        <v>74</v>
      </c>
      <c r="Z154" s="1" t="s">
        <v>74</v>
      </c>
      <c r="AA154" s="1" t="s">
        <v>74</v>
      </c>
      <c r="AB154" s="1" t="s">
        <v>74</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1233</v>
      </c>
      <c r="AP154" s="1" t="s">
        <v>1234</v>
      </c>
      <c r="AQ154" s="1" t="s">
        <v>74</v>
      </c>
      <c r="AR154" s="1" t="s">
        <v>74</v>
      </c>
      <c r="AS154" s="1" t="s">
        <v>74</v>
      </c>
      <c r="AT154" s="1" t="s">
        <v>736</v>
      </c>
      <c r="AU154" s="1">
        <v>2024.0</v>
      </c>
      <c r="AV154" s="1">
        <v>235.0</v>
      </c>
      <c r="AW154" s="1" t="s">
        <v>74</v>
      </c>
      <c r="AX154" s="1" t="s">
        <v>74</v>
      </c>
      <c r="AY154" s="1" t="s">
        <v>74</v>
      </c>
      <c r="AZ154" s="1" t="s">
        <v>74</v>
      </c>
      <c r="BA154" s="1" t="s">
        <v>74</v>
      </c>
      <c r="BB154" s="1" t="s">
        <v>74</v>
      </c>
      <c r="BC154" s="1" t="s">
        <v>74</v>
      </c>
      <c r="BD154" s="1">
        <v>121120.0</v>
      </c>
      <c r="BE154" s="1" t="s">
        <v>1601</v>
      </c>
      <c r="BF154" s="2" t="str">
        <f>HYPERLINK("http://dx.doi.org/10.1016/j.eswa.2023.121120","http://dx.doi.org/10.1016/j.eswa.2023.121120")</f>
        <v>http://dx.doi.org/10.1016/j.eswa.2023.121120</v>
      </c>
      <c r="BG154" s="1" t="s">
        <v>74</v>
      </c>
      <c r="BH154" s="1" t="s">
        <v>1602</v>
      </c>
      <c r="BI154" s="1" t="s">
        <v>74</v>
      </c>
      <c r="BJ154" s="1" t="s">
        <v>74</v>
      </c>
      <c r="BK154" s="1" t="s">
        <v>74</v>
      </c>
      <c r="BL154" s="1" t="s">
        <v>1237</v>
      </c>
      <c r="BM154" s="1" t="s">
        <v>74</v>
      </c>
      <c r="BN154" s="1" t="s">
        <v>74</v>
      </c>
      <c r="BO154" s="1" t="s">
        <v>114</v>
      </c>
      <c r="BP154" s="1" t="s">
        <v>74</v>
      </c>
      <c r="BQ154" s="1" t="s">
        <v>74</v>
      </c>
      <c r="BR154" s="1" t="s">
        <v>74</v>
      </c>
      <c r="BS154" s="1" t="s">
        <v>1603</v>
      </c>
      <c r="BT154" s="1" t="str">
        <f>HYPERLINK("https%3A%2F%2Fwww.webofscience.com%2Fwos%2Fwoscc%2Ffull-record%2FWOS:001143896800001","View Full Record in Web of Science")</f>
        <v>View Full Record in Web of Science</v>
      </c>
    </row>
    <row r="155" ht="12.75" customHeight="1">
      <c r="A155" s="1" t="s">
        <v>72</v>
      </c>
      <c r="B155" s="1" t="s">
        <v>1604</v>
      </c>
      <c r="C155" s="1" t="s">
        <v>74</v>
      </c>
      <c r="D155" s="1" t="s">
        <v>74</v>
      </c>
      <c r="E155" s="1" t="s">
        <v>74</v>
      </c>
      <c r="F155" s="1" t="s">
        <v>1605</v>
      </c>
      <c r="G155" s="1" t="s">
        <v>74</v>
      </c>
      <c r="H155" s="1" t="s">
        <v>74</v>
      </c>
      <c r="I155" s="1" t="s">
        <v>1606</v>
      </c>
      <c r="J155" s="1" t="s">
        <v>1607</v>
      </c>
      <c r="K155" s="1" t="s">
        <v>74</v>
      </c>
      <c r="L155" s="1" t="s">
        <v>74</v>
      </c>
      <c r="M155" s="1" t="s">
        <v>74</v>
      </c>
      <c r="N155" s="1" t="s">
        <v>78</v>
      </c>
      <c r="O155" s="1" t="s">
        <v>74</v>
      </c>
      <c r="P155" s="1" t="s">
        <v>74</v>
      </c>
      <c r="Q155" s="1" t="s">
        <v>74</v>
      </c>
      <c r="R155" s="1" t="s">
        <v>74</v>
      </c>
      <c r="S155" s="1" t="s">
        <v>74</v>
      </c>
      <c r="T155" s="1" t="s">
        <v>1608</v>
      </c>
      <c r="U155" s="1" t="s">
        <v>1609</v>
      </c>
      <c r="V155" s="1" t="s">
        <v>1610</v>
      </c>
      <c r="W155" s="1" t="s">
        <v>74</v>
      </c>
      <c r="X155" s="1" t="s">
        <v>74</v>
      </c>
      <c r="Y155" s="1" t="s">
        <v>74</v>
      </c>
      <c r="Z155" s="1" t="s">
        <v>74</v>
      </c>
      <c r="AA155" s="1" t="s">
        <v>74</v>
      </c>
      <c r="AB155" s="1" t="s">
        <v>74</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1611</v>
      </c>
      <c r="AP155" s="1" t="s">
        <v>1612</v>
      </c>
      <c r="AQ155" s="1" t="s">
        <v>74</v>
      </c>
      <c r="AR155" s="1" t="s">
        <v>74</v>
      </c>
      <c r="AS155" s="1" t="s">
        <v>74</v>
      </c>
      <c r="AT155" s="1" t="s">
        <v>84</v>
      </c>
      <c r="AU155" s="1">
        <v>2024.0</v>
      </c>
      <c r="AV155" s="1">
        <v>133.0</v>
      </c>
      <c r="AW155" s="1" t="s">
        <v>74</v>
      </c>
      <c r="AX155" s="1" t="s">
        <v>74</v>
      </c>
      <c r="AY155" s="1" t="s">
        <v>74</v>
      </c>
      <c r="AZ155" s="1" t="s">
        <v>74</v>
      </c>
      <c r="BA155" s="1" t="s">
        <v>74</v>
      </c>
      <c r="BB155" s="1" t="s">
        <v>74</v>
      </c>
      <c r="BC155" s="1" t="s">
        <v>74</v>
      </c>
      <c r="BD155" s="1">
        <v>103002.0</v>
      </c>
      <c r="BE155" s="1" t="s">
        <v>1613</v>
      </c>
      <c r="BF155" s="2" t="str">
        <f>HYPERLINK("http://dx.doi.org/10.1016/j.technovation.2024.103002","http://dx.doi.org/10.1016/j.technovation.2024.103002")</f>
        <v>http://dx.doi.org/10.1016/j.technovation.2024.103002</v>
      </c>
      <c r="BG155" s="1" t="s">
        <v>74</v>
      </c>
      <c r="BH155" s="1" t="s">
        <v>86</v>
      </c>
      <c r="BI155" s="1" t="s">
        <v>74</v>
      </c>
      <c r="BJ155" s="1" t="s">
        <v>74</v>
      </c>
      <c r="BK155" s="1" t="s">
        <v>74</v>
      </c>
      <c r="BL155" s="1" t="s">
        <v>1614</v>
      </c>
      <c r="BM155" s="1" t="s">
        <v>74</v>
      </c>
      <c r="BN155" s="1" t="s">
        <v>74</v>
      </c>
      <c r="BO155" s="1" t="s">
        <v>576</v>
      </c>
      <c r="BP155" s="1" t="s">
        <v>74</v>
      </c>
      <c r="BQ155" s="1" t="s">
        <v>74</v>
      </c>
      <c r="BR155" s="1" t="s">
        <v>74</v>
      </c>
      <c r="BS155" s="1" t="s">
        <v>1615</v>
      </c>
      <c r="BT155" s="1" t="str">
        <f>HYPERLINK("https%3A%2F%2Fwww.webofscience.com%2Fwos%2Fwoscc%2Ffull-record%2FWOS:001289820500001","View Full Record in Web of Science")</f>
        <v>View Full Record in Web of Science</v>
      </c>
    </row>
    <row r="156" ht="12.75" customHeight="1">
      <c r="A156" s="1" t="s">
        <v>72</v>
      </c>
      <c r="B156" s="1" t="s">
        <v>1616</v>
      </c>
      <c r="C156" s="1" t="s">
        <v>74</v>
      </c>
      <c r="D156" s="1" t="s">
        <v>74</v>
      </c>
      <c r="E156" s="1" t="s">
        <v>74</v>
      </c>
      <c r="F156" s="1" t="s">
        <v>1617</v>
      </c>
      <c r="G156" s="1" t="s">
        <v>74</v>
      </c>
      <c r="H156" s="1" t="s">
        <v>74</v>
      </c>
      <c r="I156" s="1" t="s">
        <v>1618</v>
      </c>
      <c r="J156" s="1" t="s">
        <v>1619</v>
      </c>
      <c r="K156" s="1" t="s">
        <v>74</v>
      </c>
      <c r="L156" s="1" t="s">
        <v>74</v>
      </c>
      <c r="M156" s="1" t="s">
        <v>74</v>
      </c>
      <c r="N156" s="1" t="s">
        <v>78</v>
      </c>
      <c r="O156" s="1" t="s">
        <v>74</v>
      </c>
      <c r="P156" s="1" t="s">
        <v>74</v>
      </c>
      <c r="Q156" s="1" t="s">
        <v>74</v>
      </c>
      <c r="R156" s="1" t="s">
        <v>74</v>
      </c>
      <c r="S156" s="1" t="s">
        <v>74</v>
      </c>
      <c r="T156" s="1" t="s">
        <v>1620</v>
      </c>
      <c r="U156" s="1" t="s">
        <v>74</v>
      </c>
      <c r="V156" s="1" t="s">
        <v>1621</v>
      </c>
      <c r="W156" s="1" t="s">
        <v>74</v>
      </c>
      <c r="X156" s="1" t="s">
        <v>74</v>
      </c>
      <c r="Y156" s="1" t="s">
        <v>74</v>
      </c>
      <c r="Z156" s="1" t="s">
        <v>74</v>
      </c>
      <c r="AA156" s="1" t="s">
        <v>74</v>
      </c>
      <c r="AB156" s="1" t="s">
        <v>74</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1622</v>
      </c>
      <c r="AP156" s="1" t="s">
        <v>1623</v>
      </c>
      <c r="AQ156" s="1" t="s">
        <v>74</v>
      </c>
      <c r="AR156" s="1" t="s">
        <v>74</v>
      </c>
      <c r="AS156" s="1" t="s">
        <v>74</v>
      </c>
      <c r="AT156" s="1" t="s">
        <v>1524</v>
      </c>
      <c r="AU156" s="1">
        <v>2025.0</v>
      </c>
      <c r="AV156" s="1">
        <v>25.0</v>
      </c>
      <c r="AW156" s="1">
        <v>3.0</v>
      </c>
      <c r="AX156" s="1" t="s">
        <v>74</v>
      </c>
      <c r="AY156" s="1" t="s">
        <v>74</v>
      </c>
      <c r="AZ156" s="1" t="s">
        <v>74</v>
      </c>
      <c r="BA156" s="1" t="s">
        <v>74</v>
      </c>
      <c r="BB156" s="1" t="s">
        <v>74</v>
      </c>
      <c r="BC156" s="1" t="s">
        <v>74</v>
      </c>
      <c r="BD156" s="1">
        <v>31004.0</v>
      </c>
      <c r="BE156" s="1" t="s">
        <v>1624</v>
      </c>
      <c r="BF156" s="2" t="str">
        <f>HYPERLINK("http://dx.doi.org/10.1115/1.4067524","http://dx.doi.org/10.1115/1.4067524")</f>
        <v>http://dx.doi.org/10.1115/1.4067524</v>
      </c>
      <c r="BG156" s="1" t="s">
        <v>74</v>
      </c>
      <c r="BH156" s="1" t="s">
        <v>74</v>
      </c>
      <c r="BI156" s="1" t="s">
        <v>74</v>
      </c>
      <c r="BJ156" s="1" t="s">
        <v>74</v>
      </c>
      <c r="BK156" s="1" t="s">
        <v>74</v>
      </c>
      <c r="BL156" s="1" t="s">
        <v>98</v>
      </c>
      <c r="BM156" s="1" t="s">
        <v>74</v>
      </c>
      <c r="BN156" s="1" t="s">
        <v>74</v>
      </c>
      <c r="BO156" s="1" t="s">
        <v>74</v>
      </c>
      <c r="BP156" s="1" t="s">
        <v>74</v>
      </c>
      <c r="BQ156" s="1" t="s">
        <v>74</v>
      </c>
      <c r="BR156" s="1" t="s">
        <v>74</v>
      </c>
      <c r="BS156" s="1" t="s">
        <v>1625</v>
      </c>
      <c r="BT156" s="1" t="str">
        <f>HYPERLINK("https%3A%2F%2Fwww.webofscience.com%2Fwos%2Fwoscc%2Ffull-record%2FWOS:001421486300006","View Full Record in Web of Science")</f>
        <v>View Full Record in Web of Science</v>
      </c>
    </row>
    <row r="157" ht="12.75" customHeight="1">
      <c r="A157" s="1" t="s">
        <v>72</v>
      </c>
      <c r="B157" s="1" t="s">
        <v>1626</v>
      </c>
      <c r="C157" s="1" t="s">
        <v>74</v>
      </c>
      <c r="D157" s="1" t="s">
        <v>74</v>
      </c>
      <c r="E157" s="1" t="s">
        <v>74</v>
      </c>
      <c r="F157" s="1" t="s">
        <v>1627</v>
      </c>
      <c r="G157" s="1" t="s">
        <v>74</v>
      </c>
      <c r="H157" s="1" t="s">
        <v>74</v>
      </c>
      <c r="I157" s="1" t="s">
        <v>1628</v>
      </c>
      <c r="J157" s="1" t="s">
        <v>1629</v>
      </c>
      <c r="K157" s="1" t="s">
        <v>74</v>
      </c>
      <c r="L157" s="1" t="s">
        <v>74</v>
      </c>
      <c r="M157" s="1" t="s">
        <v>74</v>
      </c>
      <c r="N157" s="1" t="s">
        <v>78</v>
      </c>
      <c r="O157" s="1" t="s">
        <v>74</v>
      </c>
      <c r="P157" s="1" t="s">
        <v>74</v>
      </c>
      <c r="Q157" s="1" t="s">
        <v>74</v>
      </c>
      <c r="R157" s="1" t="s">
        <v>74</v>
      </c>
      <c r="S157" s="1" t="s">
        <v>74</v>
      </c>
      <c r="T157" s="1" t="s">
        <v>1630</v>
      </c>
      <c r="U157" s="1" t="s">
        <v>74</v>
      </c>
      <c r="V157" s="1" t="s">
        <v>1631</v>
      </c>
      <c r="W157" s="1" t="s">
        <v>74</v>
      </c>
      <c r="X157" s="1" t="s">
        <v>74</v>
      </c>
      <c r="Y157" s="1" t="s">
        <v>74</v>
      </c>
      <c r="Z157" s="1" t="s">
        <v>74</v>
      </c>
      <c r="AA157" s="1" t="s">
        <v>74</v>
      </c>
      <c r="AB157" s="1" t="s">
        <v>74</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74</v>
      </c>
      <c r="AP157" s="1" t="s">
        <v>1632</v>
      </c>
      <c r="AQ157" s="1" t="s">
        <v>74</v>
      </c>
      <c r="AR157" s="1" t="s">
        <v>74</v>
      </c>
      <c r="AS157" s="1" t="s">
        <v>74</v>
      </c>
      <c r="AT157" s="1" t="s">
        <v>1633</v>
      </c>
      <c r="AU157" s="1">
        <v>2024.0</v>
      </c>
      <c r="AV157" s="1">
        <v>11.0</v>
      </c>
      <c r="AW157" s="1">
        <v>1.0</v>
      </c>
      <c r="AX157" s="1" t="s">
        <v>74</v>
      </c>
      <c r="AY157" s="1" t="s">
        <v>74</v>
      </c>
      <c r="AZ157" s="1" t="s">
        <v>74</v>
      </c>
      <c r="BA157" s="1" t="s">
        <v>74</v>
      </c>
      <c r="BB157" s="1" t="s">
        <v>74</v>
      </c>
      <c r="BC157" s="1" t="s">
        <v>74</v>
      </c>
      <c r="BD157" s="1">
        <v>25.0</v>
      </c>
      <c r="BE157" s="1" t="s">
        <v>1634</v>
      </c>
      <c r="BF157" s="2" t="str">
        <f>HYPERLINK("http://dx.doi.org/10.1186/s40537-023-00842-0","http://dx.doi.org/10.1186/s40537-023-00842-0")</f>
        <v>http://dx.doi.org/10.1186/s40537-023-00842-0</v>
      </c>
      <c r="BG157" s="1" t="s">
        <v>74</v>
      </c>
      <c r="BH157" s="1" t="s">
        <v>74</v>
      </c>
      <c r="BI157" s="1" t="s">
        <v>74</v>
      </c>
      <c r="BJ157" s="1" t="s">
        <v>74</v>
      </c>
      <c r="BK157" s="1" t="s">
        <v>74</v>
      </c>
      <c r="BL157" s="1" t="s">
        <v>174</v>
      </c>
      <c r="BM157" s="1" t="s">
        <v>74</v>
      </c>
      <c r="BN157" s="1" t="s">
        <v>74</v>
      </c>
      <c r="BO157" s="1" t="s">
        <v>153</v>
      </c>
      <c r="BP157" s="1" t="s">
        <v>74</v>
      </c>
      <c r="BQ157" s="1" t="s">
        <v>74</v>
      </c>
      <c r="BR157" s="1" t="s">
        <v>74</v>
      </c>
      <c r="BS157" s="1" t="s">
        <v>1635</v>
      </c>
      <c r="BT157" s="1" t="str">
        <f>HYPERLINK("https%3A%2F%2Fwww.webofscience.com%2Fwos%2Fwoscc%2Ffull-record%2FWOS:001156909400002","View Full Record in Web of Science")</f>
        <v>View Full Record in Web of Science</v>
      </c>
    </row>
    <row r="158" ht="12.75" customHeight="1">
      <c r="A158" s="1" t="s">
        <v>72</v>
      </c>
      <c r="B158" s="1" t="s">
        <v>1636</v>
      </c>
      <c r="C158" s="1" t="s">
        <v>74</v>
      </c>
      <c r="D158" s="1" t="s">
        <v>74</v>
      </c>
      <c r="E158" s="1" t="s">
        <v>74</v>
      </c>
      <c r="F158" s="1" t="s">
        <v>1637</v>
      </c>
      <c r="G158" s="1" t="s">
        <v>74</v>
      </c>
      <c r="H158" s="1" t="s">
        <v>74</v>
      </c>
      <c r="I158" s="1" t="s">
        <v>1638</v>
      </c>
      <c r="J158" s="1" t="s">
        <v>1165</v>
      </c>
      <c r="K158" s="1" t="s">
        <v>74</v>
      </c>
      <c r="L158" s="1" t="s">
        <v>74</v>
      </c>
      <c r="M158" s="1" t="s">
        <v>74</v>
      </c>
      <c r="N158" s="1" t="s">
        <v>953</v>
      </c>
      <c r="O158" s="1" t="s">
        <v>74</v>
      </c>
      <c r="P158" s="1" t="s">
        <v>74</v>
      </c>
      <c r="Q158" s="1" t="s">
        <v>74</v>
      </c>
      <c r="R158" s="1" t="s">
        <v>74</v>
      </c>
      <c r="S158" s="1" t="s">
        <v>74</v>
      </c>
      <c r="T158" s="1" t="s">
        <v>1639</v>
      </c>
      <c r="U158" s="1" t="s">
        <v>74</v>
      </c>
      <c r="V158" s="1" t="s">
        <v>1640</v>
      </c>
      <c r="W158" s="1" t="s">
        <v>74</v>
      </c>
      <c r="X158" s="1" t="s">
        <v>74</v>
      </c>
      <c r="Y158" s="1" t="s">
        <v>74</v>
      </c>
      <c r="Z158" s="1" t="s">
        <v>74</v>
      </c>
      <c r="AA158" s="1" t="s">
        <v>74</v>
      </c>
      <c r="AB158" s="1" t="s">
        <v>74</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1168</v>
      </c>
      <c r="AP158" s="1" t="s">
        <v>1169</v>
      </c>
      <c r="AQ158" s="1" t="s">
        <v>74</v>
      </c>
      <c r="AR158" s="1" t="s">
        <v>74</v>
      </c>
      <c r="AS158" s="1" t="s">
        <v>74</v>
      </c>
      <c r="AT158" s="1" t="s">
        <v>1641</v>
      </c>
      <c r="AU158" s="1">
        <v>2025.0</v>
      </c>
      <c r="AV158" s="1" t="s">
        <v>74</v>
      </c>
      <c r="AW158" s="1" t="s">
        <v>74</v>
      </c>
      <c r="AX158" s="1" t="s">
        <v>74</v>
      </c>
      <c r="AY158" s="1" t="s">
        <v>74</v>
      </c>
      <c r="AZ158" s="1" t="s">
        <v>74</v>
      </c>
      <c r="BA158" s="1" t="s">
        <v>74</v>
      </c>
      <c r="BB158" s="1" t="s">
        <v>74</v>
      </c>
      <c r="BC158" s="1" t="s">
        <v>74</v>
      </c>
      <c r="BD158" s="1" t="s">
        <v>74</v>
      </c>
      <c r="BE158" s="1" t="s">
        <v>1642</v>
      </c>
      <c r="BF158" s="2" t="str">
        <f>HYPERLINK("http://dx.doi.org/10.1007/s41666-025-00221-9","http://dx.doi.org/10.1007/s41666-025-00221-9")</f>
        <v>http://dx.doi.org/10.1007/s41666-025-00221-9</v>
      </c>
      <c r="BG158" s="1" t="s">
        <v>74</v>
      </c>
      <c r="BH158" s="1" t="s">
        <v>255</v>
      </c>
      <c r="BI158" s="1" t="s">
        <v>74</v>
      </c>
      <c r="BJ158" s="1" t="s">
        <v>74</v>
      </c>
      <c r="BK158" s="1" t="s">
        <v>74</v>
      </c>
      <c r="BL158" s="1" t="s">
        <v>1171</v>
      </c>
      <c r="BM158" s="1" t="s">
        <v>74</v>
      </c>
      <c r="BN158" s="1" t="s">
        <v>74</v>
      </c>
      <c r="BO158" s="1" t="s">
        <v>114</v>
      </c>
      <c r="BP158" s="1" t="s">
        <v>74</v>
      </c>
      <c r="BQ158" s="1" t="s">
        <v>74</v>
      </c>
      <c r="BR158" s="1" t="s">
        <v>74</v>
      </c>
      <c r="BS158" s="1" t="s">
        <v>1643</v>
      </c>
      <c r="BT158" s="1" t="str">
        <f>HYPERLINK("https%3A%2F%2Fwww.webofscience.com%2Fwos%2Fwoscc%2Ffull-record%2FWOS:001608035100001","View Full Record in Web of Science")</f>
        <v>View Full Record in Web of Science</v>
      </c>
    </row>
    <row r="159" ht="12.75" customHeight="1">
      <c r="A159" s="1" t="s">
        <v>72</v>
      </c>
      <c r="B159" s="1" t="s">
        <v>1644</v>
      </c>
      <c r="C159" s="1" t="s">
        <v>74</v>
      </c>
      <c r="D159" s="1" t="s">
        <v>74</v>
      </c>
      <c r="E159" s="1" t="s">
        <v>74</v>
      </c>
      <c r="F159" s="1" t="s">
        <v>1645</v>
      </c>
      <c r="G159" s="1" t="s">
        <v>74</v>
      </c>
      <c r="H159" s="1" t="s">
        <v>74</v>
      </c>
      <c r="I159" s="1" t="s">
        <v>1646</v>
      </c>
      <c r="J159" s="1" t="s">
        <v>471</v>
      </c>
      <c r="K159" s="1" t="s">
        <v>74</v>
      </c>
      <c r="L159" s="1" t="s">
        <v>74</v>
      </c>
      <c r="M159" s="1" t="s">
        <v>74</v>
      </c>
      <c r="N159" s="1" t="s">
        <v>78</v>
      </c>
      <c r="O159" s="1" t="s">
        <v>74</v>
      </c>
      <c r="P159" s="1" t="s">
        <v>74</v>
      </c>
      <c r="Q159" s="1" t="s">
        <v>74</v>
      </c>
      <c r="R159" s="1" t="s">
        <v>74</v>
      </c>
      <c r="S159" s="1" t="s">
        <v>74</v>
      </c>
      <c r="T159" s="1" t="s">
        <v>1647</v>
      </c>
      <c r="U159" s="1" t="s">
        <v>1648</v>
      </c>
      <c r="V159" s="1" t="s">
        <v>1649</v>
      </c>
      <c r="W159" s="1" t="s">
        <v>74</v>
      </c>
      <c r="X159" s="1" t="s">
        <v>74</v>
      </c>
      <c r="Y159" s="1" t="s">
        <v>74</v>
      </c>
      <c r="Z159" s="1" t="s">
        <v>74</v>
      </c>
      <c r="AA159" s="1" t="s">
        <v>74</v>
      </c>
      <c r="AB159" s="1" t="s">
        <v>74</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474</v>
      </c>
      <c r="AP159" s="1" t="s">
        <v>74</v>
      </c>
      <c r="AQ159" s="1" t="s">
        <v>74</v>
      </c>
      <c r="AR159" s="1" t="s">
        <v>74</v>
      </c>
      <c r="AS159" s="1" t="s">
        <v>74</v>
      </c>
      <c r="AT159" s="1" t="s">
        <v>1650</v>
      </c>
      <c r="AU159" s="1">
        <v>2025.0</v>
      </c>
      <c r="AV159" s="1">
        <v>14.0</v>
      </c>
      <c r="AW159" s="1">
        <v>7.0</v>
      </c>
      <c r="AX159" s="1" t="s">
        <v>74</v>
      </c>
      <c r="AY159" s="1" t="s">
        <v>74</v>
      </c>
      <c r="AZ159" s="1" t="s">
        <v>74</v>
      </c>
      <c r="BA159" s="1" t="s">
        <v>74</v>
      </c>
      <c r="BB159" s="1" t="s">
        <v>74</v>
      </c>
      <c r="BC159" s="1" t="s">
        <v>74</v>
      </c>
      <c r="BD159" s="1">
        <v>279.0</v>
      </c>
      <c r="BE159" s="1" t="s">
        <v>1651</v>
      </c>
      <c r="BF159" s="2" t="str">
        <f>HYPERLINK("http://dx.doi.org/10.3390/computers14070279","http://dx.doi.org/10.3390/computers14070279")</f>
        <v>http://dx.doi.org/10.3390/computers14070279</v>
      </c>
      <c r="BG159" s="1" t="s">
        <v>74</v>
      </c>
      <c r="BH159" s="1" t="s">
        <v>74</v>
      </c>
      <c r="BI159" s="1" t="s">
        <v>74</v>
      </c>
      <c r="BJ159" s="1" t="s">
        <v>74</v>
      </c>
      <c r="BK159" s="1" t="s">
        <v>74</v>
      </c>
      <c r="BL159" s="1" t="s">
        <v>174</v>
      </c>
      <c r="BM159" s="1" t="s">
        <v>74</v>
      </c>
      <c r="BN159" s="1" t="s">
        <v>74</v>
      </c>
      <c r="BO159" s="1" t="s">
        <v>163</v>
      </c>
      <c r="BP159" s="1" t="s">
        <v>74</v>
      </c>
      <c r="BQ159" s="1" t="s">
        <v>74</v>
      </c>
      <c r="BR159" s="1" t="s">
        <v>74</v>
      </c>
      <c r="BS159" s="1" t="s">
        <v>1652</v>
      </c>
      <c r="BT159" s="1" t="str">
        <f>HYPERLINK("https%3A%2F%2Fwww.webofscience.com%2Fwos%2Fwoscc%2Ffull-record%2FWOS:001543227500001","View Full Record in Web of Science")</f>
        <v>View Full Record in Web of Science</v>
      </c>
    </row>
    <row r="160" ht="12.75" customHeight="1">
      <c r="A160" s="1" t="s">
        <v>72</v>
      </c>
      <c r="B160" s="1" t="s">
        <v>1653</v>
      </c>
      <c r="C160" s="1" t="s">
        <v>74</v>
      </c>
      <c r="D160" s="1" t="s">
        <v>74</v>
      </c>
      <c r="E160" s="1" t="s">
        <v>74</v>
      </c>
      <c r="F160" s="1" t="s">
        <v>1654</v>
      </c>
      <c r="G160" s="1" t="s">
        <v>74</v>
      </c>
      <c r="H160" s="1" t="s">
        <v>74</v>
      </c>
      <c r="I160" s="1" t="s">
        <v>1655</v>
      </c>
      <c r="J160" s="1" t="s">
        <v>1656</v>
      </c>
      <c r="K160" s="1" t="s">
        <v>74</v>
      </c>
      <c r="L160" s="1" t="s">
        <v>74</v>
      </c>
      <c r="M160" s="1" t="s">
        <v>74</v>
      </c>
      <c r="N160" s="1" t="s">
        <v>78</v>
      </c>
      <c r="O160" s="1" t="s">
        <v>74</v>
      </c>
      <c r="P160" s="1" t="s">
        <v>74</v>
      </c>
      <c r="Q160" s="1" t="s">
        <v>74</v>
      </c>
      <c r="R160" s="1" t="s">
        <v>74</v>
      </c>
      <c r="S160" s="1" t="s">
        <v>74</v>
      </c>
      <c r="T160" s="1" t="s">
        <v>1657</v>
      </c>
      <c r="U160" s="1" t="s">
        <v>74</v>
      </c>
      <c r="V160" s="1" t="s">
        <v>1658</v>
      </c>
      <c r="W160" s="1" t="s">
        <v>74</v>
      </c>
      <c r="X160" s="1" t="s">
        <v>74</v>
      </c>
      <c r="Y160" s="1" t="s">
        <v>74</v>
      </c>
      <c r="Z160" s="1" t="s">
        <v>74</v>
      </c>
      <c r="AA160" s="1" t="s">
        <v>74</v>
      </c>
      <c r="AB160" s="1" t="s">
        <v>74</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1659</v>
      </c>
      <c r="AP160" s="1" t="s">
        <v>1660</v>
      </c>
      <c r="AQ160" s="1" t="s">
        <v>74</v>
      </c>
      <c r="AR160" s="1" t="s">
        <v>74</v>
      </c>
      <c r="AS160" s="1" t="s">
        <v>74</v>
      </c>
      <c r="AT160" s="1" t="s">
        <v>736</v>
      </c>
      <c r="AU160" s="1">
        <v>2026.0</v>
      </c>
      <c r="AV160" s="1">
        <v>161.0</v>
      </c>
      <c r="AW160" s="1" t="s">
        <v>74</v>
      </c>
      <c r="AX160" s="1" t="s">
        <v>74</v>
      </c>
      <c r="AY160" s="1" t="s">
        <v>74</v>
      </c>
      <c r="AZ160" s="1" t="s">
        <v>74</v>
      </c>
      <c r="BA160" s="1" t="s">
        <v>74</v>
      </c>
      <c r="BB160" s="1" t="s">
        <v>74</v>
      </c>
      <c r="BC160" s="1" t="s">
        <v>74</v>
      </c>
      <c r="BD160" s="1">
        <v>102494.0</v>
      </c>
      <c r="BE160" s="1" t="s">
        <v>1661</v>
      </c>
      <c r="BF160" s="2" t="str">
        <f>HYPERLINK("http://dx.doi.org/10.1016/j.datak.2025.102494","http://dx.doi.org/10.1016/j.datak.2025.102494")</f>
        <v>http://dx.doi.org/10.1016/j.datak.2025.102494</v>
      </c>
      <c r="BG160" s="1" t="s">
        <v>74</v>
      </c>
      <c r="BH160" s="1" t="s">
        <v>276</v>
      </c>
      <c r="BI160" s="1" t="s">
        <v>74</v>
      </c>
      <c r="BJ160" s="1" t="s">
        <v>74</v>
      </c>
      <c r="BK160" s="1" t="s">
        <v>74</v>
      </c>
      <c r="BL160" s="1" t="s">
        <v>174</v>
      </c>
      <c r="BM160" s="1" t="s">
        <v>74</v>
      </c>
      <c r="BN160" s="1" t="s">
        <v>74</v>
      </c>
      <c r="BO160" s="1" t="s">
        <v>114</v>
      </c>
      <c r="BP160" s="1" t="s">
        <v>74</v>
      </c>
      <c r="BQ160" s="1" t="s">
        <v>74</v>
      </c>
      <c r="BR160" s="1" t="s">
        <v>74</v>
      </c>
      <c r="BS160" s="1" t="s">
        <v>1662</v>
      </c>
      <c r="BT160" s="1" t="str">
        <f>HYPERLINK("https%3A%2F%2Fwww.webofscience.com%2Fwos%2Fwoscc%2Ffull-record%2FWOS:001555038800001","View Full Record in Web of Science")</f>
        <v>View Full Record in Web of Science</v>
      </c>
    </row>
    <row r="161" ht="12.75" customHeight="1">
      <c r="A161" s="1" t="s">
        <v>72</v>
      </c>
      <c r="B161" s="1" t="s">
        <v>1663</v>
      </c>
      <c r="C161" s="1" t="s">
        <v>74</v>
      </c>
      <c r="D161" s="1" t="s">
        <v>74</v>
      </c>
      <c r="E161" s="1" t="s">
        <v>74</v>
      </c>
      <c r="F161" s="1" t="s">
        <v>1664</v>
      </c>
      <c r="G161" s="1" t="s">
        <v>74</v>
      </c>
      <c r="H161" s="1" t="s">
        <v>74</v>
      </c>
      <c r="I161" s="1" t="s">
        <v>1665</v>
      </c>
      <c r="J161" s="1" t="s">
        <v>147</v>
      </c>
      <c r="K161" s="1" t="s">
        <v>74</v>
      </c>
      <c r="L161" s="1" t="s">
        <v>74</v>
      </c>
      <c r="M161" s="1" t="s">
        <v>74</v>
      </c>
      <c r="N161" s="1" t="s">
        <v>78</v>
      </c>
      <c r="O161" s="1" t="s">
        <v>74</v>
      </c>
      <c r="P161" s="1" t="s">
        <v>74</v>
      </c>
      <c r="Q161" s="1" t="s">
        <v>74</v>
      </c>
      <c r="R161" s="1" t="s">
        <v>74</v>
      </c>
      <c r="S161" s="1" t="s">
        <v>74</v>
      </c>
      <c r="T161" s="1" t="s">
        <v>1666</v>
      </c>
      <c r="U161" s="1" t="s">
        <v>74</v>
      </c>
      <c r="V161" s="1" t="s">
        <v>1667</v>
      </c>
      <c r="W161" s="1" t="s">
        <v>74</v>
      </c>
      <c r="X161" s="1" t="s">
        <v>74</v>
      </c>
      <c r="Y161" s="1" t="s">
        <v>74</v>
      </c>
      <c r="Z161" s="1" t="s">
        <v>74</v>
      </c>
      <c r="AA161" s="1" t="s">
        <v>74</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150</v>
      </c>
      <c r="AP161" s="1" t="s">
        <v>74</v>
      </c>
      <c r="AQ161" s="1" t="s">
        <v>74</v>
      </c>
      <c r="AR161" s="1" t="s">
        <v>74</v>
      </c>
      <c r="AS161" s="1" t="s">
        <v>74</v>
      </c>
      <c r="AT161" s="1" t="s">
        <v>74</v>
      </c>
      <c r="AU161" s="1">
        <v>2023.0</v>
      </c>
      <c r="AV161" s="1">
        <v>11.0</v>
      </c>
      <c r="AW161" s="1" t="s">
        <v>74</v>
      </c>
      <c r="AX161" s="1" t="s">
        <v>74</v>
      </c>
      <c r="AY161" s="1" t="s">
        <v>74</v>
      </c>
      <c r="AZ161" s="1" t="s">
        <v>74</v>
      </c>
      <c r="BA161" s="1" t="s">
        <v>74</v>
      </c>
      <c r="BB161" s="1">
        <v>28680.0</v>
      </c>
      <c r="BC161" s="1">
        <v>28687.0</v>
      </c>
      <c r="BD161" s="1" t="s">
        <v>74</v>
      </c>
      <c r="BE161" s="1" t="s">
        <v>1668</v>
      </c>
      <c r="BF161" s="2" t="str">
        <f>HYPERLINK("http://dx.doi.org/10.1109/ACCESS.2023.3259462","http://dx.doi.org/10.1109/ACCESS.2023.3259462")</f>
        <v>http://dx.doi.org/10.1109/ACCESS.2023.3259462</v>
      </c>
      <c r="BG161" s="1" t="s">
        <v>74</v>
      </c>
      <c r="BH161" s="1" t="s">
        <v>74</v>
      </c>
      <c r="BI161" s="1" t="s">
        <v>74</v>
      </c>
      <c r="BJ161" s="1" t="s">
        <v>74</v>
      </c>
      <c r="BK161" s="1" t="s">
        <v>74</v>
      </c>
      <c r="BL161" s="1" t="s">
        <v>152</v>
      </c>
      <c r="BM161" s="1" t="s">
        <v>74</v>
      </c>
      <c r="BN161" s="1" t="s">
        <v>74</v>
      </c>
      <c r="BO161" s="1" t="s">
        <v>153</v>
      </c>
      <c r="BP161" s="1" t="s">
        <v>74</v>
      </c>
      <c r="BQ161" s="1" t="s">
        <v>74</v>
      </c>
      <c r="BR161" s="1" t="s">
        <v>74</v>
      </c>
      <c r="BS161" s="1" t="s">
        <v>1669</v>
      </c>
      <c r="BT161" s="1" t="str">
        <f>HYPERLINK("https%3A%2F%2Fwww.webofscience.com%2Fwos%2Fwoscc%2Ffull-record%2FWOS:000966497100001","View Full Record in Web of Science")</f>
        <v>View Full Record in Web of Science</v>
      </c>
    </row>
    <row r="162" ht="12.75" customHeight="1">
      <c r="A162" s="1" t="s">
        <v>72</v>
      </c>
      <c r="B162" s="1" t="s">
        <v>1670</v>
      </c>
      <c r="C162" s="1" t="s">
        <v>74</v>
      </c>
      <c r="D162" s="1" t="s">
        <v>74</v>
      </c>
      <c r="E162" s="1" t="s">
        <v>74</v>
      </c>
      <c r="F162" s="1" t="s">
        <v>1671</v>
      </c>
      <c r="G162" s="1" t="s">
        <v>74</v>
      </c>
      <c r="H162" s="1" t="s">
        <v>74</v>
      </c>
      <c r="I162" s="1" t="s">
        <v>1672</v>
      </c>
      <c r="J162" s="1" t="s">
        <v>916</v>
      </c>
      <c r="K162" s="1" t="s">
        <v>74</v>
      </c>
      <c r="L162" s="1" t="s">
        <v>74</v>
      </c>
      <c r="M162" s="1" t="s">
        <v>74</v>
      </c>
      <c r="N162" s="1" t="s">
        <v>78</v>
      </c>
      <c r="O162" s="1" t="s">
        <v>74</v>
      </c>
      <c r="P162" s="1" t="s">
        <v>74</v>
      </c>
      <c r="Q162" s="1" t="s">
        <v>74</v>
      </c>
      <c r="R162" s="1" t="s">
        <v>74</v>
      </c>
      <c r="S162" s="1" t="s">
        <v>74</v>
      </c>
      <c r="T162" s="1" t="s">
        <v>1673</v>
      </c>
      <c r="U162" s="1" t="s">
        <v>1674</v>
      </c>
      <c r="V162" s="1" t="s">
        <v>1675</v>
      </c>
      <c r="W162" s="1" t="s">
        <v>74</v>
      </c>
      <c r="X162" s="1" t="s">
        <v>74</v>
      </c>
      <c r="Y162" s="1" t="s">
        <v>74</v>
      </c>
      <c r="Z162" s="1" t="s">
        <v>74</v>
      </c>
      <c r="AA162" s="1" t="s">
        <v>74</v>
      </c>
      <c r="AB162" s="1" t="s">
        <v>74</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919</v>
      </c>
      <c r="AP162" s="1" t="s">
        <v>920</v>
      </c>
      <c r="AQ162" s="1" t="s">
        <v>74</v>
      </c>
      <c r="AR162" s="1" t="s">
        <v>74</v>
      </c>
      <c r="AS162" s="1" t="s">
        <v>74</v>
      </c>
      <c r="AT162" s="1" t="s">
        <v>200</v>
      </c>
      <c r="AU162" s="1">
        <v>2025.0</v>
      </c>
      <c r="AV162" s="1">
        <v>720.0</v>
      </c>
      <c r="AW162" s="1" t="s">
        <v>74</v>
      </c>
      <c r="AX162" s="1" t="s">
        <v>74</v>
      </c>
      <c r="AY162" s="1" t="s">
        <v>74</v>
      </c>
      <c r="AZ162" s="1" t="s">
        <v>74</v>
      </c>
      <c r="BA162" s="1" t="s">
        <v>74</v>
      </c>
      <c r="BB162" s="1" t="s">
        <v>74</v>
      </c>
      <c r="BC162" s="1" t="s">
        <v>74</v>
      </c>
      <c r="BD162" s="1">
        <v>122501.0</v>
      </c>
      <c r="BE162" s="1" t="s">
        <v>1676</v>
      </c>
      <c r="BF162" s="2" t="str">
        <f>HYPERLINK("http://dx.doi.org/10.1016/j.ins.2025.122501","http://dx.doi.org/10.1016/j.ins.2025.122501")</f>
        <v>http://dx.doi.org/10.1016/j.ins.2025.122501</v>
      </c>
      <c r="BG162" s="1" t="s">
        <v>74</v>
      </c>
      <c r="BH162" s="1" t="s">
        <v>973</v>
      </c>
      <c r="BI162" s="1" t="s">
        <v>74</v>
      </c>
      <c r="BJ162" s="1" t="s">
        <v>74</v>
      </c>
      <c r="BK162" s="1" t="s">
        <v>74</v>
      </c>
      <c r="BL162" s="1" t="s">
        <v>174</v>
      </c>
      <c r="BM162" s="1" t="s">
        <v>74</v>
      </c>
      <c r="BN162" s="1" t="s">
        <v>74</v>
      </c>
      <c r="BO162" s="1" t="s">
        <v>74</v>
      </c>
      <c r="BP162" s="1" t="s">
        <v>74</v>
      </c>
      <c r="BQ162" s="1" t="s">
        <v>74</v>
      </c>
      <c r="BR162" s="1" t="s">
        <v>74</v>
      </c>
      <c r="BS162" s="1" t="s">
        <v>1677</v>
      </c>
      <c r="BT162" s="1" t="str">
        <f>HYPERLINK("https%3A%2F%2Fwww.webofscience.com%2Fwos%2Fwoscc%2Ffull-record%2FWOS:001533716700004","View Full Record in Web of Science")</f>
        <v>View Full Record in Web of Science</v>
      </c>
    </row>
    <row r="163" ht="12.75" customHeight="1">
      <c r="A163" s="1" t="s">
        <v>72</v>
      </c>
      <c r="B163" s="1" t="s">
        <v>1678</v>
      </c>
      <c r="C163" s="1" t="s">
        <v>74</v>
      </c>
      <c r="D163" s="1" t="s">
        <v>74</v>
      </c>
      <c r="E163" s="1" t="s">
        <v>74</v>
      </c>
      <c r="F163" s="1" t="s">
        <v>1679</v>
      </c>
      <c r="G163" s="1" t="s">
        <v>74</v>
      </c>
      <c r="H163" s="1" t="s">
        <v>74</v>
      </c>
      <c r="I163" s="1" t="s">
        <v>1680</v>
      </c>
      <c r="J163" s="1" t="s">
        <v>1155</v>
      </c>
      <c r="K163" s="1" t="s">
        <v>74</v>
      </c>
      <c r="L163" s="1" t="s">
        <v>74</v>
      </c>
      <c r="M163" s="1" t="s">
        <v>74</v>
      </c>
      <c r="N163" s="1" t="s">
        <v>953</v>
      </c>
      <c r="O163" s="1" t="s">
        <v>74</v>
      </c>
      <c r="P163" s="1" t="s">
        <v>74</v>
      </c>
      <c r="Q163" s="1" t="s">
        <v>74</v>
      </c>
      <c r="R163" s="1" t="s">
        <v>74</v>
      </c>
      <c r="S163" s="1" t="s">
        <v>74</v>
      </c>
      <c r="T163" s="1" t="s">
        <v>1681</v>
      </c>
      <c r="U163" s="1" t="s">
        <v>1682</v>
      </c>
      <c r="V163" s="1" t="s">
        <v>1683</v>
      </c>
      <c r="W163" s="1" t="s">
        <v>74</v>
      </c>
      <c r="X163" s="1" t="s">
        <v>74</v>
      </c>
      <c r="Y163" s="1" t="s">
        <v>74</v>
      </c>
      <c r="Z163" s="1" t="s">
        <v>74</v>
      </c>
      <c r="AA163" s="1" t="s">
        <v>74</v>
      </c>
      <c r="AB163" s="1" t="s">
        <v>74</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1158</v>
      </c>
      <c r="AP163" s="1" t="s">
        <v>74</v>
      </c>
      <c r="AQ163" s="1" t="s">
        <v>74</v>
      </c>
      <c r="AR163" s="1" t="s">
        <v>74</v>
      </c>
      <c r="AS163" s="1" t="s">
        <v>74</v>
      </c>
      <c r="AT163" s="1" t="s">
        <v>1684</v>
      </c>
      <c r="AU163" s="1">
        <v>2025.0</v>
      </c>
      <c r="AV163" s="1" t="s">
        <v>74</v>
      </c>
      <c r="AW163" s="1" t="s">
        <v>74</v>
      </c>
      <c r="AX163" s="1" t="s">
        <v>74</v>
      </c>
      <c r="AY163" s="1" t="s">
        <v>74</v>
      </c>
      <c r="AZ163" s="1" t="s">
        <v>74</v>
      </c>
      <c r="BA163" s="1" t="s">
        <v>74</v>
      </c>
      <c r="BB163" s="1" t="s">
        <v>74</v>
      </c>
      <c r="BC163" s="1" t="s">
        <v>74</v>
      </c>
      <c r="BD163" s="1" t="s">
        <v>74</v>
      </c>
      <c r="BE163" s="1" t="s">
        <v>1685</v>
      </c>
      <c r="BF163" s="2" t="str">
        <f>HYPERLINK("http://dx.doi.org/10.1109/TCSS.2025.3597544","http://dx.doi.org/10.1109/TCSS.2025.3597544")</f>
        <v>http://dx.doi.org/10.1109/TCSS.2025.3597544</v>
      </c>
      <c r="BG163" s="1" t="s">
        <v>74</v>
      </c>
      <c r="BH163" s="1" t="s">
        <v>738</v>
      </c>
      <c r="BI163" s="1" t="s">
        <v>74</v>
      </c>
      <c r="BJ163" s="1" t="s">
        <v>74</v>
      </c>
      <c r="BK163" s="1" t="s">
        <v>74</v>
      </c>
      <c r="BL163" s="1" t="s">
        <v>174</v>
      </c>
      <c r="BM163" s="1" t="s">
        <v>74</v>
      </c>
      <c r="BN163" s="1" t="s">
        <v>74</v>
      </c>
      <c r="BO163" s="1" t="s">
        <v>74</v>
      </c>
      <c r="BP163" s="1" t="s">
        <v>74</v>
      </c>
      <c r="BQ163" s="1" t="s">
        <v>74</v>
      </c>
      <c r="BR163" s="1" t="s">
        <v>74</v>
      </c>
      <c r="BS163" s="1" t="s">
        <v>1686</v>
      </c>
      <c r="BT163" s="1" t="str">
        <f>HYPERLINK("https%3A%2F%2Fwww.webofscience.com%2Fwos%2Fwoscc%2Ffull-record%2FWOS:001566801300001","View Full Record in Web of Science")</f>
        <v>View Full Record in Web of Science</v>
      </c>
    </row>
    <row r="164" ht="12.75" customHeight="1">
      <c r="A164" s="1" t="s">
        <v>72</v>
      </c>
      <c r="B164" s="1" t="s">
        <v>1687</v>
      </c>
      <c r="C164" s="1" t="s">
        <v>74</v>
      </c>
      <c r="D164" s="1" t="s">
        <v>74</v>
      </c>
      <c r="E164" s="1" t="s">
        <v>74</v>
      </c>
      <c r="F164" s="1" t="s">
        <v>1688</v>
      </c>
      <c r="G164" s="1" t="s">
        <v>74</v>
      </c>
      <c r="H164" s="1" t="s">
        <v>74</v>
      </c>
      <c r="I164" s="1" t="s">
        <v>1689</v>
      </c>
      <c r="J164" s="1" t="s">
        <v>103</v>
      </c>
      <c r="K164" s="1" t="s">
        <v>74</v>
      </c>
      <c r="L164" s="1" t="s">
        <v>74</v>
      </c>
      <c r="M164" s="1" t="s">
        <v>74</v>
      </c>
      <c r="N164" s="1" t="s">
        <v>78</v>
      </c>
      <c r="O164" s="1" t="s">
        <v>74</v>
      </c>
      <c r="P164" s="1" t="s">
        <v>74</v>
      </c>
      <c r="Q164" s="1" t="s">
        <v>74</v>
      </c>
      <c r="R164" s="1" t="s">
        <v>74</v>
      </c>
      <c r="S164" s="1" t="s">
        <v>74</v>
      </c>
      <c r="T164" s="1" t="s">
        <v>1690</v>
      </c>
      <c r="U164" s="1" t="s">
        <v>1691</v>
      </c>
      <c r="V164" s="1" t="s">
        <v>1692</v>
      </c>
      <c r="W164" s="1" t="s">
        <v>74</v>
      </c>
      <c r="X164" s="1" t="s">
        <v>74</v>
      </c>
      <c r="Y164" s="1" t="s">
        <v>74</v>
      </c>
      <c r="Z164" s="1" t="s">
        <v>74</v>
      </c>
      <c r="AA164" s="1" t="s">
        <v>74</v>
      </c>
      <c r="AB164" s="1" t="s">
        <v>74</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107</v>
      </c>
      <c r="AP164" s="1" t="s">
        <v>108</v>
      </c>
      <c r="AQ164" s="1" t="s">
        <v>74</v>
      </c>
      <c r="AR164" s="1" t="s">
        <v>74</v>
      </c>
      <c r="AS164" s="1" t="s">
        <v>74</v>
      </c>
      <c r="AT164" s="1" t="s">
        <v>212</v>
      </c>
      <c r="AU164" s="1">
        <v>2025.0</v>
      </c>
      <c r="AV164" s="1">
        <v>161.0</v>
      </c>
      <c r="AW164" s="1" t="s">
        <v>74</v>
      </c>
      <c r="AX164" s="1" t="s">
        <v>1693</v>
      </c>
      <c r="AY164" s="1" t="s">
        <v>74</v>
      </c>
      <c r="AZ164" s="1" t="s">
        <v>74</v>
      </c>
      <c r="BA164" s="1" t="s">
        <v>74</v>
      </c>
      <c r="BB164" s="1" t="s">
        <v>74</v>
      </c>
      <c r="BC164" s="1" t="s">
        <v>74</v>
      </c>
      <c r="BD164" s="1">
        <v>112253.0</v>
      </c>
      <c r="BE164" s="1" t="s">
        <v>1694</v>
      </c>
      <c r="BF164" s="2" t="str">
        <f>HYPERLINK("http://dx.doi.org/10.1016/j.engappai.2025.112253","http://dx.doi.org/10.1016/j.engappai.2025.112253")</f>
        <v>http://dx.doi.org/10.1016/j.engappai.2025.112253</v>
      </c>
      <c r="BG164" s="1" t="s">
        <v>74</v>
      </c>
      <c r="BH164" s="1" t="s">
        <v>738</v>
      </c>
      <c r="BI164" s="1" t="s">
        <v>74</v>
      </c>
      <c r="BJ164" s="1" t="s">
        <v>74</v>
      </c>
      <c r="BK164" s="1" t="s">
        <v>74</v>
      </c>
      <c r="BL164" s="1" t="s">
        <v>113</v>
      </c>
      <c r="BM164" s="1" t="s">
        <v>74</v>
      </c>
      <c r="BN164" s="1" t="s">
        <v>74</v>
      </c>
      <c r="BO164" s="1" t="s">
        <v>74</v>
      </c>
      <c r="BP164" s="1" t="s">
        <v>74</v>
      </c>
      <c r="BQ164" s="1" t="s">
        <v>74</v>
      </c>
      <c r="BR164" s="1" t="s">
        <v>74</v>
      </c>
      <c r="BS164" s="1" t="s">
        <v>1695</v>
      </c>
      <c r="BT164" s="1" t="str">
        <f>HYPERLINK("https%3A%2F%2Fwww.webofscience.com%2Fwos%2Fwoscc%2Ffull-record%2FWOS:001576084200001","View Full Record in Web of Science")</f>
        <v>View Full Record in Web of Science</v>
      </c>
    </row>
    <row r="165" ht="12.75" customHeight="1">
      <c r="A165" s="1" t="s">
        <v>72</v>
      </c>
      <c r="B165" s="1" t="s">
        <v>1696</v>
      </c>
      <c r="C165" s="1" t="s">
        <v>74</v>
      </c>
      <c r="D165" s="1" t="s">
        <v>74</v>
      </c>
      <c r="E165" s="1" t="s">
        <v>74</v>
      </c>
      <c r="F165" s="1" t="s">
        <v>1697</v>
      </c>
      <c r="G165" s="1" t="s">
        <v>74</v>
      </c>
      <c r="H165" s="1" t="s">
        <v>74</v>
      </c>
      <c r="I165" s="1" t="s">
        <v>1698</v>
      </c>
      <c r="J165" s="1" t="s">
        <v>1699</v>
      </c>
      <c r="K165" s="1" t="s">
        <v>74</v>
      </c>
      <c r="L165" s="1" t="s">
        <v>74</v>
      </c>
      <c r="M165" s="1" t="s">
        <v>74</v>
      </c>
      <c r="N165" s="1" t="s">
        <v>78</v>
      </c>
      <c r="O165" s="1" t="s">
        <v>74</v>
      </c>
      <c r="P165" s="1" t="s">
        <v>74</v>
      </c>
      <c r="Q165" s="1" t="s">
        <v>74</v>
      </c>
      <c r="R165" s="1" t="s">
        <v>74</v>
      </c>
      <c r="S165" s="1" t="s">
        <v>74</v>
      </c>
      <c r="T165" s="1" t="s">
        <v>1700</v>
      </c>
      <c r="U165" s="1" t="s">
        <v>74</v>
      </c>
      <c r="V165" s="1" t="s">
        <v>1701</v>
      </c>
      <c r="W165" s="1" t="s">
        <v>74</v>
      </c>
      <c r="X165" s="1" t="s">
        <v>74</v>
      </c>
      <c r="Y165" s="1" t="s">
        <v>74</v>
      </c>
      <c r="Z165" s="1" t="s">
        <v>74</v>
      </c>
      <c r="AA165" s="1" t="s">
        <v>74</v>
      </c>
      <c r="AB165" s="1" t="s">
        <v>74</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1702</v>
      </c>
      <c r="AP165" s="1" t="s">
        <v>1703</v>
      </c>
      <c r="AQ165" s="1" t="s">
        <v>74</v>
      </c>
      <c r="AR165" s="1" t="s">
        <v>74</v>
      </c>
      <c r="AS165" s="1" t="s">
        <v>74</v>
      </c>
      <c r="AT165" s="1" t="s">
        <v>212</v>
      </c>
      <c r="AU165" s="1">
        <v>2025.0</v>
      </c>
      <c r="AV165" s="1">
        <v>63.0</v>
      </c>
      <c r="AW165" s="1">
        <v>12.0</v>
      </c>
      <c r="AX165" s="1" t="s">
        <v>74</v>
      </c>
      <c r="AY165" s="1" t="s">
        <v>74</v>
      </c>
      <c r="AZ165" s="1" t="s">
        <v>74</v>
      </c>
      <c r="BA165" s="1" t="s">
        <v>74</v>
      </c>
      <c r="BB165" s="1">
        <v>4135.0</v>
      </c>
      <c r="BC165" s="1">
        <v>4153.0</v>
      </c>
      <c r="BD165" s="1" t="s">
        <v>74</v>
      </c>
      <c r="BE165" s="1" t="s">
        <v>1704</v>
      </c>
      <c r="BF165" s="2" t="str">
        <f>HYPERLINK("http://dx.doi.org/10.1108/MD-02-2024-0305","http://dx.doi.org/10.1108/MD-02-2024-0305")</f>
        <v>http://dx.doi.org/10.1108/MD-02-2024-0305</v>
      </c>
      <c r="BG165" s="1" t="s">
        <v>74</v>
      </c>
      <c r="BH165" s="1" t="s">
        <v>141</v>
      </c>
      <c r="BI165" s="1" t="s">
        <v>74</v>
      </c>
      <c r="BJ165" s="1" t="s">
        <v>74</v>
      </c>
      <c r="BK165" s="1" t="s">
        <v>74</v>
      </c>
      <c r="BL165" s="1" t="s">
        <v>214</v>
      </c>
      <c r="BM165" s="1" t="s">
        <v>74</v>
      </c>
      <c r="BN165" s="1" t="s">
        <v>74</v>
      </c>
      <c r="BO165" s="1" t="s">
        <v>74</v>
      </c>
      <c r="BP165" s="1" t="s">
        <v>74</v>
      </c>
      <c r="BQ165" s="1" t="s">
        <v>74</v>
      </c>
      <c r="BR165" s="1" t="s">
        <v>74</v>
      </c>
      <c r="BS165" s="1" t="s">
        <v>1705</v>
      </c>
      <c r="BT165" s="1" t="str">
        <f>HYPERLINK("https%3A%2F%2Fwww.webofscience.com%2Fwos%2Fwoscc%2Ffull-record%2FWOS:001408811600001","View Full Record in Web of Science")</f>
        <v>View Full Record in Web of Science</v>
      </c>
    </row>
    <row r="166" ht="12.75" customHeight="1">
      <c r="A166" s="1" t="s">
        <v>72</v>
      </c>
      <c r="B166" s="1" t="s">
        <v>1706</v>
      </c>
      <c r="C166" s="1" t="s">
        <v>74</v>
      </c>
      <c r="D166" s="1" t="s">
        <v>74</v>
      </c>
      <c r="E166" s="1" t="s">
        <v>74</v>
      </c>
      <c r="F166" s="1" t="s">
        <v>1707</v>
      </c>
      <c r="G166" s="1" t="s">
        <v>74</v>
      </c>
      <c r="H166" s="1" t="s">
        <v>74</v>
      </c>
      <c r="I166" s="1" t="s">
        <v>1708</v>
      </c>
      <c r="J166" s="1" t="s">
        <v>1709</v>
      </c>
      <c r="K166" s="1" t="s">
        <v>74</v>
      </c>
      <c r="L166" s="1" t="s">
        <v>74</v>
      </c>
      <c r="M166" s="1" t="s">
        <v>74</v>
      </c>
      <c r="N166" s="1" t="s">
        <v>78</v>
      </c>
      <c r="O166" s="1" t="s">
        <v>74</v>
      </c>
      <c r="P166" s="1" t="s">
        <v>74</v>
      </c>
      <c r="Q166" s="1" t="s">
        <v>74</v>
      </c>
      <c r="R166" s="1" t="s">
        <v>74</v>
      </c>
      <c r="S166" s="1" t="s">
        <v>74</v>
      </c>
      <c r="T166" s="1" t="s">
        <v>1710</v>
      </c>
      <c r="U166" s="1" t="s">
        <v>74</v>
      </c>
      <c r="V166" s="1" t="s">
        <v>1711</v>
      </c>
      <c r="W166" s="1" t="s">
        <v>74</v>
      </c>
      <c r="X166" s="1" t="s">
        <v>74</v>
      </c>
      <c r="Y166" s="1" t="s">
        <v>74</v>
      </c>
      <c r="Z166" s="1" t="s">
        <v>74</v>
      </c>
      <c r="AA166" s="1" t="s">
        <v>74</v>
      </c>
      <c r="AB166" s="1" t="s">
        <v>74</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74</v>
      </c>
      <c r="AP166" s="1" t="s">
        <v>1712</v>
      </c>
      <c r="AQ166" s="1" t="s">
        <v>74</v>
      </c>
      <c r="AR166" s="1" t="s">
        <v>74</v>
      </c>
      <c r="AS166" s="1" t="s">
        <v>74</v>
      </c>
      <c r="AT166" s="1" t="s">
        <v>1713</v>
      </c>
      <c r="AU166" s="1">
        <v>2025.0</v>
      </c>
      <c r="AV166" s="1">
        <v>21.0</v>
      </c>
      <c r="AW166" s="1">
        <v>4.0</v>
      </c>
      <c r="AX166" s="1" t="s">
        <v>74</v>
      </c>
      <c r="AY166" s="1" t="s">
        <v>74</v>
      </c>
      <c r="AZ166" s="1" t="s">
        <v>74</v>
      </c>
      <c r="BA166" s="1" t="s">
        <v>74</v>
      </c>
      <c r="BB166" s="1" t="s">
        <v>74</v>
      </c>
      <c r="BC166" s="1" t="s">
        <v>74</v>
      </c>
      <c r="BD166" s="1" t="s">
        <v>1714</v>
      </c>
      <c r="BE166" s="1" t="s">
        <v>1715</v>
      </c>
      <c r="BF166" s="2" t="str">
        <f>HYPERLINK("http://dx.doi.org/10.1002/cl2.70073","http://dx.doi.org/10.1002/cl2.70073")</f>
        <v>http://dx.doi.org/10.1002/cl2.70073</v>
      </c>
      <c r="BG166" s="1" t="s">
        <v>74</v>
      </c>
      <c r="BH166" s="1" t="s">
        <v>74</v>
      </c>
      <c r="BI166" s="1" t="s">
        <v>74</v>
      </c>
      <c r="BJ166" s="1" t="s">
        <v>74</v>
      </c>
      <c r="BK166" s="1" t="s">
        <v>74</v>
      </c>
      <c r="BL166" s="1" t="s">
        <v>615</v>
      </c>
      <c r="BM166" s="1" t="s">
        <v>74</v>
      </c>
      <c r="BN166" s="1" t="s">
        <v>74</v>
      </c>
      <c r="BO166" s="1" t="s">
        <v>153</v>
      </c>
      <c r="BP166" s="1" t="s">
        <v>74</v>
      </c>
      <c r="BQ166" s="1" t="s">
        <v>74</v>
      </c>
      <c r="BR166" s="1" t="s">
        <v>74</v>
      </c>
      <c r="BS166" s="1" t="s">
        <v>1716</v>
      </c>
      <c r="BT166" s="1" t="str">
        <f>HYPERLINK("https%3A%2F%2Fwww.webofscience.com%2Fwos%2Fwoscc%2Ffull-record%2FWOS:001606124500001","View Full Record in Web of Science")</f>
        <v>View Full Record in Web of Science</v>
      </c>
    </row>
    <row r="167" ht="12.75" customHeight="1">
      <c r="A167" s="1" t="s">
        <v>72</v>
      </c>
      <c r="B167" s="1" t="s">
        <v>1717</v>
      </c>
      <c r="C167" s="1" t="s">
        <v>74</v>
      </c>
      <c r="D167" s="1" t="s">
        <v>74</v>
      </c>
      <c r="E167" s="1" t="s">
        <v>74</v>
      </c>
      <c r="F167" s="1" t="s">
        <v>1718</v>
      </c>
      <c r="G167" s="1" t="s">
        <v>74</v>
      </c>
      <c r="H167" s="1" t="s">
        <v>74</v>
      </c>
      <c r="I167" s="1" t="s">
        <v>1719</v>
      </c>
      <c r="J167" s="1" t="s">
        <v>1720</v>
      </c>
      <c r="K167" s="1" t="s">
        <v>74</v>
      </c>
      <c r="L167" s="1" t="s">
        <v>74</v>
      </c>
      <c r="M167" s="1" t="s">
        <v>74</v>
      </c>
      <c r="N167" s="1" t="s">
        <v>78</v>
      </c>
      <c r="O167" s="1" t="s">
        <v>74</v>
      </c>
      <c r="P167" s="1" t="s">
        <v>74</v>
      </c>
      <c r="Q167" s="1" t="s">
        <v>74</v>
      </c>
      <c r="R167" s="1" t="s">
        <v>74</v>
      </c>
      <c r="S167" s="1" t="s">
        <v>74</v>
      </c>
      <c r="T167" s="1" t="s">
        <v>1721</v>
      </c>
      <c r="U167" s="1" t="s">
        <v>74</v>
      </c>
      <c r="V167" s="1" t="s">
        <v>1722</v>
      </c>
      <c r="W167" s="1" t="s">
        <v>74</v>
      </c>
      <c r="X167" s="1" t="s">
        <v>74</v>
      </c>
      <c r="Y167" s="1" t="s">
        <v>74</v>
      </c>
      <c r="Z167" s="1" t="s">
        <v>74</v>
      </c>
      <c r="AA167" s="1" t="s">
        <v>74</v>
      </c>
      <c r="AB167" s="1" t="s">
        <v>74</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74</v>
      </c>
      <c r="AP167" s="1" t="s">
        <v>1723</v>
      </c>
      <c r="AQ167" s="1" t="s">
        <v>74</v>
      </c>
      <c r="AR167" s="1" t="s">
        <v>74</v>
      </c>
      <c r="AS167" s="1" t="s">
        <v>74</v>
      </c>
      <c r="AT167" s="1" t="s">
        <v>172</v>
      </c>
      <c r="AU167" s="1">
        <v>2025.0</v>
      </c>
      <c r="AV167" s="1">
        <v>9.0</v>
      </c>
      <c r="AW167" s="1">
        <v>7.0</v>
      </c>
      <c r="AX167" s="1" t="s">
        <v>74</v>
      </c>
      <c r="AY167" s="1" t="s">
        <v>74</v>
      </c>
      <c r="AZ167" s="1" t="s">
        <v>74</v>
      </c>
      <c r="BA167" s="1" t="s">
        <v>74</v>
      </c>
      <c r="BB167" s="1" t="s">
        <v>74</v>
      </c>
      <c r="BC167" s="1" t="s">
        <v>74</v>
      </c>
      <c r="BD167" s="1" t="s">
        <v>1724</v>
      </c>
      <c r="BE167" s="1" t="s">
        <v>1725</v>
      </c>
      <c r="BF167" s="2" t="str">
        <f>HYPERLINK("http://dx.doi.org/10.1145/3757418","http://dx.doi.org/10.1145/3757418")</f>
        <v>http://dx.doi.org/10.1145/3757418</v>
      </c>
      <c r="BG167" s="1" t="s">
        <v>74</v>
      </c>
      <c r="BH167" s="1" t="s">
        <v>74</v>
      </c>
      <c r="BI167" s="1" t="s">
        <v>74</v>
      </c>
      <c r="BJ167" s="1" t="s">
        <v>74</v>
      </c>
      <c r="BK167" s="1" t="s">
        <v>74</v>
      </c>
      <c r="BL167" s="1" t="s">
        <v>174</v>
      </c>
      <c r="BM167" s="1" t="s">
        <v>74</v>
      </c>
      <c r="BN167" s="1" t="s">
        <v>74</v>
      </c>
      <c r="BO167" s="1" t="s">
        <v>74</v>
      </c>
      <c r="BP167" s="1" t="s">
        <v>74</v>
      </c>
      <c r="BQ167" s="1" t="s">
        <v>74</v>
      </c>
      <c r="BR167" s="1" t="s">
        <v>74</v>
      </c>
      <c r="BS167" s="1" t="s">
        <v>1726</v>
      </c>
      <c r="BT167" s="1" t="str">
        <f>HYPERLINK("https%3A%2F%2Fwww.webofscience.com%2Fwos%2Fwoscc%2Ffull-record%2FWOS:001615744400002","View Full Record in Web of Science")</f>
        <v>View Full Record in Web of Science</v>
      </c>
    </row>
    <row r="168" ht="12.75" customHeight="1">
      <c r="A168" s="1" t="s">
        <v>72</v>
      </c>
      <c r="B168" s="1" t="s">
        <v>1727</v>
      </c>
      <c r="C168" s="1" t="s">
        <v>74</v>
      </c>
      <c r="D168" s="1" t="s">
        <v>74</v>
      </c>
      <c r="E168" s="1" t="s">
        <v>74</v>
      </c>
      <c r="F168" s="1" t="s">
        <v>1728</v>
      </c>
      <c r="G168" s="1" t="s">
        <v>74</v>
      </c>
      <c r="H168" s="1" t="s">
        <v>74</v>
      </c>
      <c r="I168" s="1" t="s">
        <v>1729</v>
      </c>
      <c r="J168" s="1" t="s">
        <v>1730</v>
      </c>
      <c r="K168" s="1" t="s">
        <v>74</v>
      </c>
      <c r="L168" s="1" t="s">
        <v>74</v>
      </c>
      <c r="M168" s="1" t="s">
        <v>74</v>
      </c>
      <c r="N168" s="1" t="s">
        <v>78</v>
      </c>
      <c r="O168" s="1" t="s">
        <v>74</v>
      </c>
      <c r="P168" s="1" t="s">
        <v>74</v>
      </c>
      <c r="Q168" s="1" t="s">
        <v>74</v>
      </c>
      <c r="R168" s="1" t="s">
        <v>74</v>
      </c>
      <c r="S168" s="1" t="s">
        <v>74</v>
      </c>
      <c r="T168" s="1" t="s">
        <v>1731</v>
      </c>
      <c r="U168" s="1" t="s">
        <v>74</v>
      </c>
      <c r="V168" s="1" t="s">
        <v>1732</v>
      </c>
      <c r="W168" s="1" t="s">
        <v>74</v>
      </c>
      <c r="X168" s="1" t="s">
        <v>74</v>
      </c>
      <c r="Y168" s="1" t="s">
        <v>74</v>
      </c>
      <c r="Z168" s="1" t="s">
        <v>74</v>
      </c>
      <c r="AA168" s="1" t="s">
        <v>74</v>
      </c>
      <c r="AB168" s="1" t="s">
        <v>74</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1733</v>
      </c>
      <c r="AP168" s="1" t="s">
        <v>74</v>
      </c>
      <c r="AQ168" s="1" t="s">
        <v>74</v>
      </c>
      <c r="AR168" s="1" t="s">
        <v>74</v>
      </c>
      <c r="AS168" s="1" t="s">
        <v>74</v>
      </c>
      <c r="AT168" s="1" t="s">
        <v>1734</v>
      </c>
      <c r="AU168" s="1">
        <v>2025.0</v>
      </c>
      <c r="AV168" s="1">
        <v>20.0</v>
      </c>
      <c r="AW168" s="1">
        <v>2.0</v>
      </c>
      <c r="AX168" s="1" t="s">
        <v>74</v>
      </c>
      <c r="AY168" s="1" t="s">
        <v>74</v>
      </c>
      <c r="AZ168" s="1" t="s">
        <v>74</v>
      </c>
      <c r="BA168" s="1" t="s">
        <v>74</v>
      </c>
      <c r="BB168" s="1" t="s">
        <v>74</v>
      </c>
      <c r="BC168" s="1" t="s">
        <v>74</v>
      </c>
      <c r="BD168" s="1">
        <v>77.0</v>
      </c>
      <c r="BE168" s="1" t="s">
        <v>1735</v>
      </c>
      <c r="BF168" s="2" t="str">
        <f>HYPERLINK("http://dx.doi.org/10.3390/jtaer20020077","http://dx.doi.org/10.3390/jtaer20020077")</f>
        <v>http://dx.doi.org/10.3390/jtaer20020077</v>
      </c>
      <c r="BG168" s="1" t="s">
        <v>74</v>
      </c>
      <c r="BH168" s="1" t="s">
        <v>74</v>
      </c>
      <c r="BI168" s="1" t="s">
        <v>74</v>
      </c>
      <c r="BJ168" s="1" t="s">
        <v>74</v>
      </c>
      <c r="BK168" s="1" t="s">
        <v>74</v>
      </c>
      <c r="BL168" s="1" t="s">
        <v>214</v>
      </c>
      <c r="BM168" s="1" t="s">
        <v>74</v>
      </c>
      <c r="BN168" s="1" t="s">
        <v>74</v>
      </c>
      <c r="BO168" s="1" t="s">
        <v>163</v>
      </c>
      <c r="BP168" s="1" t="s">
        <v>74</v>
      </c>
      <c r="BQ168" s="1" t="s">
        <v>74</v>
      </c>
      <c r="BR168" s="1" t="s">
        <v>74</v>
      </c>
      <c r="BS168" s="1" t="s">
        <v>1736</v>
      </c>
      <c r="BT168" s="1" t="str">
        <f>HYPERLINK("https%3A%2F%2Fwww.webofscience.com%2Fwos%2Fwoscc%2Ffull-record%2FWOS:001516703900001","View Full Record in Web of Science")</f>
        <v>View Full Record in Web of Science</v>
      </c>
    </row>
    <row r="169" ht="12.75" customHeight="1">
      <c r="A169" s="1" t="s">
        <v>72</v>
      </c>
      <c r="B169" s="1" t="s">
        <v>1737</v>
      </c>
      <c r="C169" s="1" t="s">
        <v>74</v>
      </c>
      <c r="D169" s="1" t="s">
        <v>74</v>
      </c>
      <c r="E169" s="1" t="s">
        <v>74</v>
      </c>
      <c r="F169" s="1" t="s">
        <v>1738</v>
      </c>
      <c r="G169" s="1" t="s">
        <v>74</v>
      </c>
      <c r="H169" s="1" t="s">
        <v>74</v>
      </c>
      <c r="I169" s="1" t="s">
        <v>1739</v>
      </c>
      <c r="J169" s="1" t="s">
        <v>1740</v>
      </c>
      <c r="K169" s="1" t="s">
        <v>74</v>
      </c>
      <c r="L169" s="1" t="s">
        <v>74</v>
      </c>
      <c r="M169" s="1" t="s">
        <v>74</v>
      </c>
      <c r="N169" s="1" t="s">
        <v>78</v>
      </c>
      <c r="O169" s="1" t="s">
        <v>74</v>
      </c>
      <c r="P169" s="1" t="s">
        <v>74</v>
      </c>
      <c r="Q169" s="1" t="s">
        <v>74</v>
      </c>
      <c r="R169" s="1" t="s">
        <v>74</v>
      </c>
      <c r="S169" s="1" t="s">
        <v>74</v>
      </c>
      <c r="T169" s="1" t="s">
        <v>1741</v>
      </c>
      <c r="U169" s="1" t="s">
        <v>1742</v>
      </c>
      <c r="V169" s="1" t="s">
        <v>1743</v>
      </c>
      <c r="W169" s="1" t="s">
        <v>74</v>
      </c>
      <c r="X169" s="1" t="s">
        <v>74</v>
      </c>
      <c r="Y169" s="1" t="s">
        <v>74</v>
      </c>
      <c r="Z169" s="1" t="s">
        <v>74</v>
      </c>
      <c r="AA169" s="1" t="s">
        <v>74</v>
      </c>
      <c r="AB169" s="1" t="s">
        <v>74</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1744</v>
      </c>
      <c r="AP169" s="1" t="s">
        <v>1745</v>
      </c>
      <c r="AQ169" s="1" t="s">
        <v>74</v>
      </c>
      <c r="AR169" s="1" t="s">
        <v>74</v>
      </c>
      <c r="AS169" s="1" t="s">
        <v>74</v>
      </c>
      <c r="AT169" s="1" t="s">
        <v>200</v>
      </c>
      <c r="AU169" s="1">
        <v>2024.0</v>
      </c>
      <c r="AV169" s="1">
        <v>192.0</v>
      </c>
      <c r="AW169" s="1" t="s">
        <v>74</v>
      </c>
      <c r="AX169" s="1" t="s">
        <v>74</v>
      </c>
      <c r="AY169" s="1" t="s">
        <v>74</v>
      </c>
      <c r="AZ169" s="1" t="s">
        <v>74</v>
      </c>
      <c r="BA169" s="1" t="s">
        <v>74</v>
      </c>
      <c r="BB169" s="1" t="s">
        <v>74</v>
      </c>
      <c r="BC169" s="1" t="s">
        <v>74</v>
      </c>
      <c r="BD169" s="1">
        <v>103795.0</v>
      </c>
      <c r="BE169" s="1" t="s">
        <v>1746</v>
      </c>
      <c r="BF169" s="2" t="str">
        <f>HYPERLINK("http://dx.doi.org/10.1016/j.tre.2024.103795","http://dx.doi.org/10.1016/j.tre.2024.103795")</f>
        <v>http://dx.doi.org/10.1016/j.tre.2024.103795</v>
      </c>
      <c r="BG169" s="1" t="s">
        <v>74</v>
      </c>
      <c r="BH169" s="1" t="s">
        <v>1747</v>
      </c>
      <c r="BI169" s="1" t="s">
        <v>74</v>
      </c>
      <c r="BJ169" s="1" t="s">
        <v>74</v>
      </c>
      <c r="BK169" s="1" t="s">
        <v>74</v>
      </c>
      <c r="BL169" s="1" t="s">
        <v>1748</v>
      </c>
      <c r="BM169" s="1" t="s">
        <v>74</v>
      </c>
      <c r="BN169" s="1" t="s">
        <v>74</v>
      </c>
      <c r="BO169" s="1" t="s">
        <v>74</v>
      </c>
      <c r="BP169" s="1" t="s">
        <v>74</v>
      </c>
      <c r="BQ169" s="1" t="s">
        <v>74</v>
      </c>
      <c r="BR169" s="1" t="s">
        <v>74</v>
      </c>
      <c r="BS169" s="1" t="s">
        <v>1749</v>
      </c>
      <c r="BT169" s="1" t="str">
        <f>HYPERLINK("https%3A%2F%2Fwww.webofscience.com%2Fwos%2Fwoscc%2Ffull-record%2FWOS:001342661100001","View Full Record in Web of Science")</f>
        <v>View Full Record in Web of Science</v>
      </c>
    </row>
    <row r="170" ht="12.75" customHeight="1">
      <c r="A170" s="1" t="s">
        <v>72</v>
      </c>
      <c r="B170" s="1" t="s">
        <v>1750</v>
      </c>
      <c r="C170" s="1" t="s">
        <v>74</v>
      </c>
      <c r="D170" s="1" t="s">
        <v>74</v>
      </c>
      <c r="E170" s="1" t="s">
        <v>74</v>
      </c>
      <c r="F170" s="1" t="s">
        <v>1751</v>
      </c>
      <c r="G170" s="1" t="s">
        <v>74</v>
      </c>
      <c r="H170" s="1" t="s">
        <v>74</v>
      </c>
      <c r="I170" s="1" t="s">
        <v>1752</v>
      </c>
      <c r="J170" s="1" t="s">
        <v>1753</v>
      </c>
      <c r="K170" s="1" t="s">
        <v>74</v>
      </c>
      <c r="L170" s="1" t="s">
        <v>74</v>
      </c>
      <c r="M170" s="1" t="s">
        <v>74</v>
      </c>
      <c r="N170" s="1" t="s">
        <v>78</v>
      </c>
      <c r="O170" s="1" t="s">
        <v>74</v>
      </c>
      <c r="P170" s="1" t="s">
        <v>74</v>
      </c>
      <c r="Q170" s="1" t="s">
        <v>74</v>
      </c>
      <c r="R170" s="1" t="s">
        <v>74</v>
      </c>
      <c r="S170" s="1" t="s">
        <v>74</v>
      </c>
      <c r="T170" s="1" t="s">
        <v>1754</v>
      </c>
      <c r="U170" s="1" t="s">
        <v>1755</v>
      </c>
      <c r="V170" s="1" t="s">
        <v>1756</v>
      </c>
      <c r="W170" s="1" t="s">
        <v>74</v>
      </c>
      <c r="X170" s="1" t="s">
        <v>74</v>
      </c>
      <c r="Y170" s="1" t="s">
        <v>74</v>
      </c>
      <c r="Z170" s="1" t="s">
        <v>74</v>
      </c>
      <c r="AA170" s="1" t="s">
        <v>74</v>
      </c>
      <c r="AB170" s="1" t="s">
        <v>74</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1757</v>
      </c>
      <c r="AP170" s="1" t="s">
        <v>1758</v>
      </c>
      <c r="AQ170" s="1" t="s">
        <v>74</v>
      </c>
      <c r="AR170" s="1" t="s">
        <v>74</v>
      </c>
      <c r="AS170" s="1" t="s">
        <v>74</v>
      </c>
      <c r="AT170" s="1" t="s">
        <v>736</v>
      </c>
      <c r="AU170" s="1">
        <v>2026.0</v>
      </c>
      <c r="AV170" s="1">
        <v>22.0</v>
      </c>
      <c r="AW170" s="1">
        <v>1.0</v>
      </c>
      <c r="AX170" s="1" t="s">
        <v>74</v>
      </c>
      <c r="AY170" s="1" t="s">
        <v>74</v>
      </c>
      <c r="AZ170" s="1" t="s">
        <v>74</v>
      </c>
      <c r="BA170" s="1" t="s">
        <v>74</v>
      </c>
      <c r="BB170" s="1">
        <v>555.0</v>
      </c>
      <c r="BC170" s="1">
        <v>566.0</v>
      </c>
      <c r="BD170" s="1" t="s">
        <v>74</v>
      </c>
      <c r="BE170" s="1" t="s">
        <v>1759</v>
      </c>
      <c r="BF170" s="2" t="str">
        <f>HYPERLINK("http://dx.doi.org/10.1109/TII.2025.3613372","http://dx.doi.org/10.1109/TII.2025.3613372")</f>
        <v>http://dx.doi.org/10.1109/TII.2025.3613372</v>
      </c>
      <c r="BG170" s="1" t="s">
        <v>74</v>
      </c>
      <c r="BH170" s="1" t="s">
        <v>811</v>
      </c>
      <c r="BI170" s="1" t="s">
        <v>74</v>
      </c>
      <c r="BJ170" s="1" t="s">
        <v>74</v>
      </c>
      <c r="BK170" s="1" t="s">
        <v>74</v>
      </c>
      <c r="BL170" s="1" t="s">
        <v>113</v>
      </c>
      <c r="BM170" s="1" t="s">
        <v>74</v>
      </c>
      <c r="BN170" s="1" t="s">
        <v>74</v>
      </c>
      <c r="BO170" s="1" t="s">
        <v>74</v>
      </c>
      <c r="BP170" s="1" t="s">
        <v>74</v>
      </c>
      <c r="BQ170" s="1" t="s">
        <v>74</v>
      </c>
      <c r="BR170" s="1" t="s">
        <v>74</v>
      </c>
      <c r="BS170" s="1" t="s">
        <v>1760</v>
      </c>
      <c r="BT170" s="1" t="str">
        <f>HYPERLINK("https%3A%2F%2Fwww.webofscience.com%2Fwos%2Fwoscc%2Ffull-record%2FWOS:001591762200001","View Full Record in Web of Science")</f>
        <v>View Full Record in Web of Science</v>
      </c>
    </row>
    <row r="171" ht="12.75" customHeight="1">
      <c r="A171" s="1" t="s">
        <v>72</v>
      </c>
      <c r="B171" s="1" t="s">
        <v>1761</v>
      </c>
      <c r="C171" s="1" t="s">
        <v>74</v>
      </c>
      <c r="D171" s="1" t="s">
        <v>74</v>
      </c>
      <c r="E171" s="1" t="s">
        <v>74</v>
      </c>
      <c r="F171" s="1" t="s">
        <v>1762</v>
      </c>
      <c r="G171" s="1" t="s">
        <v>74</v>
      </c>
      <c r="H171" s="1" t="s">
        <v>74</v>
      </c>
      <c r="I171" s="1" t="s">
        <v>1763</v>
      </c>
      <c r="J171" s="1" t="s">
        <v>1764</v>
      </c>
      <c r="K171" s="1" t="s">
        <v>74</v>
      </c>
      <c r="L171" s="1" t="s">
        <v>74</v>
      </c>
      <c r="M171" s="1" t="s">
        <v>74</v>
      </c>
      <c r="N171" s="1" t="s">
        <v>953</v>
      </c>
      <c r="O171" s="1" t="s">
        <v>74</v>
      </c>
      <c r="P171" s="1" t="s">
        <v>74</v>
      </c>
      <c r="Q171" s="1" t="s">
        <v>74</v>
      </c>
      <c r="R171" s="1" t="s">
        <v>74</v>
      </c>
      <c r="S171" s="1" t="s">
        <v>74</v>
      </c>
      <c r="T171" s="1" t="s">
        <v>1765</v>
      </c>
      <c r="U171" s="1" t="s">
        <v>74</v>
      </c>
      <c r="V171" s="1" t="s">
        <v>1766</v>
      </c>
      <c r="W171" s="1" t="s">
        <v>74</v>
      </c>
      <c r="X171" s="1" t="s">
        <v>74</v>
      </c>
      <c r="Y171" s="1" t="s">
        <v>74</v>
      </c>
      <c r="Z171" s="1" t="s">
        <v>74</v>
      </c>
      <c r="AA171" s="1" t="s">
        <v>74</v>
      </c>
      <c r="AB171" s="1" t="s">
        <v>74</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1767</v>
      </c>
      <c r="AP171" s="1" t="s">
        <v>1768</v>
      </c>
      <c r="AQ171" s="1" t="s">
        <v>74</v>
      </c>
      <c r="AR171" s="1" t="s">
        <v>74</v>
      </c>
      <c r="AS171" s="1" t="s">
        <v>74</v>
      </c>
      <c r="AT171" s="1" t="s">
        <v>1769</v>
      </c>
      <c r="AU171" s="1">
        <v>2025.0</v>
      </c>
      <c r="AV171" s="1" t="s">
        <v>74</v>
      </c>
      <c r="AW171" s="1" t="s">
        <v>74</v>
      </c>
      <c r="AX171" s="1" t="s">
        <v>74</v>
      </c>
      <c r="AY171" s="1" t="s">
        <v>74</v>
      </c>
      <c r="AZ171" s="1" t="s">
        <v>74</v>
      </c>
      <c r="BA171" s="1" t="s">
        <v>74</v>
      </c>
      <c r="BB171" s="1" t="s">
        <v>74</v>
      </c>
      <c r="BC171" s="1" t="s">
        <v>74</v>
      </c>
      <c r="BD171" s="1" t="s">
        <v>74</v>
      </c>
      <c r="BE171" s="1" t="s">
        <v>1770</v>
      </c>
      <c r="BF171" s="2" t="str">
        <f>HYPERLINK("http://dx.doi.org/10.1080/10508422.2025.2581274","http://dx.doi.org/10.1080/10508422.2025.2581274")</f>
        <v>http://dx.doi.org/10.1080/10508422.2025.2581274</v>
      </c>
      <c r="BG171" s="1" t="s">
        <v>74</v>
      </c>
      <c r="BH171" s="1" t="s">
        <v>255</v>
      </c>
      <c r="BI171" s="1" t="s">
        <v>74</v>
      </c>
      <c r="BJ171" s="1" t="s">
        <v>74</v>
      </c>
      <c r="BK171" s="1" t="s">
        <v>74</v>
      </c>
      <c r="BL171" s="1" t="s">
        <v>1771</v>
      </c>
      <c r="BM171" s="1" t="s">
        <v>74</v>
      </c>
      <c r="BN171" s="1" t="s">
        <v>74</v>
      </c>
      <c r="BO171" s="1" t="s">
        <v>74</v>
      </c>
      <c r="BP171" s="1" t="s">
        <v>74</v>
      </c>
      <c r="BQ171" s="1" t="s">
        <v>74</v>
      </c>
      <c r="BR171" s="1" t="s">
        <v>74</v>
      </c>
      <c r="BS171" s="1" t="s">
        <v>1772</v>
      </c>
      <c r="BT171" s="1" t="str">
        <f>HYPERLINK("https%3A%2F%2Fwww.webofscience.com%2Fwos%2Fwoscc%2Ffull-record%2FWOS:001620157100001","View Full Record in Web of Science")</f>
        <v>View Full Record in Web of Science</v>
      </c>
    </row>
    <row r="172" ht="12.75" customHeight="1">
      <c r="A172" s="1" t="s">
        <v>72</v>
      </c>
      <c r="B172" s="1" t="s">
        <v>1773</v>
      </c>
      <c r="C172" s="1" t="s">
        <v>74</v>
      </c>
      <c r="D172" s="1" t="s">
        <v>74</v>
      </c>
      <c r="E172" s="1" t="s">
        <v>74</v>
      </c>
      <c r="F172" s="1" t="s">
        <v>1774</v>
      </c>
      <c r="G172" s="1" t="s">
        <v>74</v>
      </c>
      <c r="H172" s="1" t="s">
        <v>74</v>
      </c>
      <c r="I172" s="1" t="s">
        <v>1775</v>
      </c>
      <c r="J172" s="1" t="s">
        <v>881</v>
      </c>
      <c r="K172" s="1" t="s">
        <v>74</v>
      </c>
      <c r="L172" s="1" t="s">
        <v>74</v>
      </c>
      <c r="M172" s="1" t="s">
        <v>74</v>
      </c>
      <c r="N172" s="1" t="s">
        <v>78</v>
      </c>
      <c r="O172" s="1" t="s">
        <v>74</v>
      </c>
      <c r="P172" s="1" t="s">
        <v>74</v>
      </c>
      <c r="Q172" s="1" t="s">
        <v>74</v>
      </c>
      <c r="R172" s="1" t="s">
        <v>74</v>
      </c>
      <c r="S172" s="1" t="s">
        <v>74</v>
      </c>
      <c r="T172" s="1" t="s">
        <v>1776</v>
      </c>
      <c r="U172" s="1" t="s">
        <v>1777</v>
      </c>
      <c r="V172" s="1" t="s">
        <v>1778</v>
      </c>
      <c r="W172" s="1" t="s">
        <v>74</v>
      </c>
      <c r="X172" s="1" t="s">
        <v>74</v>
      </c>
      <c r="Y172" s="1" t="s">
        <v>74</v>
      </c>
      <c r="Z172" s="1" t="s">
        <v>74</v>
      </c>
      <c r="AA172" s="1" t="s">
        <v>74</v>
      </c>
      <c r="AB172" s="1" t="s">
        <v>74</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74</v>
      </c>
      <c r="AP172" s="1" t="s">
        <v>884</v>
      </c>
      <c r="AQ172" s="1" t="s">
        <v>74</v>
      </c>
      <c r="AR172" s="1" t="s">
        <v>74</v>
      </c>
      <c r="AS172" s="1" t="s">
        <v>74</v>
      </c>
      <c r="AT172" s="1" t="s">
        <v>1779</v>
      </c>
      <c r="AU172" s="1">
        <v>2025.0</v>
      </c>
      <c r="AV172" s="1">
        <v>16.0</v>
      </c>
      <c r="AW172" s="1">
        <v>8.0</v>
      </c>
      <c r="AX172" s="1" t="s">
        <v>74</v>
      </c>
      <c r="AY172" s="1" t="s">
        <v>74</v>
      </c>
      <c r="AZ172" s="1" t="s">
        <v>74</v>
      </c>
      <c r="BA172" s="1" t="s">
        <v>74</v>
      </c>
      <c r="BB172" s="1" t="s">
        <v>74</v>
      </c>
      <c r="BC172" s="1" t="s">
        <v>74</v>
      </c>
      <c r="BD172" s="1">
        <v>653.0</v>
      </c>
      <c r="BE172" s="1" t="s">
        <v>1780</v>
      </c>
      <c r="BF172" s="2" t="str">
        <f>HYPERLINK("http://dx.doi.org/10.3390/info16080653","http://dx.doi.org/10.3390/info16080653")</f>
        <v>http://dx.doi.org/10.3390/info16080653</v>
      </c>
      <c r="BG172" s="1" t="s">
        <v>74</v>
      </c>
      <c r="BH172" s="1" t="s">
        <v>74</v>
      </c>
      <c r="BI172" s="1" t="s">
        <v>74</v>
      </c>
      <c r="BJ172" s="1" t="s">
        <v>74</v>
      </c>
      <c r="BK172" s="1" t="s">
        <v>74</v>
      </c>
      <c r="BL172" s="1" t="s">
        <v>174</v>
      </c>
      <c r="BM172" s="1" t="s">
        <v>74</v>
      </c>
      <c r="BN172" s="1" t="s">
        <v>74</v>
      </c>
      <c r="BO172" s="1" t="s">
        <v>163</v>
      </c>
      <c r="BP172" s="1" t="s">
        <v>74</v>
      </c>
      <c r="BQ172" s="1" t="s">
        <v>74</v>
      </c>
      <c r="BR172" s="1" t="s">
        <v>74</v>
      </c>
      <c r="BS172" s="1" t="s">
        <v>1781</v>
      </c>
      <c r="BT172" s="1" t="str">
        <f>HYPERLINK("https%3A%2F%2Fwww.webofscience.com%2Fwos%2Fwoscc%2Ffull-record%2FWOS:001557691000001","View Full Record in Web of Science")</f>
        <v>View Full Record in Web of Science</v>
      </c>
    </row>
    <row r="173" ht="12.75" customHeight="1">
      <c r="A173" s="1" t="s">
        <v>72</v>
      </c>
      <c r="B173" s="1" t="s">
        <v>1782</v>
      </c>
      <c r="C173" s="1" t="s">
        <v>74</v>
      </c>
      <c r="D173" s="1" t="s">
        <v>74</v>
      </c>
      <c r="E173" s="1" t="s">
        <v>74</v>
      </c>
      <c r="F173" s="1" t="s">
        <v>1783</v>
      </c>
      <c r="G173" s="1" t="s">
        <v>74</v>
      </c>
      <c r="H173" s="1" t="s">
        <v>74</v>
      </c>
      <c r="I173" s="1" t="s">
        <v>1784</v>
      </c>
      <c r="J173" s="1" t="s">
        <v>1785</v>
      </c>
      <c r="K173" s="1" t="s">
        <v>74</v>
      </c>
      <c r="L173" s="1" t="s">
        <v>74</v>
      </c>
      <c r="M173" s="1" t="s">
        <v>74</v>
      </c>
      <c r="N173" s="1" t="s">
        <v>78</v>
      </c>
      <c r="O173" s="1" t="s">
        <v>74</v>
      </c>
      <c r="P173" s="1" t="s">
        <v>74</v>
      </c>
      <c r="Q173" s="1" t="s">
        <v>74</v>
      </c>
      <c r="R173" s="1" t="s">
        <v>74</v>
      </c>
      <c r="S173" s="1" t="s">
        <v>74</v>
      </c>
      <c r="T173" s="1" t="s">
        <v>1786</v>
      </c>
      <c r="U173" s="1" t="s">
        <v>74</v>
      </c>
      <c r="V173" s="1" t="s">
        <v>1787</v>
      </c>
      <c r="W173" s="1" t="s">
        <v>74</v>
      </c>
      <c r="X173" s="1" t="s">
        <v>74</v>
      </c>
      <c r="Y173" s="1" t="s">
        <v>74</v>
      </c>
      <c r="Z173" s="1" t="s">
        <v>74</v>
      </c>
      <c r="AA173" s="1" t="s">
        <v>74</v>
      </c>
      <c r="AB173" s="1" t="s">
        <v>74</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1788</v>
      </c>
      <c r="AP173" s="1" t="s">
        <v>1789</v>
      </c>
      <c r="AQ173" s="1" t="s">
        <v>74</v>
      </c>
      <c r="AR173" s="1" t="s">
        <v>74</v>
      </c>
      <c r="AS173" s="1" t="s">
        <v>74</v>
      </c>
      <c r="AT173" s="1" t="s">
        <v>200</v>
      </c>
      <c r="AU173" s="1">
        <v>2025.0</v>
      </c>
      <c r="AV173" s="1">
        <v>16.0</v>
      </c>
      <c r="AW173" s="1">
        <v>6.0</v>
      </c>
      <c r="AX173" s="1" t="s">
        <v>74</v>
      </c>
      <c r="AY173" s="1" t="s">
        <v>74</v>
      </c>
      <c r="AZ173" s="1" t="s">
        <v>74</v>
      </c>
      <c r="BA173" s="1" t="s">
        <v>74</v>
      </c>
      <c r="BB173" s="1" t="s">
        <v>74</v>
      </c>
      <c r="BC173" s="1" t="s">
        <v>74</v>
      </c>
      <c r="BD173" s="1">
        <v>146.0</v>
      </c>
      <c r="BE173" s="1" t="s">
        <v>1790</v>
      </c>
      <c r="BF173" s="2" t="str">
        <f>HYPERLINK("http://dx.doi.org/10.1145/3768163","http://dx.doi.org/10.1145/3768163")</f>
        <v>http://dx.doi.org/10.1145/3768163</v>
      </c>
      <c r="BG173" s="1" t="s">
        <v>74</v>
      </c>
      <c r="BH173" s="1" t="s">
        <v>74</v>
      </c>
      <c r="BI173" s="1" t="s">
        <v>74</v>
      </c>
      <c r="BJ173" s="1" t="s">
        <v>74</v>
      </c>
      <c r="BK173" s="1" t="s">
        <v>74</v>
      </c>
      <c r="BL173" s="1" t="s">
        <v>174</v>
      </c>
      <c r="BM173" s="1" t="s">
        <v>74</v>
      </c>
      <c r="BN173" s="1" t="s">
        <v>74</v>
      </c>
      <c r="BO173" s="1" t="s">
        <v>74</v>
      </c>
      <c r="BP173" s="1" t="s">
        <v>74</v>
      </c>
      <c r="BQ173" s="1" t="s">
        <v>74</v>
      </c>
      <c r="BR173" s="1" t="s">
        <v>74</v>
      </c>
      <c r="BS173" s="1" t="s">
        <v>1791</v>
      </c>
      <c r="BT173" s="1" t="str">
        <f>HYPERLINK("https%3A%2F%2Fwww.webofscience.com%2Fwos%2Fwoscc%2Ffull-record%2FWOS:001639644400024","View Full Record in Web of Science")</f>
        <v>View Full Record in Web of Science</v>
      </c>
    </row>
    <row r="174" ht="12.75" customHeight="1">
      <c r="A174" s="1" t="s">
        <v>72</v>
      </c>
      <c r="B174" s="1" t="s">
        <v>1792</v>
      </c>
      <c r="C174" s="1" t="s">
        <v>74</v>
      </c>
      <c r="D174" s="1" t="s">
        <v>74</v>
      </c>
      <c r="E174" s="1" t="s">
        <v>74</v>
      </c>
      <c r="F174" s="1" t="s">
        <v>1793</v>
      </c>
      <c r="G174" s="1" t="s">
        <v>74</v>
      </c>
      <c r="H174" s="1" t="s">
        <v>74</v>
      </c>
      <c r="I174" s="1" t="s">
        <v>1794</v>
      </c>
      <c r="J174" s="1" t="s">
        <v>239</v>
      </c>
      <c r="K174" s="1" t="s">
        <v>74</v>
      </c>
      <c r="L174" s="1" t="s">
        <v>74</v>
      </c>
      <c r="M174" s="1" t="s">
        <v>74</v>
      </c>
      <c r="N174" s="1" t="s">
        <v>78</v>
      </c>
      <c r="O174" s="1" t="s">
        <v>74</v>
      </c>
      <c r="P174" s="1" t="s">
        <v>74</v>
      </c>
      <c r="Q174" s="1" t="s">
        <v>74</v>
      </c>
      <c r="R174" s="1" t="s">
        <v>74</v>
      </c>
      <c r="S174" s="1" t="s">
        <v>74</v>
      </c>
      <c r="T174" s="1" t="s">
        <v>1795</v>
      </c>
      <c r="U174" s="1" t="s">
        <v>74</v>
      </c>
      <c r="V174" s="1" t="s">
        <v>1796</v>
      </c>
      <c r="W174" s="1" t="s">
        <v>74</v>
      </c>
      <c r="X174" s="1" t="s">
        <v>74</v>
      </c>
      <c r="Y174" s="1" t="s">
        <v>74</v>
      </c>
      <c r="Z174" s="1" t="s">
        <v>74</v>
      </c>
      <c r="AA174" s="1" t="s">
        <v>74</v>
      </c>
      <c r="AB174" s="1" t="s">
        <v>74</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242</v>
      </c>
      <c r="AP174" s="1" t="s">
        <v>74</v>
      </c>
      <c r="AQ174" s="1" t="s">
        <v>74</v>
      </c>
      <c r="AR174" s="1" t="s">
        <v>74</v>
      </c>
      <c r="AS174" s="1" t="s">
        <v>74</v>
      </c>
      <c r="AT174" s="1" t="s">
        <v>1797</v>
      </c>
      <c r="AU174" s="1">
        <v>2025.0</v>
      </c>
      <c r="AV174" s="1">
        <v>14.0</v>
      </c>
      <c r="AW174" s="1">
        <v>11.0</v>
      </c>
      <c r="AX174" s="1" t="s">
        <v>74</v>
      </c>
      <c r="AY174" s="1" t="s">
        <v>74</v>
      </c>
      <c r="AZ174" s="1" t="s">
        <v>74</v>
      </c>
      <c r="BA174" s="1" t="s">
        <v>74</v>
      </c>
      <c r="BB174" s="1" t="s">
        <v>74</v>
      </c>
      <c r="BC174" s="1" t="s">
        <v>74</v>
      </c>
      <c r="BD174" s="1">
        <v>2191.0</v>
      </c>
      <c r="BE174" s="1" t="s">
        <v>1798</v>
      </c>
      <c r="BF174" s="2" t="str">
        <f>HYPERLINK("http://dx.doi.org/10.3390/electronics14112191","http://dx.doi.org/10.3390/electronics14112191")</f>
        <v>http://dx.doi.org/10.3390/electronics14112191</v>
      </c>
      <c r="BG174" s="1" t="s">
        <v>74</v>
      </c>
      <c r="BH174" s="1" t="s">
        <v>74</v>
      </c>
      <c r="BI174" s="1" t="s">
        <v>74</v>
      </c>
      <c r="BJ174" s="1" t="s">
        <v>74</v>
      </c>
      <c r="BK174" s="1" t="s">
        <v>74</v>
      </c>
      <c r="BL174" s="1" t="s">
        <v>244</v>
      </c>
      <c r="BM174" s="1" t="s">
        <v>74</v>
      </c>
      <c r="BN174" s="1" t="s">
        <v>74</v>
      </c>
      <c r="BO174" s="1" t="s">
        <v>163</v>
      </c>
      <c r="BP174" s="1" t="s">
        <v>74</v>
      </c>
      <c r="BQ174" s="1" t="s">
        <v>74</v>
      </c>
      <c r="BR174" s="1" t="s">
        <v>74</v>
      </c>
      <c r="BS174" s="1" t="s">
        <v>1799</v>
      </c>
      <c r="BT174" s="1" t="str">
        <f>HYPERLINK("https%3A%2F%2Fwww.webofscience.com%2Fwos%2Fwoscc%2Ffull-record%2FWOS:001505885700001","View Full Record in Web of Science")</f>
        <v>View Full Record in Web of Science</v>
      </c>
    </row>
    <row r="175" ht="12.75" customHeight="1">
      <c r="A175" s="1" t="s">
        <v>72</v>
      </c>
      <c r="B175" s="1" t="s">
        <v>1800</v>
      </c>
      <c r="C175" s="1" t="s">
        <v>74</v>
      </c>
      <c r="D175" s="1" t="s">
        <v>74</v>
      </c>
      <c r="E175" s="1" t="s">
        <v>74</v>
      </c>
      <c r="F175" s="1" t="s">
        <v>1801</v>
      </c>
      <c r="G175" s="1" t="s">
        <v>74</v>
      </c>
      <c r="H175" s="1" t="s">
        <v>74</v>
      </c>
      <c r="I175" s="1" t="s">
        <v>1802</v>
      </c>
      <c r="J175" s="1" t="s">
        <v>1803</v>
      </c>
      <c r="K175" s="1" t="s">
        <v>74</v>
      </c>
      <c r="L175" s="1" t="s">
        <v>74</v>
      </c>
      <c r="M175" s="1" t="s">
        <v>74</v>
      </c>
      <c r="N175" s="1" t="s">
        <v>78</v>
      </c>
      <c r="O175" s="1" t="s">
        <v>74</v>
      </c>
      <c r="P175" s="1" t="s">
        <v>74</v>
      </c>
      <c r="Q175" s="1" t="s">
        <v>74</v>
      </c>
      <c r="R175" s="1" t="s">
        <v>74</v>
      </c>
      <c r="S175" s="1" t="s">
        <v>74</v>
      </c>
      <c r="T175" s="1" t="s">
        <v>1804</v>
      </c>
      <c r="U175" s="1" t="s">
        <v>74</v>
      </c>
      <c r="V175" s="1" t="s">
        <v>1805</v>
      </c>
      <c r="W175" s="1" t="s">
        <v>74</v>
      </c>
      <c r="X175" s="1" t="s">
        <v>74</v>
      </c>
      <c r="Y175" s="1" t="s">
        <v>74</v>
      </c>
      <c r="Z175" s="1" t="s">
        <v>74</v>
      </c>
      <c r="AA175" s="1" t="s">
        <v>74</v>
      </c>
      <c r="AB175" s="1" t="s">
        <v>74</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1806</v>
      </c>
      <c r="AP175" s="1" t="s">
        <v>1807</v>
      </c>
      <c r="AQ175" s="1" t="s">
        <v>74</v>
      </c>
      <c r="AR175" s="1" t="s">
        <v>74</v>
      </c>
      <c r="AS175" s="1" t="s">
        <v>74</v>
      </c>
      <c r="AT175" s="1" t="s">
        <v>262</v>
      </c>
      <c r="AU175" s="1">
        <v>2025.0</v>
      </c>
      <c r="AV175" s="1">
        <v>25.0</v>
      </c>
      <c r="AW175" s="1">
        <v>3.0</v>
      </c>
      <c r="AX175" s="1" t="s">
        <v>74</v>
      </c>
      <c r="AY175" s="1" t="s">
        <v>74</v>
      </c>
      <c r="AZ175" s="1" t="s">
        <v>74</v>
      </c>
      <c r="BA175" s="1" t="s">
        <v>74</v>
      </c>
      <c r="BB175" s="1">
        <v>364.0</v>
      </c>
      <c r="BC175" s="1">
        <v>375.0</v>
      </c>
      <c r="BD175" s="1" t="s">
        <v>74</v>
      </c>
      <c r="BE175" s="1" t="s">
        <v>1808</v>
      </c>
      <c r="BF175" s="2" t="str">
        <f>HYPERLINK("http://dx.doi.org/10.5391/IJFIS.2025.25.3.364","http://dx.doi.org/10.5391/IJFIS.2025.25.3.364")</f>
        <v>http://dx.doi.org/10.5391/IJFIS.2025.25.3.364</v>
      </c>
      <c r="BG175" s="1" t="s">
        <v>74</v>
      </c>
      <c r="BH175" s="1" t="s">
        <v>74</v>
      </c>
      <c r="BI175" s="1" t="s">
        <v>74</v>
      </c>
      <c r="BJ175" s="1" t="s">
        <v>74</v>
      </c>
      <c r="BK175" s="1" t="s">
        <v>74</v>
      </c>
      <c r="BL175" s="1" t="s">
        <v>174</v>
      </c>
      <c r="BM175" s="1" t="s">
        <v>74</v>
      </c>
      <c r="BN175" s="1" t="s">
        <v>74</v>
      </c>
      <c r="BO175" s="1" t="s">
        <v>163</v>
      </c>
      <c r="BP175" s="1" t="s">
        <v>74</v>
      </c>
      <c r="BQ175" s="1" t="s">
        <v>74</v>
      </c>
      <c r="BR175" s="1" t="s">
        <v>74</v>
      </c>
      <c r="BS175" s="1" t="s">
        <v>1809</v>
      </c>
      <c r="BT175" s="1" t="str">
        <f>HYPERLINK("https%3A%2F%2Fwww.webofscience.com%2Fwos%2Fwoscc%2Ffull-record%2FWOS:001582913900002","View Full Record in Web of Science")</f>
        <v>View Full Record in Web of Science</v>
      </c>
    </row>
    <row r="176" ht="12.75" customHeight="1">
      <c r="A176" s="1" t="s">
        <v>72</v>
      </c>
      <c r="B176" s="1" t="s">
        <v>1810</v>
      </c>
      <c r="C176" s="1" t="s">
        <v>74</v>
      </c>
      <c r="D176" s="1" t="s">
        <v>74</v>
      </c>
      <c r="E176" s="1" t="s">
        <v>74</v>
      </c>
      <c r="F176" s="1" t="s">
        <v>1811</v>
      </c>
      <c r="G176" s="1" t="s">
        <v>74</v>
      </c>
      <c r="H176" s="1" t="s">
        <v>74</v>
      </c>
      <c r="I176" s="1" t="s">
        <v>1812</v>
      </c>
      <c r="J176" s="1" t="s">
        <v>1813</v>
      </c>
      <c r="K176" s="1" t="s">
        <v>74</v>
      </c>
      <c r="L176" s="1" t="s">
        <v>74</v>
      </c>
      <c r="M176" s="1" t="s">
        <v>74</v>
      </c>
      <c r="N176" s="1" t="s">
        <v>78</v>
      </c>
      <c r="O176" s="1" t="s">
        <v>74</v>
      </c>
      <c r="P176" s="1" t="s">
        <v>74</v>
      </c>
      <c r="Q176" s="1" t="s">
        <v>74</v>
      </c>
      <c r="R176" s="1" t="s">
        <v>74</v>
      </c>
      <c r="S176" s="1" t="s">
        <v>74</v>
      </c>
      <c r="T176" s="1" t="s">
        <v>1814</v>
      </c>
      <c r="U176" s="1" t="s">
        <v>74</v>
      </c>
      <c r="V176" s="1" t="s">
        <v>1815</v>
      </c>
      <c r="W176" s="1" t="s">
        <v>74</v>
      </c>
      <c r="X176" s="1" t="s">
        <v>74</v>
      </c>
      <c r="Y176" s="1" t="s">
        <v>74</v>
      </c>
      <c r="Z176" s="1" t="s">
        <v>74</v>
      </c>
      <c r="AA176" s="1" t="s">
        <v>74</v>
      </c>
      <c r="AB176" s="1" t="s">
        <v>74</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74</v>
      </c>
      <c r="AP176" s="1" t="s">
        <v>1816</v>
      </c>
      <c r="AQ176" s="1" t="s">
        <v>74</v>
      </c>
      <c r="AR176" s="1" t="s">
        <v>74</v>
      </c>
      <c r="AS176" s="1" t="s">
        <v>74</v>
      </c>
      <c r="AT176" s="1" t="s">
        <v>262</v>
      </c>
      <c r="AU176" s="1">
        <v>2024.0</v>
      </c>
      <c r="AV176" s="1">
        <v>6.0</v>
      </c>
      <c r="AW176" s="1">
        <v>3.0</v>
      </c>
      <c r="AX176" s="1" t="s">
        <v>74</v>
      </c>
      <c r="AY176" s="1" t="s">
        <v>74</v>
      </c>
      <c r="AZ176" s="1" t="s">
        <v>74</v>
      </c>
      <c r="BA176" s="1" t="s">
        <v>74</v>
      </c>
      <c r="BB176" s="1">
        <v>1894.0</v>
      </c>
      <c r="BC176" s="1">
        <v>1920.0</v>
      </c>
      <c r="BD176" s="1" t="s">
        <v>74</v>
      </c>
      <c r="BE176" s="1" t="s">
        <v>1817</v>
      </c>
      <c r="BF176" s="2" t="str">
        <f>HYPERLINK("http://dx.doi.org/10.3390/make6030093","http://dx.doi.org/10.3390/make6030093")</f>
        <v>http://dx.doi.org/10.3390/make6030093</v>
      </c>
      <c r="BG176" s="1" t="s">
        <v>74</v>
      </c>
      <c r="BH176" s="1" t="s">
        <v>74</v>
      </c>
      <c r="BI176" s="1" t="s">
        <v>74</v>
      </c>
      <c r="BJ176" s="1" t="s">
        <v>74</v>
      </c>
      <c r="BK176" s="1" t="s">
        <v>74</v>
      </c>
      <c r="BL176" s="1" t="s">
        <v>98</v>
      </c>
      <c r="BM176" s="1" t="s">
        <v>74</v>
      </c>
      <c r="BN176" s="1" t="s">
        <v>74</v>
      </c>
      <c r="BO176" s="1" t="s">
        <v>153</v>
      </c>
      <c r="BP176" s="1" t="s">
        <v>74</v>
      </c>
      <c r="BQ176" s="1" t="s">
        <v>74</v>
      </c>
      <c r="BR176" s="1" t="s">
        <v>74</v>
      </c>
      <c r="BS176" s="1" t="s">
        <v>1818</v>
      </c>
      <c r="BT176" s="1" t="str">
        <f>HYPERLINK("https%3A%2F%2Fwww.webofscience.com%2Fwos%2Fwoscc%2Ffull-record%2FWOS:001323860900001","View Full Record in Web of Science")</f>
        <v>View Full Record in Web of Science</v>
      </c>
    </row>
    <row r="177" ht="12.75" customHeight="1">
      <c r="A177" s="1" t="s">
        <v>72</v>
      </c>
      <c r="B177" s="1" t="s">
        <v>1819</v>
      </c>
      <c r="C177" s="1" t="s">
        <v>74</v>
      </c>
      <c r="D177" s="1" t="s">
        <v>74</v>
      </c>
      <c r="E177" s="1" t="s">
        <v>74</v>
      </c>
      <c r="F177" s="1" t="s">
        <v>1820</v>
      </c>
      <c r="G177" s="1" t="s">
        <v>74</v>
      </c>
      <c r="H177" s="1" t="s">
        <v>74</v>
      </c>
      <c r="I177" s="1" t="s">
        <v>1821</v>
      </c>
      <c r="J177" s="1" t="s">
        <v>1822</v>
      </c>
      <c r="K177" s="1" t="s">
        <v>74</v>
      </c>
      <c r="L177" s="1" t="s">
        <v>74</v>
      </c>
      <c r="M177" s="1" t="s">
        <v>74</v>
      </c>
      <c r="N177" s="1" t="s">
        <v>78</v>
      </c>
      <c r="O177" s="1" t="s">
        <v>74</v>
      </c>
      <c r="P177" s="1" t="s">
        <v>74</v>
      </c>
      <c r="Q177" s="1" t="s">
        <v>74</v>
      </c>
      <c r="R177" s="1" t="s">
        <v>74</v>
      </c>
      <c r="S177" s="1" t="s">
        <v>74</v>
      </c>
      <c r="T177" s="1" t="s">
        <v>1823</v>
      </c>
      <c r="U177" s="1" t="s">
        <v>74</v>
      </c>
      <c r="V177" s="1" t="s">
        <v>1824</v>
      </c>
      <c r="W177" s="1" t="s">
        <v>74</v>
      </c>
      <c r="X177" s="1" t="s">
        <v>74</v>
      </c>
      <c r="Y177" s="1" t="s">
        <v>74</v>
      </c>
      <c r="Z177" s="1" t="s">
        <v>74</v>
      </c>
      <c r="AA177" s="1" t="s">
        <v>74</v>
      </c>
      <c r="AB177" s="1" t="s">
        <v>74</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74</v>
      </c>
      <c r="AP177" s="1" t="s">
        <v>1825</v>
      </c>
      <c r="AQ177" s="1" t="s">
        <v>74</v>
      </c>
      <c r="AR177" s="1" t="s">
        <v>74</v>
      </c>
      <c r="AS177" s="1" t="s">
        <v>74</v>
      </c>
      <c r="AT177" s="1" t="s">
        <v>74</v>
      </c>
      <c r="AU177" s="1">
        <v>2025.0</v>
      </c>
      <c r="AV177" s="1">
        <v>6.0</v>
      </c>
      <c r="AW177" s="1" t="s">
        <v>74</v>
      </c>
      <c r="AX177" s="1" t="s">
        <v>74</v>
      </c>
      <c r="AY177" s="1" t="s">
        <v>74</v>
      </c>
      <c r="AZ177" s="1" t="s">
        <v>74</v>
      </c>
      <c r="BA177" s="1" t="s">
        <v>74</v>
      </c>
      <c r="BB177" s="1">
        <v>1522.0</v>
      </c>
      <c r="BC177" s="1">
        <v>1538.0</v>
      </c>
      <c r="BD177" s="1" t="s">
        <v>74</v>
      </c>
      <c r="BE177" s="1" t="s">
        <v>1826</v>
      </c>
      <c r="BF177" s="2" t="str">
        <f>HYPERLINK("http://dx.doi.org/10.1109/OJITS.2025.3633871","http://dx.doi.org/10.1109/OJITS.2025.3633871")</f>
        <v>http://dx.doi.org/10.1109/OJITS.2025.3633871</v>
      </c>
      <c r="BG177" s="1" t="s">
        <v>74</v>
      </c>
      <c r="BH177" s="1" t="s">
        <v>74</v>
      </c>
      <c r="BI177" s="1" t="s">
        <v>74</v>
      </c>
      <c r="BJ177" s="1" t="s">
        <v>74</v>
      </c>
      <c r="BK177" s="1" t="s">
        <v>74</v>
      </c>
      <c r="BL177" s="1" t="s">
        <v>426</v>
      </c>
      <c r="BM177" s="1" t="s">
        <v>74</v>
      </c>
      <c r="BN177" s="1" t="s">
        <v>74</v>
      </c>
      <c r="BO177" s="1" t="s">
        <v>153</v>
      </c>
      <c r="BP177" s="1" t="s">
        <v>74</v>
      </c>
      <c r="BQ177" s="1" t="s">
        <v>74</v>
      </c>
      <c r="BR177" s="1" t="s">
        <v>74</v>
      </c>
      <c r="BS177" s="1" t="s">
        <v>1827</v>
      </c>
      <c r="BT177" s="1" t="str">
        <f>HYPERLINK("https%3A%2F%2Fwww.webofscience.com%2Fwos%2Fwoscc%2Ffull-record%2FWOS:001626825200002","View Full Record in Web of Science")</f>
        <v>View Full Record in Web of Science</v>
      </c>
    </row>
    <row r="178" ht="12.75" customHeight="1">
      <c r="A178" s="1" t="s">
        <v>72</v>
      </c>
      <c r="B178" s="1" t="s">
        <v>1828</v>
      </c>
      <c r="C178" s="1" t="s">
        <v>74</v>
      </c>
      <c r="D178" s="1" t="s">
        <v>74</v>
      </c>
      <c r="E178" s="1" t="s">
        <v>74</v>
      </c>
      <c r="F178" s="1" t="s">
        <v>1829</v>
      </c>
      <c r="G178" s="1" t="s">
        <v>74</v>
      </c>
      <c r="H178" s="1" t="s">
        <v>74</v>
      </c>
      <c r="I178" s="1" t="s">
        <v>1830</v>
      </c>
      <c r="J178" s="1" t="s">
        <v>320</v>
      </c>
      <c r="K178" s="1" t="s">
        <v>74</v>
      </c>
      <c r="L178" s="1" t="s">
        <v>74</v>
      </c>
      <c r="M178" s="1" t="s">
        <v>74</v>
      </c>
      <c r="N178" s="1" t="s">
        <v>78</v>
      </c>
      <c r="O178" s="1" t="s">
        <v>74</v>
      </c>
      <c r="P178" s="1" t="s">
        <v>74</v>
      </c>
      <c r="Q178" s="1" t="s">
        <v>74</v>
      </c>
      <c r="R178" s="1" t="s">
        <v>74</v>
      </c>
      <c r="S178" s="1" t="s">
        <v>74</v>
      </c>
      <c r="T178" s="1" t="s">
        <v>1831</v>
      </c>
      <c r="U178" s="1" t="s">
        <v>74</v>
      </c>
      <c r="V178" s="1" t="s">
        <v>1832</v>
      </c>
      <c r="W178" s="1" t="s">
        <v>74</v>
      </c>
      <c r="X178" s="1" t="s">
        <v>74</v>
      </c>
      <c r="Y178" s="1" t="s">
        <v>74</v>
      </c>
      <c r="Z178" s="1" t="s">
        <v>74</v>
      </c>
      <c r="AA178" s="1" t="s">
        <v>74</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74</v>
      </c>
      <c r="AP178" s="1" t="s">
        <v>324</v>
      </c>
      <c r="AQ178" s="1" t="s">
        <v>74</v>
      </c>
      <c r="AR178" s="1" t="s">
        <v>74</v>
      </c>
      <c r="AS178" s="1" t="s">
        <v>74</v>
      </c>
      <c r="AT178" s="1" t="s">
        <v>262</v>
      </c>
      <c r="AU178" s="1">
        <v>2024.0</v>
      </c>
      <c r="AV178" s="1">
        <v>8.0</v>
      </c>
      <c r="AW178" s="1">
        <v>9.0</v>
      </c>
      <c r="AX178" s="1" t="s">
        <v>74</v>
      </c>
      <c r="AY178" s="1" t="s">
        <v>74</v>
      </c>
      <c r="AZ178" s="1" t="s">
        <v>74</v>
      </c>
      <c r="BA178" s="1" t="s">
        <v>74</v>
      </c>
      <c r="BB178" s="1" t="s">
        <v>74</v>
      </c>
      <c r="BC178" s="1" t="s">
        <v>74</v>
      </c>
      <c r="BD178" s="1">
        <v>107.0</v>
      </c>
      <c r="BE178" s="1" t="s">
        <v>1833</v>
      </c>
      <c r="BF178" s="2" t="str">
        <f>HYPERLINK("http://dx.doi.org/10.3390/bdcc8090107","http://dx.doi.org/10.3390/bdcc8090107")</f>
        <v>http://dx.doi.org/10.3390/bdcc8090107</v>
      </c>
      <c r="BG178" s="1" t="s">
        <v>74</v>
      </c>
      <c r="BH178" s="1" t="s">
        <v>74</v>
      </c>
      <c r="BI178" s="1" t="s">
        <v>74</v>
      </c>
      <c r="BJ178" s="1" t="s">
        <v>74</v>
      </c>
      <c r="BK178" s="1" t="s">
        <v>74</v>
      </c>
      <c r="BL178" s="1" t="s">
        <v>174</v>
      </c>
      <c r="BM178" s="1" t="s">
        <v>74</v>
      </c>
      <c r="BN178" s="1" t="s">
        <v>74</v>
      </c>
      <c r="BO178" s="1" t="s">
        <v>163</v>
      </c>
      <c r="BP178" s="1" t="s">
        <v>74</v>
      </c>
      <c r="BQ178" s="1" t="s">
        <v>74</v>
      </c>
      <c r="BR178" s="1" t="s">
        <v>74</v>
      </c>
      <c r="BS178" s="1" t="s">
        <v>1834</v>
      </c>
      <c r="BT178" s="1" t="str">
        <f>HYPERLINK("https%3A%2F%2Fwww.webofscience.com%2Fwos%2Fwoscc%2Ffull-record%2FWOS:001323750800001","View Full Record in Web of Science")</f>
        <v>View Full Record in Web of Science</v>
      </c>
    </row>
    <row r="179" ht="12.75" customHeight="1">
      <c r="A179" s="1" t="s">
        <v>72</v>
      </c>
      <c r="B179" s="1" t="s">
        <v>1835</v>
      </c>
      <c r="C179" s="1" t="s">
        <v>74</v>
      </c>
      <c r="D179" s="1" t="s">
        <v>74</v>
      </c>
      <c r="E179" s="1" t="s">
        <v>74</v>
      </c>
      <c r="F179" s="1" t="s">
        <v>1836</v>
      </c>
      <c r="G179" s="1" t="s">
        <v>74</v>
      </c>
      <c r="H179" s="1" t="s">
        <v>74</v>
      </c>
      <c r="I179" s="1" t="s">
        <v>1837</v>
      </c>
      <c r="J179" s="1" t="s">
        <v>307</v>
      </c>
      <c r="K179" s="1" t="s">
        <v>74</v>
      </c>
      <c r="L179" s="1" t="s">
        <v>74</v>
      </c>
      <c r="M179" s="1" t="s">
        <v>74</v>
      </c>
      <c r="N179" s="1" t="s">
        <v>158</v>
      </c>
      <c r="O179" s="1" t="s">
        <v>74</v>
      </c>
      <c r="P179" s="1" t="s">
        <v>74</v>
      </c>
      <c r="Q179" s="1" t="s">
        <v>74</v>
      </c>
      <c r="R179" s="1" t="s">
        <v>74</v>
      </c>
      <c r="S179" s="1" t="s">
        <v>74</v>
      </c>
      <c r="T179" s="1" t="s">
        <v>1838</v>
      </c>
      <c r="U179" s="1" t="s">
        <v>74</v>
      </c>
      <c r="V179" s="1" t="s">
        <v>1839</v>
      </c>
      <c r="W179" s="1" t="s">
        <v>74</v>
      </c>
      <c r="X179" s="1" t="s">
        <v>74</v>
      </c>
      <c r="Y179" s="1" t="s">
        <v>74</v>
      </c>
      <c r="Z179" s="1" t="s">
        <v>74</v>
      </c>
      <c r="AA179" s="1" t="s">
        <v>74</v>
      </c>
      <c r="AB179" s="1" t="s">
        <v>74</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311</v>
      </c>
      <c r="AP179" s="1" t="s">
        <v>312</v>
      </c>
      <c r="AQ179" s="1" t="s">
        <v>74</v>
      </c>
      <c r="AR179" s="1" t="s">
        <v>74</v>
      </c>
      <c r="AS179" s="1" t="s">
        <v>74</v>
      </c>
      <c r="AT179" s="1" t="s">
        <v>464</v>
      </c>
      <c r="AU179" s="1">
        <v>2025.0</v>
      </c>
      <c r="AV179" s="1">
        <v>235.0</v>
      </c>
      <c r="AW179" s="1" t="s">
        <v>74</v>
      </c>
      <c r="AX179" s="1" t="s">
        <v>74</v>
      </c>
      <c r="AY179" s="1" t="s">
        <v>74</v>
      </c>
      <c r="AZ179" s="1" t="s">
        <v>74</v>
      </c>
      <c r="BA179" s="1" t="s">
        <v>74</v>
      </c>
      <c r="BB179" s="1" t="s">
        <v>74</v>
      </c>
      <c r="BC179" s="1" t="s">
        <v>74</v>
      </c>
      <c r="BD179" s="1">
        <v>110396.0</v>
      </c>
      <c r="BE179" s="1" t="s">
        <v>1840</v>
      </c>
      <c r="BF179" s="2" t="str">
        <f>HYPERLINK("http://dx.doi.org/10.1016/j.compag.2025.110396","http://dx.doi.org/10.1016/j.compag.2025.110396")</f>
        <v>http://dx.doi.org/10.1016/j.compag.2025.110396</v>
      </c>
      <c r="BG179" s="1" t="s">
        <v>74</v>
      </c>
      <c r="BH179" s="1" t="s">
        <v>526</v>
      </c>
      <c r="BI179" s="1" t="s">
        <v>74</v>
      </c>
      <c r="BJ179" s="1" t="s">
        <v>74</v>
      </c>
      <c r="BK179" s="1" t="s">
        <v>74</v>
      </c>
      <c r="BL179" s="1" t="s">
        <v>315</v>
      </c>
      <c r="BM179" s="1" t="s">
        <v>74</v>
      </c>
      <c r="BN179" s="1" t="s">
        <v>74</v>
      </c>
      <c r="BO179" s="1" t="s">
        <v>74</v>
      </c>
      <c r="BP179" s="1" t="s">
        <v>74</v>
      </c>
      <c r="BQ179" s="1" t="s">
        <v>74</v>
      </c>
      <c r="BR179" s="1" t="s">
        <v>74</v>
      </c>
      <c r="BS179" s="1" t="s">
        <v>1841</v>
      </c>
      <c r="BT179" s="1" t="str">
        <f>HYPERLINK("https%3A%2F%2Fwww.webofscience.com%2Fwos%2Fwoscc%2Ffull-record%2FWOS:001476581200001","View Full Record in Web of Science")</f>
        <v>View Full Record in Web of Science</v>
      </c>
    </row>
    <row r="180" ht="12.75" customHeight="1">
      <c r="A180" s="1" t="s">
        <v>72</v>
      </c>
      <c r="B180" s="1" t="s">
        <v>1842</v>
      </c>
      <c r="C180" s="1" t="s">
        <v>74</v>
      </c>
      <c r="D180" s="1" t="s">
        <v>74</v>
      </c>
      <c r="E180" s="1" t="s">
        <v>74</v>
      </c>
      <c r="F180" s="1" t="s">
        <v>1843</v>
      </c>
      <c r="G180" s="1" t="s">
        <v>74</v>
      </c>
      <c r="H180" s="1" t="s">
        <v>74</v>
      </c>
      <c r="I180" s="1" t="s">
        <v>1844</v>
      </c>
      <c r="J180" s="1" t="s">
        <v>985</v>
      </c>
      <c r="K180" s="1" t="s">
        <v>74</v>
      </c>
      <c r="L180" s="1" t="s">
        <v>74</v>
      </c>
      <c r="M180" s="1" t="s">
        <v>74</v>
      </c>
      <c r="N180" s="1" t="s">
        <v>78</v>
      </c>
      <c r="O180" s="1" t="s">
        <v>74</v>
      </c>
      <c r="P180" s="1" t="s">
        <v>74</v>
      </c>
      <c r="Q180" s="1" t="s">
        <v>74</v>
      </c>
      <c r="R180" s="1" t="s">
        <v>74</v>
      </c>
      <c r="S180" s="1" t="s">
        <v>74</v>
      </c>
      <c r="T180" s="1" t="s">
        <v>1845</v>
      </c>
      <c r="U180" s="1" t="s">
        <v>1846</v>
      </c>
      <c r="V180" s="1" t="s">
        <v>1847</v>
      </c>
      <c r="W180" s="1" t="s">
        <v>74</v>
      </c>
      <c r="X180" s="1" t="s">
        <v>74</v>
      </c>
      <c r="Y180" s="1" t="s">
        <v>74</v>
      </c>
      <c r="Z180" s="1" t="s">
        <v>74</v>
      </c>
      <c r="AA180" s="1" t="s">
        <v>74</v>
      </c>
      <c r="AB180" s="1" t="s">
        <v>74</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988</v>
      </c>
      <c r="AP180" s="1" t="s">
        <v>989</v>
      </c>
      <c r="AQ180" s="1" t="s">
        <v>74</v>
      </c>
      <c r="AR180" s="1" t="s">
        <v>74</v>
      </c>
      <c r="AS180" s="1" t="s">
        <v>74</v>
      </c>
      <c r="AT180" s="1" t="s">
        <v>124</v>
      </c>
      <c r="AU180" s="1">
        <v>2024.0</v>
      </c>
      <c r="AV180" s="1">
        <v>15.0</v>
      </c>
      <c r="AW180" s="1">
        <v>4.0</v>
      </c>
      <c r="AX180" s="1" t="s">
        <v>74</v>
      </c>
      <c r="AY180" s="1" t="s">
        <v>74</v>
      </c>
      <c r="AZ180" s="1" t="s">
        <v>74</v>
      </c>
      <c r="BA180" s="1" t="s">
        <v>74</v>
      </c>
      <c r="BB180" s="1">
        <v>353.0</v>
      </c>
      <c r="BC180" s="1">
        <v>364.0</v>
      </c>
      <c r="BD180" s="1" t="s">
        <v>74</v>
      </c>
      <c r="BE180" s="1" t="s">
        <v>74</v>
      </c>
      <c r="BF180" s="1" t="s">
        <v>74</v>
      </c>
      <c r="BG180" s="1" t="s">
        <v>74</v>
      </c>
      <c r="BH180" s="1" t="s">
        <v>74</v>
      </c>
      <c r="BI180" s="1" t="s">
        <v>74</v>
      </c>
      <c r="BJ180" s="1" t="s">
        <v>74</v>
      </c>
      <c r="BK180" s="1" t="s">
        <v>74</v>
      </c>
      <c r="BL180" s="1" t="s">
        <v>174</v>
      </c>
      <c r="BM180" s="1" t="s">
        <v>74</v>
      </c>
      <c r="BN180" s="1" t="s">
        <v>74</v>
      </c>
      <c r="BO180" s="1" t="s">
        <v>74</v>
      </c>
      <c r="BP180" s="1" t="s">
        <v>74</v>
      </c>
      <c r="BQ180" s="1" t="s">
        <v>74</v>
      </c>
      <c r="BR180" s="1" t="s">
        <v>74</v>
      </c>
      <c r="BS180" s="1" t="s">
        <v>1848</v>
      </c>
      <c r="BT180" s="1" t="str">
        <f>HYPERLINK("https%3A%2F%2Fwww.webofscience.com%2Fwos%2Fwoscc%2Ffull-record%2FWOS:001317491800036","View Full Record in Web of Science")</f>
        <v>View Full Record in Web of Science</v>
      </c>
    </row>
    <row r="181" ht="12.75" customHeight="1">
      <c r="A181" s="1" t="s">
        <v>72</v>
      </c>
      <c r="B181" s="1" t="s">
        <v>1849</v>
      </c>
      <c r="C181" s="1" t="s">
        <v>74</v>
      </c>
      <c r="D181" s="1" t="s">
        <v>74</v>
      </c>
      <c r="E181" s="1" t="s">
        <v>74</v>
      </c>
      <c r="F181" s="1" t="s">
        <v>1850</v>
      </c>
      <c r="G181" s="1" t="s">
        <v>74</v>
      </c>
      <c r="H181" s="1" t="s">
        <v>74</v>
      </c>
      <c r="I181" s="1" t="s">
        <v>1851</v>
      </c>
      <c r="J181" s="1" t="s">
        <v>1852</v>
      </c>
      <c r="K181" s="1" t="s">
        <v>74</v>
      </c>
      <c r="L181" s="1" t="s">
        <v>74</v>
      </c>
      <c r="M181" s="1" t="s">
        <v>74</v>
      </c>
      <c r="N181" s="1" t="s">
        <v>78</v>
      </c>
      <c r="O181" s="1" t="s">
        <v>74</v>
      </c>
      <c r="P181" s="1" t="s">
        <v>74</v>
      </c>
      <c r="Q181" s="1" t="s">
        <v>74</v>
      </c>
      <c r="R181" s="1" t="s">
        <v>74</v>
      </c>
      <c r="S181" s="1" t="s">
        <v>74</v>
      </c>
      <c r="T181" s="1" t="s">
        <v>1853</v>
      </c>
      <c r="U181" s="1" t="s">
        <v>74</v>
      </c>
      <c r="V181" s="1" t="s">
        <v>1854</v>
      </c>
      <c r="W181" s="1" t="s">
        <v>74</v>
      </c>
      <c r="X181" s="1" t="s">
        <v>74</v>
      </c>
      <c r="Y181" s="1" t="s">
        <v>74</v>
      </c>
      <c r="Z181" s="1" t="s">
        <v>74</v>
      </c>
      <c r="AA181" s="1" t="s">
        <v>74</v>
      </c>
      <c r="AB181" s="1" t="s">
        <v>74</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1855</v>
      </c>
      <c r="AP181" s="1" t="s">
        <v>1856</v>
      </c>
      <c r="AQ181" s="1" t="s">
        <v>74</v>
      </c>
      <c r="AR181" s="1" t="s">
        <v>74</v>
      </c>
      <c r="AS181" s="1" t="s">
        <v>74</v>
      </c>
      <c r="AT181" s="1" t="s">
        <v>200</v>
      </c>
      <c r="AU181" s="1">
        <v>2024.0</v>
      </c>
      <c r="AV181" s="1">
        <v>10.0</v>
      </c>
      <c r="AW181" s="1">
        <v>4.0</v>
      </c>
      <c r="AX181" s="1" t="s">
        <v>74</v>
      </c>
      <c r="AY181" s="1" t="s">
        <v>74</v>
      </c>
      <c r="AZ181" s="1" t="s">
        <v>74</v>
      </c>
      <c r="BA181" s="1" t="s">
        <v>74</v>
      </c>
      <c r="BB181" s="1">
        <v>350.0</v>
      </c>
      <c r="BC181" s="1">
        <v>366.0</v>
      </c>
      <c r="BD181" s="1" t="s">
        <v>74</v>
      </c>
      <c r="BE181" s="1" t="s">
        <v>1857</v>
      </c>
      <c r="BF181" s="2" t="str">
        <f>HYPERLINK("http://dx.doi.org/10.5455/jjcit.71-1704878720","http://dx.doi.org/10.5455/jjcit.71-1704878720")</f>
        <v>http://dx.doi.org/10.5455/jjcit.71-1704878720</v>
      </c>
      <c r="BG181" s="1" t="s">
        <v>74</v>
      </c>
      <c r="BH181" s="1" t="s">
        <v>74</v>
      </c>
      <c r="BI181" s="1" t="s">
        <v>74</v>
      </c>
      <c r="BJ181" s="1" t="s">
        <v>74</v>
      </c>
      <c r="BK181" s="1" t="s">
        <v>74</v>
      </c>
      <c r="BL181" s="1" t="s">
        <v>394</v>
      </c>
      <c r="BM181" s="1" t="s">
        <v>74</v>
      </c>
      <c r="BN181" s="1" t="s">
        <v>74</v>
      </c>
      <c r="BO181" s="1" t="s">
        <v>153</v>
      </c>
      <c r="BP181" s="1" t="s">
        <v>74</v>
      </c>
      <c r="BQ181" s="1" t="s">
        <v>74</v>
      </c>
      <c r="BR181" s="1" t="s">
        <v>74</v>
      </c>
      <c r="BS181" s="1" t="s">
        <v>1858</v>
      </c>
      <c r="BT181" s="1" t="str">
        <f>HYPERLINK("https%3A%2F%2Fwww.webofscience.com%2Fwos%2Fwoscc%2Ffull-record%2FWOS:001408795900001","View Full Record in Web of Science")</f>
        <v>View Full Record in Web of Science</v>
      </c>
    </row>
    <row r="182" ht="12.75" customHeight="1">
      <c r="A182" s="1" t="s">
        <v>72</v>
      </c>
      <c r="B182" s="1" t="s">
        <v>1859</v>
      </c>
      <c r="C182" s="1" t="s">
        <v>74</v>
      </c>
      <c r="D182" s="1" t="s">
        <v>74</v>
      </c>
      <c r="E182" s="1" t="s">
        <v>74</v>
      </c>
      <c r="F182" s="1" t="s">
        <v>1860</v>
      </c>
      <c r="G182" s="1" t="s">
        <v>74</v>
      </c>
      <c r="H182" s="1" t="s">
        <v>74</v>
      </c>
      <c r="I182" s="1" t="s">
        <v>1861</v>
      </c>
      <c r="J182" s="1" t="s">
        <v>103</v>
      </c>
      <c r="K182" s="1" t="s">
        <v>74</v>
      </c>
      <c r="L182" s="1" t="s">
        <v>74</v>
      </c>
      <c r="M182" s="1" t="s">
        <v>74</v>
      </c>
      <c r="N182" s="1" t="s">
        <v>78</v>
      </c>
      <c r="O182" s="1" t="s">
        <v>74</v>
      </c>
      <c r="P182" s="1" t="s">
        <v>74</v>
      </c>
      <c r="Q182" s="1" t="s">
        <v>74</v>
      </c>
      <c r="R182" s="1" t="s">
        <v>74</v>
      </c>
      <c r="S182" s="1" t="s">
        <v>74</v>
      </c>
      <c r="T182" s="1" t="s">
        <v>1862</v>
      </c>
      <c r="U182" s="1" t="s">
        <v>74</v>
      </c>
      <c r="V182" s="1" t="s">
        <v>1863</v>
      </c>
      <c r="W182" s="1" t="s">
        <v>74</v>
      </c>
      <c r="X182" s="1" t="s">
        <v>74</v>
      </c>
      <c r="Y182" s="1" t="s">
        <v>74</v>
      </c>
      <c r="Z182" s="1" t="s">
        <v>74</v>
      </c>
      <c r="AA182" s="1" t="s">
        <v>74</v>
      </c>
      <c r="AB182" s="1" t="s">
        <v>74</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107</v>
      </c>
      <c r="AP182" s="1" t="s">
        <v>108</v>
      </c>
      <c r="AQ182" s="1" t="s">
        <v>74</v>
      </c>
      <c r="AR182" s="1" t="s">
        <v>74</v>
      </c>
      <c r="AS182" s="1" t="s">
        <v>74</v>
      </c>
      <c r="AT182" s="1" t="s">
        <v>1864</v>
      </c>
      <c r="AU182" s="1">
        <v>2025.0</v>
      </c>
      <c r="AV182" s="1">
        <v>162.0</v>
      </c>
      <c r="AW182" s="1" t="s">
        <v>74</v>
      </c>
      <c r="AX182" s="1" t="s">
        <v>1865</v>
      </c>
      <c r="AY182" s="1" t="s">
        <v>74</v>
      </c>
      <c r="AZ182" s="1" t="s">
        <v>74</v>
      </c>
      <c r="BA182" s="1" t="s">
        <v>74</v>
      </c>
      <c r="BB182" s="1" t="s">
        <v>74</v>
      </c>
      <c r="BC182" s="1" t="s">
        <v>74</v>
      </c>
      <c r="BD182" s="1">
        <v>112726.0</v>
      </c>
      <c r="BE182" s="1" t="s">
        <v>1866</v>
      </c>
      <c r="BF182" s="2" t="str">
        <f>HYPERLINK("http://dx.doi.org/10.1016/j.engappai.2025.112726","http://dx.doi.org/10.1016/j.engappai.2025.112726")</f>
        <v>http://dx.doi.org/10.1016/j.engappai.2025.112726</v>
      </c>
      <c r="BG182" s="1" t="s">
        <v>74</v>
      </c>
      <c r="BH182" s="1" t="s">
        <v>811</v>
      </c>
      <c r="BI182" s="1" t="s">
        <v>74</v>
      </c>
      <c r="BJ182" s="1" t="s">
        <v>74</v>
      </c>
      <c r="BK182" s="1" t="s">
        <v>74</v>
      </c>
      <c r="BL182" s="1" t="s">
        <v>113</v>
      </c>
      <c r="BM182" s="1" t="s">
        <v>74</v>
      </c>
      <c r="BN182" s="1" t="s">
        <v>74</v>
      </c>
      <c r="BO182" s="1" t="s">
        <v>74</v>
      </c>
      <c r="BP182" s="1" t="s">
        <v>74</v>
      </c>
      <c r="BQ182" s="1" t="s">
        <v>74</v>
      </c>
      <c r="BR182" s="1" t="s">
        <v>74</v>
      </c>
      <c r="BS182" s="1" t="s">
        <v>1867</v>
      </c>
      <c r="BT182" s="1" t="str">
        <f>HYPERLINK("https%3A%2F%2Fwww.webofscience.com%2Fwos%2Fwoscc%2Ffull-record%2FWOS:001599364500007","View Full Record in Web of Science")</f>
        <v>View Full Record in Web of Science</v>
      </c>
    </row>
    <row r="183" ht="12.75" customHeight="1">
      <c r="A183" s="1" t="s">
        <v>72</v>
      </c>
      <c r="B183" s="1" t="s">
        <v>1868</v>
      </c>
      <c r="C183" s="1" t="s">
        <v>74</v>
      </c>
      <c r="D183" s="1" t="s">
        <v>74</v>
      </c>
      <c r="E183" s="1" t="s">
        <v>74</v>
      </c>
      <c r="F183" s="1" t="s">
        <v>1869</v>
      </c>
      <c r="G183" s="1" t="s">
        <v>74</v>
      </c>
      <c r="H183" s="1" t="s">
        <v>74</v>
      </c>
      <c r="I183" s="1" t="s">
        <v>1870</v>
      </c>
      <c r="J183" s="1" t="s">
        <v>966</v>
      </c>
      <c r="K183" s="1" t="s">
        <v>74</v>
      </c>
      <c r="L183" s="1" t="s">
        <v>74</v>
      </c>
      <c r="M183" s="1" t="s">
        <v>74</v>
      </c>
      <c r="N183" s="1" t="s">
        <v>78</v>
      </c>
      <c r="O183" s="1" t="s">
        <v>74</v>
      </c>
      <c r="P183" s="1" t="s">
        <v>74</v>
      </c>
      <c r="Q183" s="1" t="s">
        <v>74</v>
      </c>
      <c r="R183" s="1" t="s">
        <v>74</v>
      </c>
      <c r="S183" s="1" t="s">
        <v>74</v>
      </c>
      <c r="T183" s="1" t="s">
        <v>1871</v>
      </c>
      <c r="U183" s="1" t="s">
        <v>74</v>
      </c>
      <c r="V183" s="1" t="s">
        <v>1872</v>
      </c>
      <c r="W183" s="1" t="s">
        <v>74</v>
      </c>
      <c r="X183" s="1" t="s">
        <v>74</v>
      </c>
      <c r="Y183" s="1" t="s">
        <v>74</v>
      </c>
      <c r="Z183" s="1" t="s">
        <v>74</v>
      </c>
      <c r="AA183" s="1" t="s">
        <v>74</v>
      </c>
      <c r="AB183" s="1" t="s">
        <v>74</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969</v>
      </c>
      <c r="AP183" s="1" t="s">
        <v>970</v>
      </c>
      <c r="AQ183" s="1" t="s">
        <v>74</v>
      </c>
      <c r="AR183" s="1" t="s">
        <v>74</v>
      </c>
      <c r="AS183" s="1" t="s">
        <v>74</v>
      </c>
      <c r="AT183" s="1" t="s">
        <v>1873</v>
      </c>
      <c r="AU183" s="1">
        <v>2025.0</v>
      </c>
      <c r="AV183" s="1">
        <v>319.0</v>
      </c>
      <c r="AW183" s="1" t="s">
        <v>74</v>
      </c>
      <c r="AX183" s="1" t="s">
        <v>74</v>
      </c>
      <c r="AY183" s="1" t="s">
        <v>74</v>
      </c>
      <c r="AZ183" s="1" t="s">
        <v>74</v>
      </c>
      <c r="BA183" s="1" t="s">
        <v>74</v>
      </c>
      <c r="BB183" s="1" t="s">
        <v>74</v>
      </c>
      <c r="BC183" s="1" t="s">
        <v>74</v>
      </c>
      <c r="BD183" s="1">
        <v>113630.0</v>
      </c>
      <c r="BE183" s="1" t="s">
        <v>1874</v>
      </c>
      <c r="BF183" s="2" t="str">
        <f>HYPERLINK("http://dx.doi.org/10.1016/j.knosys.2025.113630","http://dx.doi.org/10.1016/j.knosys.2025.113630")</f>
        <v>http://dx.doi.org/10.1016/j.knosys.2025.113630</v>
      </c>
      <c r="BG183" s="1" t="s">
        <v>74</v>
      </c>
      <c r="BH183" s="1" t="s">
        <v>1150</v>
      </c>
      <c r="BI183" s="1" t="s">
        <v>74</v>
      </c>
      <c r="BJ183" s="1" t="s">
        <v>74</v>
      </c>
      <c r="BK183" s="1" t="s">
        <v>74</v>
      </c>
      <c r="BL183" s="1" t="s">
        <v>174</v>
      </c>
      <c r="BM183" s="1" t="s">
        <v>74</v>
      </c>
      <c r="BN183" s="1" t="s">
        <v>74</v>
      </c>
      <c r="BO183" s="1" t="s">
        <v>74</v>
      </c>
      <c r="BP183" s="1" t="s">
        <v>74</v>
      </c>
      <c r="BQ183" s="1" t="s">
        <v>74</v>
      </c>
      <c r="BR183" s="1" t="s">
        <v>74</v>
      </c>
      <c r="BS183" s="1" t="s">
        <v>1875</v>
      </c>
      <c r="BT183" s="1" t="str">
        <f>HYPERLINK("https%3A%2F%2Fwww.webofscience.com%2Fwos%2Fwoscc%2Ffull-record%2FWOS:001510288700001","View Full Record in Web of Science")</f>
        <v>View Full Record in Web of Science</v>
      </c>
    </row>
    <row r="184" ht="12.75" customHeight="1">
      <c r="A184" s="1" t="s">
        <v>72</v>
      </c>
      <c r="B184" s="1" t="s">
        <v>1876</v>
      </c>
      <c r="C184" s="1" t="s">
        <v>74</v>
      </c>
      <c r="D184" s="1" t="s">
        <v>74</v>
      </c>
      <c r="E184" s="1" t="s">
        <v>74</v>
      </c>
      <c r="F184" s="1" t="s">
        <v>1877</v>
      </c>
      <c r="G184" s="1" t="s">
        <v>74</v>
      </c>
      <c r="H184" s="1" t="s">
        <v>74</v>
      </c>
      <c r="I184" s="1" t="s">
        <v>1878</v>
      </c>
      <c r="J184" s="1" t="s">
        <v>147</v>
      </c>
      <c r="K184" s="1" t="s">
        <v>74</v>
      </c>
      <c r="L184" s="1" t="s">
        <v>74</v>
      </c>
      <c r="M184" s="1" t="s">
        <v>74</v>
      </c>
      <c r="N184" s="1" t="s">
        <v>78</v>
      </c>
      <c r="O184" s="1" t="s">
        <v>74</v>
      </c>
      <c r="P184" s="1" t="s">
        <v>74</v>
      </c>
      <c r="Q184" s="1" t="s">
        <v>74</v>
      </c>
      <c r="R184" s="1" t="s">
        <v>74</v>
      </c>
      <c r="S184" s="1" t="s">
        <v>74</v>
      </c>
      <c r="T184" s="1" t="s">
        <v>1879</v>
      </c>
      <c r="U184" s="1" t="s">
        <v>74</v>
      </c>
      <c r="V184" s="1" t="s">
        <v>1880</v>
      </c>
      <c r="W184" s="1" t="s">
        <v>74</v>
      </c>
      <c r="X184" s="1" t="s">
        <v>74</v>
      </c>
      <c r="Y184" s="1" t="s">
        <v>74</v>
      </c>
      <c r="Z184" s="1" t="s">
        <v>74</v>
      </c>
      <c r="AA184" s="1" t="s">
        <v>74</v>
      </c>
      <c r="AB184" s="1" t="s">
        <v>74</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150</v>
      </c>
      <c r="AP184" s="1" t="s">
        <v>74</v>
      </c>
      <c r="AQ184" s="1" t="s">
        <v>74</v>
      </c>
      <c r="AR184" s="1" t="s">
        <v>74</v>
      </c>
      <c r="AS184" s="1" t="s">
        <v>74</v>
      </c>
      <c r="AT184" s="1" t="s">
        <v>74</v>
      </c>
      <c r="AU184" s="1">
        <v>2025.0</v>
      </c>
      <c r="AV184" s="1">
        <v>13.0</v>
      </c>
      <c r="AW184" s="1" t="s">
        <v>74</v>
      </c>
      <c r="AX184" s="1" t="s">
        <v>74</v>
      </c>
      <c r="AY184" s="1" t="s">
        <v>74</v>
      </c>
      <c r="AZ184" s="1" t="s">
        <v>74</v>
      </c>
      <c r="BA184" s="1" t="s">
        <v>74</v>
      </c>
      <c r="BB184" s="1">
        <v>73076.0</v>
      </c>
      <c r="BC184" s="1">
        <v>73095.0</v>
      </c>
      <c r="BD184" s="1" t="s">
        <v>74</v>
      </c>
      <c r="BE184" s="1" t="s">
        <v>1881</v>
      </c>
      <c r="BF184" s="2" t="str">
        <f>HYPERLINK("http://dx.doi.org/10.1109/ACCESS.2025.3564511","http://dx.doi.org/10.1109/ACCESS.2025.3564511")</f>
        <v>http://dx.doi.org/10.1109/ACCESS.2025.3564511</v>
      </c>
      <c r="BG184" s="1" t="s">
        <v>74</v>
      </c>
      <c r="BH184" s="1" t="s">
        <v>74</v>
      </c>
      <c r="BI184" s="1" t="s">
        <v>74</v>
      </c>
      <c r="BJ184" s="1" t="s">
        <v>74</v>
      </c>
      <c r="BK184" s="1" t="s">
        <v>74</v>
      </c>
      <c r="BL184" s="1" t="s">
        <v>152</v>
      </c>
      <c r="BM184" s="1" t="s">
        <v>74</v>
      </c>
      <c r="BN184" s="1" t="s">
        <v>74</v>
      </c>
      <c r="BO184" s="1" t="s">
        <v>153</v>
      </c>
      <c r="BP184" s="1" t="s">
        <v>74</v>
      </c>
      <c r="BQ184" s="1" t="s">
        <v>74</v>
      </c>
      <c r="BR184" s="1" t="s">
        <v>74</v>
      </c>
      <c r="BS184" s="1" t="s">
        <v>1882</v>
      </c>
      <c r="BT184" s="1" t="str">
        <f>HYPERLINK("https%3A%2F%2Fwww.webofscience.com%2Fwos%2Fwoscc%2Ffull-record%2FWOS:001481864700029","View Full Record in Web of Science")</f>
        <v>View Full Record in Web of Science</v>
      </c>
    </row>
    <row r="185" ht="12.75" customHeight="1">
      <c r="A185" s="1" t="s">
        <v>72</v>
      </c>
      <c r="B185" s="1" t="s">
        <v>1883</v>
      </c>
      <c r="C185" s="1" t="s">
        <v>74</v>
      </c>
      <c r="D185" s="1" t="s">
        <v>74</v>
      </c>
      <c r="E185" s="1" t="s">
        <v>74</v>
      </c>
      <c r="F185" s="1" t="s">
        <v>1884</v>
      </c>
      <c r="G185" s="1" t="s">
        <v>74</v>
      </c>
      <c r="H185" s="1" t="s">
        <v>74</v>
      </c>
      <c r="I185" s="1" t="s">
        <v>1885</v>
      </c>
      <c r="J185" s="1" t="s">
        <v>1886</v>
      </c>
      <c r="K185" s="1" t="s">
        <v>74</v>
      </c>
      <c r="L185" s="1" t="s">
        <v>74</v>
      </c>
      <c r="M185" s="1" t="s">
        <v>74</v>
      </c>
      <c r="N185" s="1" t="s">
        <v>78</v>
      </c>
      <c r="O185" s="1" t="s">
        <v>74</v>
      </c>
      <c r="P185" s="1" t="s">
        <v>74</v>
      </c>
      <c r="Q185" s="1" t="s">
        <v>74</v>
      </c>
      <c r="R185" s="1" t="s">
        <v>74</v>
      </c>
      <c r="S185" s="1" t="s">
        <v>74</v>
      </c>
      <c r="T185" s="1" t="s">
        <v>1887</v>
      </c>
      <c r="U185" s="1" t="s">
        <v>74</v>
      </c>
      <c r="V185" s="1" t="s">
        <v>1888</v>
      </c>
      <c r="W185" s="1" t="s">
        <v>74</v>
      </c>
      <c r="X185" s="1" t="s">
        <v>74</v>
      </c>
      <c r="Y185" s="1" t="s">
        <v>74</v>
      </c>
      <c r="Z185" s="1" t="s">
        <v>74</v>
      </c>
      <c r="AA185" s="1" t="s">
        <v>74</v>
      </c>
      <c r="AB185" s="1" t="s">
        <v>74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1889</v>
      </c>
      <c r="AP185" s="1" t="s">
        <v>1890</v>
      </c>
      <c r="AQ185" s="1" t="s">
        <v>74</v>
      </c>
      <c r="AR185" s="1" t="s">
        <v>74</v>
      </c>
      <c r="AS185" s="1" t="s">
        <v>74</v>
      </c>
      <c r="AT185" s="1" t="s">
        <v>1891</v>
      </c>
      <c r="AU185" s="1">
        <v>2025.0</v>
      </c>
      <c r="AV185" s="1">
        <v>30.0</v>
      </c>
      <c r="AW185" s="1">
        <v>1.0</v>
      </c>
      <c r="AX185" s="1" t="s">
        <v>74</v>
      </c>
      <c r="AY185" s="1" t="s">
        <v>74</v>
      </c>
      <c r="AZ185" s="1" t="s">
        <v>74</v>
      </c>
      <c r="BA185" s="1" t="s">
        <v>74</v>
      </c>
      <c r="BB185" s="1">
        <v>85.0</v>
      </c>
      <c r="BC185" s="1">
        <v>90.0</v>
      </c>
      <c r="BD185" s="1" t="s">
        <v>74</v>
      </c>
      <c r="BE185" s="1" t="s">
        <v>1892</v>
      </c>
      <c r="BF185" s="2" t="str">
        <f>HYPERLINK("http://dx.doi.org/10.2478/acss-2025-0010","http://dx.doi.org/10.2478/acss-2025-0010")</f>
        <v>http://dx.doi.org/10.2478/acss-2025-0010</v>
      </c>
      <c r="BG185" s="1" t="s">
        <v>74</v>
      </c>
      <c r="BH185" s="1" t="s">
        <v>74</v>
      </c>
      <c r="BI185" s="1" t="s">
        <v>74</v>
      </c>
      <c r="BJ185" s="1" t="s">
        <v>74</v>
      </c>
      <c r="BK185" s="1" t="s">
        <v>74</v>
      </c>
      <c r="BL185" s="1" t="s">
        <v>174</v>
      </c>
      <c r="BM185" s="1" t="s">
        <v>74</v>
      </c>
      <c r="BN185" s="1" t="s">
        <v>74</v>
      </c>
      <c r="BO185" s="1" t="s">
        <v>153</v>
      </c>
      <c r="BP185" s="1" t="s">
        <v>74</v>
      </c>
      <c r="BQ185" s="1" t="s">
        <v>74</v>
      </c>
      <c r="BR185" s="1" t="s">
        <v>74</v>
      </c>
      <c r="BS185" s="1" t="s">
        <v>1893</v>
      </c>
      <c r="BT185" s="1" t="str">
        <f>HYPERLINK("https%3A%2F%2Fwww.webofscience.com%2Fwos%2Fwoscc%2Ffull-record%2FWOS:001500774900001","View Full Record in Web of Science")</f>
        <v>View Full Record in Web of Science</v>
      </c>
    </row>
    <row r="186" ht="12.75" customHeight="1">
      <c r="A186" s="1" t="s">
        <v>72</v>
      </c>
      <c r="B186" s="1" t="s">
        <v>1894</v>
      </c>
      <c r="C186" s="1" t="s">
        <v>74</v>
      </c>
      <c r="D186" s="1" t="s">
        <v>74</v>
      </c>
      <c r="E186" s="1" t="s">
        <v>74</v>
      </c>
      <c r="F186" s="1" t="s">
        <v>1895</v>
      </c>
      <c r="G186" s="1" t="s">
        <v>74</v>
      </c>
      <c r="H186" s="1" t="s">
        <v>74</v>
      </c>
      <c r="I186" s="1" t="s">
        <v>1896</v>
      </c>
      <c r="J186" s="1" t="s">
        <v>569</v>
      </c>
      <c r="K186" s="1" t="s">
        <v>74</v>
      </c>
      <c r="L186" s="1" t="s">
        <v>74</v>
      </c>
      <c r="M186" s="1" t="s">
        <v>74</v>
      </c>
      <c r="N186" s="1" t="s">
        <v>78</v>
      </c>
      <c r="O186" s="1" t="s">
        <v>74</v>
      </c>
      <c r="P186" s="1" t="s">
        <v>74</v>
      </c>
      <c r="Q186" s="1" t="s">
        <v>74</v>
      </c>
      <c r="R186" s="1" t="s">
        <v>74</v>
      </c>
      <c r="S186" s="1" t="s">
        <v>74</v>
      </c>
      <c r="T186" s="1" t="s">
        <v>1897</v>
      </c>
      <c r="U186" s="1" t="s">
        <v>74</v>
      </c>
      <c r="V186" s="1" t="s">
        <v>1898</v>
      </c>
      <c r="W186" s="1" t="s">
        <v>74</v>
      </c>
      <c r="X186" s="1" t="s">
        <v>74</v>
      </c>
      <c r="Y186" s="1" t="s">
        <v>74</v>
      </c>
      <c r="Z186" s="1" t="s">
        <v>74</v>
      </c>
      <c r="AA186" s="1" t="s">
        <v>74</v>
      </c>
      <c r="AB186" s="1" t="s">
        <v>74</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572</v>
      </c>
      <c r="AP186" s="1" t="s">
        <v>573</v>
      </c>
      <c r="AQ186" s="1" t="s">
        <v>74</v>
      </c>
      <c r="AR186" s="1" t="s">
        <v>74</v>
      </c>
      <c r="AS186" s="1" t="s">
        <v>74</v>
      </c>
      <c r="AT186" s="1" t="s">
        <v>1193</v>
      </c>
      <c r="AU186" s="1">
        <v>2026.0</v>
      </c>
      <c r="AV186" s="1">
        <v>59.0</v>
      </c>
      <c r="AW186" s="1">
        <v>2.0</v>
      </c>
      <c r="AX186" s="1" t="s">
        <v>74</v>
      </c>
      <c r="AY186" s="1" t="s">
        <v>74</v>
      </c>
      <c r="AZ186" s="1" t="s">
        <v>74</v>
      </c>
      <c r="BA186" s="1" t="s">
        <v>74</v>
      </c>
      <c r="BB186" s="1" t="s">
        <v>74</v>
      </c>
      <c r="BC186" s="1" t="s">
        <v>74</v>
      </c>
      <c r="BD186" s="1">
        <v>71.0</v>
      </c>
      <c r="BE186" s="1" t="s">
        <v>1899</v>
      </c>
      <c r="BF186" s="2" t="str">
        <f>HYPERLINK("http://dx.doi.org/10.1007/s10462-025-11471-9","http://dx.doi.org/10.1007/s10462-025-11471-9")</f>
        <v>http://dx.doi.org/10.1007/s10462-025-11471-9</v>
      </c>
      <c r="BG186" s="1" t="s">
        <v>74</v>
      </c>
      <c r="BH186" s="1" t="s">
        <v>74</v>
      </c>
      <c r="BI186" s="1" t="s">
        <v>74</v>
      </c>
      <c r="BJ186" s="1" t="s">
        <v>74</v>
      </c>
      <c r="BK186" s="1" t="s">
        <v>74</v>
      </c>
      <c r="BL186" s="1" t="s">
        <v>174</v>
      </c>
      <c r="BM186" s="1" t="s">
        <v>74</v>
      </c>
      <c r="BN186" s="1" t="s">
        <v>74</v>
      </c>
      <c r="BO186" s="1" t="s">
        <v>576</v>
      </c>
      <c r="BP186" s="1" t="s">
        <v>74</v>
      </c>
      <c r="BQ186" s="1" t="s">
        <v>74</v>
      </c>
      <c r="BR186" s="1" t="s">
        <v>74</v>
      </c>
      <c r="BS186" s="1" t="s">
        <v>1900</v>
      </c>
      <c r="BT186" s="1" t="str">
        <f>HYPERLINK("https%3A%2F%2Fwww.webofscience.com%2Fwos%2Fwoscc%2Ffull-record%2FWOS:001666726700002","View Full Record in Web of Science")</f>
        <v>View Full Record in Web of Science</v>
      </c>
    </row>
    <row r="187" ht="12.75" customHeight="1">
      <c r="A187" s="1" t="s">
        <v>72</v>
      </c>
      <c r="B187" s="1" t="s">
        <v>1901</v>
      </c>
      <c r="C187" s="1" t="s">
        <v>74</v>
      </c>
      <c r="D187" s="1" t="s">
        <v>74</v>
      </c>
      <c r="E187" s="1" t="s">
        <v>74</v>
      </c>
      <c r="F187" s="1" t="s">
        <v>1902</v>
      </c>
      <c r="G187" s="1" t="s">
        <v>74</v>
      </c>
      <c r="H187" s="1" t="s">
        <v>74</v>
      </c>
      <c r="I187" s="1" t="s">
        <v>1903</v>
      </c>
      <c r="J187" s="1" t="s">
        <v>1904</v>
      </c>
      <c r="K187" s="1" t="s">
        <v>74</v>
      </c>
      <c r="L187" s="1" t="s">
        <v>74</v>
      </c>
      <c r="M187" s="1" t="s">
        <v>74</v>
      </c>
      <c r="N187" s="1" t="s">
        <v>158</v>
      </c>
      <c r="O187" s="1" t="s">
        <v>74</v>
      </c>
      <c r="P187" s="1" t="s">
        <v>74</v>
      </c>
      <c r="Q187" s="1" t="s">
        <v>74</v>
      </c>
      <c r="R187" s="1" t="s">
        <v>74</v>
      </c>
      <c r="S187" s="1" t="s">
        <v>74</v>
      </c>
      <c r="T187" s="1" t="s">
        <v>1905</v>
      </c>
      <c r="U187" s="1" t="s">
        <v>1906</v>
      </c>
      <c r="V187" s="1" t="s">
        <v>1907</v>
      </c>
      <c r="W187" s="1" t="s">
        <v>74</v>
      </c>
      <c r="X187" s="1" t="s">
        <v>74</v>
      </c>
      <c r="Y187" s="1" t="s">
        <v>74</v>
      </c>
      <c r="Z187" s="1" t="s">
        <v>74</v>
      </c>
      <c r="AA187" s="1" t="s">
        <v>74</v>
      </c>
      <c r="AB187" s="1" t="s">
        <v>74</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74</v>
      </c>
      <c r="AP187" s="1" t="s">
        <v>1908</v>
      </c>
      <c r="AQ187" s="1" t="s">
        <v>74</v>
      </c>
      <c r="AR187" s="1" t="s">
        <v>74</v>
      </c>
      <c r="AS187" s="1" t="s">
        <v>74</v>
      </c>
      <c r="AT187" s="1" t="s">
        <v>335</v>
      </c>
      <c r="AU187" s="1">
        <v>2024.0</v>
      </c>
      <c r="AV187" s="1">
        <v>4.0</v>
      </c>
      <c r="AW187" s="1">
        <v>2.0</v>
      </c>
      <c r="AX187" s="1" t="s">
        <v>74</v>
      </c>
      <c r="AY187" s="1" t="s">
        <v>74</v>
      </c>
      <c r="AZ187" s="1" t="s">
        <v>74</v>
      </c>
      <c r="BA187" s="1" t="s">
        <v>74</v>
      </c>
      <c r="BB187" s="1" t="s">
        <v>74</v>
      </c>
      <c r="BC187" s="1" t="s">
        <v>74</v>
      </c>
      <c r="BD187" s="1">
        <v>100211.0</v>
      </c>
      <c r="BE187" s="1" t="s">
        <v>1909</v>
      </c>
      <c r="BF187" s="2" t="str">
        <f>HYPERLINK("http://dx.doi.org/10.1016/j.hcc.2024.100211","http://dx.doi.org/10.1016/j.hcc.2024.100211")</f>
        <v>http://dx.doi.org/10.1016/j.hcc.2024.100211</v>
      </c>
      <c r="BG187" s="1" t="s">
        <v>74</v>
      </c>
      <c r="BH187" s="1" t="s">
        <v>74</v>
      </c>
      <c r="BI187" s="1" t="s">
        <v>74</v>
      </c>
      <c r="BJ187" s="1" t="s">
        <v>74</v>
      </c>
      <c r="BK187" s="1" t="s">
        <v>74</v>
      </c>
      <c r="BL187" s="1" t="s">
        <v>174</v>
      </c>
      <c r="BM187" s="1" t="s">
        <v>74</v>
      </c>
      <c r="BN187" s="1" t="s">
        <v>74</v>
      </c>
      <c r="BO187" s="1" t="s">
        <v>153</v>
      </c>
      <c r="BP187" s="1" t="s">
        <v>74</v>
      </c>
      <c r="BQ187" s="1" t="s">
        <v>74</v>
      </c>
      <c r="BR187" s="1" t="s">
        <v>74</v>
      </c>
      <c r="BS187" s="1" t="s">
        <v>1910</v>
      </c>
      <c r="BT187" s="1" t="str">
        <f>HYPERLINK("https%3A%2F%2Fwww.webofscience.com%2Fwos%2Fwoscc%2Ffull-record%2FWOS:001227924000001","View Full Record in Web of Science")</f>
        <v>View Full Record in Web of Science</v>
      </c>
    </row>
    <row r="188" ht="12.75" customHeight="1">
      <c r="A188" s="1" t="s">
        <v>72</v>
      </c>
      <c r="B188" s="1" t="s">
        <v>1911</v>
      </c>
      <c r="C188" s="1" t="s">
        <v>74</v>
      </c>
      <c r="D188" s="1" t="s">
        <v>74</v>
      </c>
      <c r="E188" s="1" t="s">
        <v>74</v>
      </c>
      <c r="F188" s="1" t="s">
        <v>1912</v>
      </c>
      <c r="G188" s="1" t="s">
        <v>74</v>
      </c>
      <c r="H188" s="1" t="s">
        <v>74</v>
      </c>
      <c r="I188" s="1" t="s">
        <v>1913</v>
      </c>
      <c r="J188" s="1" t="s">
        <v>1914</v>
      </c>
      <c r="K188" s="1" t="s">
        <v>74</v>
      </c>
      <c r="L188" s="1" t="s">
        <v>74</v>
      </c>
      <c r="M188" s="1" t="s">
        <v>74</v>
      </c>
      <c r="N188" s="1" t="s">
        <v>78</v>
      </c>
      <c r="O188" s="1" t="s">
        <v>74</v>
      </c>
      <c r="P188" s="1" t="s">
        <v>74</v>
      </c>
      <c r="Q188" s="1" t="s">
        <v>74</v>
      </c>
      <c r="R188" s="1" t="s">
        <v>74</v>
      </c>
      <c r="S188" s="1" t="s">
        <v>74</v>
      </c>
      <c r="T188" s="1" t="s">
        <v>1915</v>
      </c>
      <c r="U188" s="1" t="s">
        <v>74</v>
      </c>
      <c r="V188" s="1" t="s">
        <v>1916</v>
      </c>
      <c r="W188" s="1" t="s">
        <v>74</v>
      </c>
      <c r="X188" s="1" t="s">
        <v>74</v>
      </c>
      <c r="Y188" s="1" t="s">
        <v>74</v>
      </c>
      <c r="Z188" s="1" t="s">
        <v>74</v>
      </c>
      <c r="AA188" s="1" t="s">
        <v>74</v>
      </c>
      <c r="AB188" s="1" t="s">
        <v>74</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1917</v>
      </c>
      <c r="AP188" s="1" t="s">
        <v>1918</v>
      </c>
      <c r="AQ188" s="1" t="s">
        <v>74</v>
      </c>
      <c r="AR188" s="1" t="s">
        <v>74</v>
      </c>
      <c r="AS188" s="1" t="s">
        <v>74</v>
      </c>
      <c r="AT188" s="1" t="s">
        <v>172</v>
      </c>
      <c r="AU188" s="1">
        <v>2025.0</v>
      </c>
      <c r="AV188" s="1">
        <v>36.0</v>
      </c>
      <c r="AW188" s="1">
        <v>11.0</v>
      </c>
      <c r="AX188" s="1" t="s">
        <v>74</v>
      </c>
      <c r="AY188" s="1" t="s">
        <v>74</v>
      </c>
      <c r="AZ188" s="1" t="s">
        <v>74</v>
      </c>
      <c r="BA188" s="1" t="s">
        <v>74</v>
      </c>
      <c r="BB188" s="1">
        <v>19681.0</v>
      </c>
      <c r="BC188" s="1">
        <v>19692.0</v>
      </c>
      <c r="BD188" s="1" t="s">
        <v>74</v>
      </c>
      <c r="BE188" s="1" t="s">
        <v>1919</v>
      </c>
      <c r="BF188" s="2" t="str">
        <f>HYPERLINK("http://dx.doi.org/10.1109/TNNLS.2025.3590731","http://dx.doi.org/10.1109/TNNLS.2025.3590731")</f>
        <v>http://dx.doi.org/10.1109/TNNLS.2025.3590731</v>
      </c>
      <c r="BG188" s="1" t="s">
        <v>74</v>
      </c>
      <c r="BH188" s="1" t="s">
        <v>276</v>
      </c>
      <c r="BI188" s="1" t="s">
        <v>74</v>
      </c>
      <c r="BJ188" s="1" t="s">
        <v>74</v>
      </c>
      <c r="BK188" s="1" t="s">
        <v>74</v>
      </c>
      <c r="BL188" s="1" t="s">
        <v>98</v>
      </c>
      <c r="BM188" s="1" t="s">
        <v>74</v>
      </c>
      <c r="BN188" s="1" t="s">
        <v>74</v>
      </c>
      <c r="BO188" s="1" t="s">
        <v>74</v>
      </c>
      <c r="BP188" s="1" t="s">
        <v>74</v>
      </c>
      <c r="BQ188" s="1" t="s">
        <v>74</v>
      </c>
      <c r="BR188" s="1" t="s">
        <v>74</v>
      </c>
      <c r="BS188" s="1" t="s">
        <v>1920</v>
      </c>
      <c r="BT188" s="1" t="str">
        <f>HYPERLINK("https%3A%2F%2Fwww.webofscience.com%2Fwos%2Fwoscc%2Ffull-record%2FWOS:001551606800001","View Full Record in Web of Science")</f>
        <v>View Full Record in Web of Science</v>
      </c>
    </row>
    <row r="189" ht="12.75" customHeight="1">
      <c r="A189" s="1" t="s">
        <v>72</v>
      </c>
      <c r="B189" s="1" t="s">
        <v>1921</v>
      </c>
      <c r="C189" s="1" t="s">
        <v>74</v>
      </c>
      <c r="D189" s="1" t="s">
        <v>74</v>
      </c>
      <c r="E189" s="1" t="s">
        <v>74</v>
      </c>
      <c r="F189" s="1" t="s">
        <v>1922</v>
      </c>
      <c r="G189" s="1" t="s">
        <v>74</v>
      </c>
      <c r="H189" s="1" t="s">
        <v>74</v>
      </c>
      <c r="I189" s="1" t="s">
        <v>1923</v>
      </c>
      <c r="J189" s="1" t="s">
        <v>1230</v>
      </c>
      <c r="K189" s="1" t="s">
        <v>74</v>
      </c>
      <c r="L189" s="1" t="s">
        <v>74</v>
      </c>
      <c r="M189" s="1" t="s">
        <v>74</v>
      </c>
      <c r="N189" s="1" t="s">
        <v>158</v>
      </c>
      <c r="O189" s="1" t="s">
        <v>74</v>
      </c>
      <c r="P189" s="1" t="s">
        <v>74</v>
      </c>
      <c r="Q189" s="1" t="s">
        <v>74</v>
      </c>
      <c r="R189" s="1" t="s">
        <v>74</v>
      </c>
      <c r="S189" s="1" t="s">
        <v>74</v>
      </c>
      <c r="T189" s="1" t="s">
        <v>1924</v>
      </c>
      <c r="U189" s="1" t="s">
        <v>1925</v>
      </c>
      <c r="V189" s="1" t="s">
        <v>1926</v>
      </c>
      <c r="W189" s="1" t="s">
        <v>74</v>
      </c>
      <c r="X189" s="1" t="s">
        <v>74</v>
      </c>
      <c r="Y189" s="1" t="s">
        <v>74</v>
      </c>
      <c r="Z189" s="1" t="s">
        <v>74</v>
      </c>
      <c r="AA189" s="1" t="s">
        <v>74</v>
      </c>
      <c r="AB189" s="1" t="s">
        <v>74</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1233</v>
      </c>
      <c r="AP189" s="1" t="s">
        <v>1234</v>
      </c>
      <c r="AQ189" s="1" t="s">
        <v>74</v>
      </c>
      <c r="AR189" s="1" t="s">
        <v>74</v>
      </c>
      <c r="AS189" s="1" t="s">
        <v>74</v>
      </c>
      <c r="AT189" s="1" t="s">
        <v>1524</v>
      </c>
      <c r="AU189" s="1">
        <v>2026.0</v>
      </c>
      <c r="AV189" s="1">
        <v>299.0</v>
      </c>
      <c r="AW189" s="1" t="s">
        <v>74</v>
      </c>
      <c r="AX189" s="1" t="s">
        <v>1927</v>
      </c>
      <c r="AY189" s="1" t="s">
        <v>74</v>
      </c>
      <c r="AZ189" s="1" t="s">
        <v>74</v>
      </c>
      <c r="BA189" s="1" t="s">
        <v>74</v>
      </c>
      <c r="BB189" s="1" t="s">
        <v>74</v>
      </c>
      <c r="BC189" s="1" t="s">
        <v>74</v>
      </c>
      <c r="BD189" s="1">
        <v>130338.0</v>
      </c>
      <c r="BE189" s="1" t="s">
        <v>1928</v>
      </c>
      <c r="BF189" s="2" t="str">
        <f>HYPERLINK("http://dx.doi.org/10.1016/j.eswa.2025.130338","http://dx.doi.org/10.1016/j.eswa.2025.130338")</f>
        <v>http://dx.doi.org/10.1016/j.eswa.2025.130338</v>
      </c>
      <c r="BG189" s="1" t="s">
        <v>74</v>
      </c>
      <c r="BH189" s="1" t="s">
        <v>255</v>
      </c>
      <c r="BI189" s="1" t="s">
        <v>74</v>
      </c>
      <c r="BJ189" s="1" t="s">
        <v>74</v>
      </c>
      <c r="BK189" s="1" t="s">
        <v>74</v>
      </c>
      <c r="BL189" s="1" t="s">
        <v>1237</v>
      </c>
      <c r="BM189" s="1" t="s">
        <v>74</v>
      </c>
      <c r="BN189" s="1" t="s">
        <v>74</v>
      </c>
      <c r="BO189" s="1" t="s">
        <v>114</v>
      </c>
      <c r="BP189" s="1" t="s">
        <v>74</v>
      </c>
      <c r="BQ189" s="1" t="s">
        <v>74</v>
      </c>
      <c r="BR189" s="1" t="s">
        <v>74</v>
      </c>
      <c r="BS189" s="1" t="s">
        <v>1929</v>
      </c>
      <c r="BT189" s="1" t="str">
        <f>HYPERLINK("https%3A%2F%2Fwww.webofscience.com%2Fwos%2Fwoscc%2Ffull-record%2FWOS:001619382300005","View Full Record in Web of Science")</f>
        <v>View Full Record in Web of Science</v>
      </c>
    </row>
    <row r="190" ht="12.75" customHeight="1">
      <c r="A190" s="1" t="s">
        <v>72</v>
      </c>
      <c r="B190" s="1" t="s">
        <v>1930</v>
      </c>
      <c r="C190" s="1" t="s">
        <v>74</v>
      </c>
      <c r="D190" s="1" t="s">
        <v>74</v>
      </c>
      <c r="E190" s="1" t="s">
        <v>74</v>
      </c>
      <c r="F190" s="1" t="s">
        <v>1931</v>
      </c>
      <c r="G190" s="1" t="s">
        <v>74</v>
      </c>
      <c r="H190" s="1" t="s">
        <v>74</v>
      </c>
      <c r="I190" s="1" t="s">
        <v>1932</v>
      </c>
      <c r="J190" s="1" t="s">
        <v>1933</v>
      </c>
      <c r="K190" s="1" t="s">
        <v>74</v>
      </c>
      <c r="L190" s="1" t="s">
        <v>74</v>
      </c>
      <c r="M190" s="1" t="s">
        <v>74</v>
      </c>
      <c r="N190" s="1" t="s">
        <v>78</v>
      </c>
      <c r="O190" s="1" t="s">
        <v>74</v>
      </c>
      <c r="P190" s="1" t="s">
        <v>74</v>
      </c>
      <c r="Q190" s="1" t="s">
        <v>74</v>
      </c>
      <c r="R190" s="1" t="s">
        <v>74</v>
      </c>
      <c r="S190" s="1" t="s">
        <v>74</v>
      </c>
      <c r="T190" s="1" t="s">
        <v>1934</v>
      </c>
      <c r="U190" s="1" t="s">
        <v>1935</v>
      </c>
      <c r="V190" s="1" t="s">
        <v>1936</v>
      </c>
      <c r="W190" s="1" t="s">
        <v>74</v>
      </c>
      <c r="X190" s="1" t="s">
        <v>74</v>
      </c>
      <c r="Y190" s="1" t="s">
        <v>74</v>
      </c>
      <c r="Z190" s="1" t="s">
        <v>74</v>
      </c>
      <c r="AA190" s="1" t="s">
        <v>74</v>
      </c>
      <c r="AB190" s="1" t="s">
        <v>74</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1937</v>
      </c>
      <c r="AP190" s="1" t="s">
        <v>1938</v>
      </c>
      <c r="AQ190" s="1" t="s">
        <v>74</v>
      </c>
      <c r="AR190" s="1" t="s">
        <v>74</v>
      </c>
      <c r="AS190" s="1" t="s">
        <v>74</v>
      </c>
      <c r="AT190" s="1" t="s">
        <v>736</v>
      </c>
      <c r="AU190" s="1">
        <v>2026.0</v>
      </c>
      <c r="AV190" s="1">
        <v>40.0</v>
      </c>
      <c r="AW190" s="1">
        <v>1.0</v>
      </c>
      <c r="AX190" s="1" t="s">
        <v>74</v>
      </c>
      <c r="AY190" s="1" t="s">
        <v>74</v>
      </c>
      <c r="AZ190" s="1" t="s">
        <v>74</v>
      </c>
      <c r="BA190" s="1" t="s">
        <v>74</v>
      </c>
      <c r="BB190" s="1">
        <v>22.0</v>
      </c>
      <c r="BC190" s="1">
        <v>41.0</v>
      </c>
      <c r="BD190" s="1" t="s">
        <v>74</v>
      </c>
      <c r="BE190" s="1" t="s">
        <v>1939</v>
      </c>
      <c r="BF190" s="2" t="str">
        <f>HYPERLINK("http://dx.doi.org/10.1177/10943420251380008","http://dx.doi.org/10.1177/10943420251380008")</f>
        <v>http://dx.doi.org/10.1177/10943420251380008</v>
      </c>
      <c r="BG190" s="1" t="s">
        <v>74</v>
      </c>
      <c r="BH190" s="1" t="s">
        <v>811</v>
      </c>
      <c r="BI190" s="1" t="s">
        <v>74</v>
      </c>
      <c r="BJ190" s="1" t="s">
        <v>74</v>
      </c>
      <c r="BK190" s="1" t="s">
        <v>74</v>
      </c>
      <c r="BL190" s="1" t="s">
        <v>174</v>
      </c>
      <c r="BM190" s="1" t="s">
        <v>74</v>
      </c>
      <c r="BN190" s="1" t="s">
        <v>74</v>
      </c>
      <c r="BO190" s="1" t="s">
        <v>74</v>
      </c>
      <c r="BP190" s="1" t="s">
        <v>74</v>
      </c>
      <c r="BQ190" s="1" t="s">
        <v>74</v>
      </c>
      <c r="BR190" s="1" t="s">
        <v>74</v>
      </c>
      <c r="BS190" s="1" t="s">
        <v>1940</v>
      </c>
      <c r="BT190" s="1" t="str">
        <f>HYPERLINK("https%3A%2F%2Fwww.webofscience.com%2Fwos%2Fwoscc%2Ffull-record%2FWOS:001595582900001","View Full Record in Web of Science")</f>
        <v>View Full Record in Web of Science</v>
      </c>
    </row>
    <row r="191" ht="12.75" customHeight="1">
      <c r="A191" s="1" t="s">
        <v>72</v>
      </c>
      <c r="B191" s="1" t="s">
        <v>1941</v>
      </c>
      <c r="C191" s="1" t="s">
        <v>74</v>
      </c>
      <c r="D191" s="1" t="s">
        <v>74</v>
      </c>
      <c r="E191" s="1" t="s">
        <v>74</v>
      </c>
      <c r="F191" s="1" t="s">
        <v>1942</v>
      </c>
      <c r="G191" s="1" t="s">
        <v>74</v>
      </c>
      <c r="H191" s="1" t="s">
        <v>74</v>
      </c>
      <c r="I191" s="1" t="s">
        <v>1943</v>
      </c>
      <c r="J191" s="1" t="s">
        <v>1230</v>
      </c>
      <c r="K191" s="1" t="s">
        <v>74</v>
      </c>
      <c r="L191" s="1" t="s">
        <v>74</v>
      </c>
      <c r="M191" s="1" t="s">
        <v>74</v>
      </c>
      <c r="N191" s="1" t="s">
        <v>78</v>
      </c>
      <c r="O191" s="1" t="s">
        <v>74</v>
      </c>
      <c r="P191" s="1" t="s">
        <v>74</v>
      </c>
      <c r="Q191" s="1" t="s">
        <v>74</v>
      </c>
      <c r="R191" s="1" t="s">
        <v>74</v>
      </c>
      <c r="S191" s="1" t="s">
        <v>74</v>
      </c>
      <c r="T191" s="1" t="s">
        <v>1944</v>
      </c>
      <c r="U191" s="1" t="s">
        <v>74</v>
      </c>
      <c r="V191" s="1" t="s">
        <v>1945</v>
      </c>
      <c r="W191" s="1" t="s">
        <v>74</v>
      </c>
      <c r="X191" s="1" t="s">
        <v>74</v>
      </c>
      <c r="Y191" s="1" t="s">
        <v>74</v>
      </c>
      <c r="Z191" s="1" t="s">
        <v>74</v>
      </c>
      <c r="AA191" s="1" t="s">
        <v>74</v>
      </c>
      <c r="AB191" s="1" t="s">
        <v>74</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1233</v>
      </c>
      <c r="AP191" s="1" t="s">
        <v>1234</v>
      </c>
      <c r="AQ191" s="1" t="s">
        <v>74</v>
      </c>
      <c r="AR191" s="1" t="s">
        <v>74</v>
      </c>
      <c r="AS191" s="1" t="s">
        <v>74</v>
      </c>
      <c r="AT191" s="1" t="s">
        <v>1078</v>
      </c>
      <c r="AU191" s="1">
        <v>2026.0</v>
      </c>
      <c r="AV191" s="1">
        <v>297.0</v>
      </c>
      <c r="AW191" s="1" t="s">
        <v>74</v>
      </c>
      <c r="AX191" s="1" t="s">
        <v>1693</v>
      </c>
      <c r="AY191" s="1" t="s">
        <v>74</v>
      </c>
      <c r="AZ191" s="1" t="s">
        <v>74</v>
      </c>
      <c r="BA191" s="1" t="s">
        <v>74</v>
      </c>
      <c r="BB191" s="1" t="s">
        <v>74</v>
      </c>
      <c r="BC191" s="1" t="s">
        <v>74</v>
      </c>
      <c r="BD191" s="1">
        <v>129508.0</v>
      </c>
      <c r="BE191" s="1" t="s">
        <v>1946</v>
      </c>
      <c r="BF191" s="2" t="str">
        <f>HYPERLINK("http://dx.doi.org/10.1016/j.eswa.2025.129508","http://dx.doi.org/10.1016/j.eswa.2025.129508")</f>
        <v>http://dx.doi.org/10.1016/j.eswa.2025.129508</v>
      </c>
      <c r="BG191" s="1" t="s">
        <v>74</v>
      </c>
      <c r="BH191" s="1" t="s">
        <v>738</v>
      </c>
      <c r="BI191" s="1" t="s">
        <v>74</v>
      </c>
      <c r="BJ191" s="1" t="s">
        <v>74</v>
      </c>
      <c r="BK191" s="1" t="s">
        <v>74</v>
      </c>
      <c r="BL191" s="1" t="s">
        <v>1237</v>
      </c>
      <c r="BM191" s="1" t="s">
        <v>74</v>
      </c>
      <c r="BN191" s="1" t="s">
        <v>74</v>
      </c>
      <c r="BO191" s="1" t="s">
        <v>74</v>
      </c>
      <c r="BP191" s="1" t="s">
        <v>74</v>
      </c>
      <c r="BQ191" s="1" t="s">
        <v>74</v>
      </c>
      <c r="BR191" s="1" t="s">
        <v>74</v>
      </c>
      <c r="BS191" s="1" t="s">
        <v>1947</v>
      </c>
      <c r="BT191" s="1" t="str">
        <f>HYPERLINK("https%3A%2F%2Fwww.webofscience.com%2Fwos%2Fwoscc%2Ffull-record%2FWOS:001567445900005","View Full Record in Web of Science")</f>
        <v>View Full Record in Web of Science</v>
      </c>
    </row>
    <row r="192" ht="12.75" customHeight="1">
      <c r="A192" s="1" t="s">
        <v>72</v>
      </c>
      <c r="B192" s="1" t="s">
        <v>1948</v>
      </c>
      <c r="C192" s="1" t="s">
        <v>74</v>
      </c>
      <c r="D192" s="1" t="s">
        <v>74</v>
      </c>
      <c r="E192" s="1" t="s">
        <v>74</v>
      </c>
      <c r="F192" s="1" t="s">
        <v>1949</v>
      </c>
      <c r="G192" s="1" t="s">
        <v>74</v>
      </c>
      <c r="H192" s="1" t="s">
        <v>74</v>
      </c>
      <c r="I192" s="1" t="s">
        <v>1950</v>
      </c>
      <c r="J192" s="1" t="s">
        <v>519</v>
      </c>
      <c r="K192" s="1" t="s">
        <v>74</v>
      </c>
      <c r="L192" s="1" t="s">
        <v>74</v>
      </c>
      <c r="M192" s="1" t="s">
        <v>74</v>
      </c>
      <c r="N192" s="1" t="s">
        <v>78</v>
      </c>
      <c r="O192" s="1" t="s">
        <v>74</v>
      </c>
      <c r="P192" s="1" t="s">
        <v>74</v>
      </c>
      <c r="Q192" s="1" t="s">
        <v>74</v>
      </c>
      <c r="R192" s="1" t="s">
        <v>74</v>
      </c>
      <c r="S192" s="1" t="s">
        <v>74</v>
      </c>
      <c r="T192" s="1" t="s">
        <v>1951</v>
      </c>
      <c r="U192" s="1" t="s">
        <v>74</v>
      </c>
      <c r="V192" s="1" t="s">
        <v>1952</v>
      </c>
      <c r="W192" s="1" t="s">
        <v>74</v>
      </c>
      <c r="X192" s="1" t="s">
        <v>74</v>
      </c>
      <c r="Y192" s="1" t="s">
        <v>74</v>
      </c>
      <c r="Z192" s="1" t="s">
        <v>74</v>
      </c>
      <c r="AA192" s="1" t="s">
        <v>74</v>
      </c>
      <c r="AB192" s="1" t="s">
        <v>74</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523</v>
      </c>
      <c r="AP192" s="1" t="s">
        <v>524</v>
      </c>
      <c r="AQ192" s="1" t="s">
        <v>74</v>
      </c>
      <c r="AR192" s="1" t="s">
        <v>74</v>
      </c>
      <c r="AS192" s="1" t="s">
        <v>74</v>
      </c>
      <c r="AT192" s="1" t="s">
        <v>688</v>
      </c>
      <c r="AU192" s="1">
        <v>2026.0</v>
      </c>
      <c r="AV192" s="1">
        <v>127.0</v>
      </c>
      <c r="AW192" s="1" t="s">
        <v>74</v>
      </c>
      <c r="AX192" s="1" t="s">
        <v>1409</v>
      </c>
      <c r="AY192" s="1" t="s">
        <v>74</v>
      </c>
      <c r="AZ192" s="1" t="s">
        <v>74</v>
      </c>
      <c r="BA192" s="1" t="s">
        <v>74</v>
      </c>
      <c r="BB192" s="1" t="s">
        <v>74</v>
      </c>
      <c r="BC192" s="1" t="s">
        <v>74</v>
      </c>
      <c r="BD192" s="1">
        <v>103730.0</v>
      </c>
      <c r="BE192" s="1" t="s">
        <v>1953</v>
      </c>
      <c r="BF192" s="2" t="str">
        <f>HYPERLINK("http://dx.doi.org/10.1016/j.inffus.2025.103730","http://dx.doi.org/10.1016/j.inffus.2025.103730")</f>
        <v>http://dx.doi.org/10.1016/j.inffus.2025.103730</v>
      </c>
      <c r="BG192" s="1" t="s">
        <v>74</v>
      </c>
      <c r="BH192" s="1" t="s">
        <v>347</v>
      </c>
      <c r="BI192" s="1" t="s">
        <v>74</v>
      </c>
      <c r="BJ192" s="1" t="s">
        <v>74</v>
      </c>
      <c r="BK192" s="1" t="s">
        <v>74</v>
      </c>
      <c r="BL192" s="1" t="s">
        <v>174</v>
      </c>
      <c r="BM192" s="1" t="s">
        <v>74</v>
      </c>
      <c r="BN192" s="1" t="s">
        <v>74</v>
      </c>
      <c r="BO192" s="1" t="s">
        <v>74</v>
      </c>
      <c r="BP192" s="1" t="s">
        <v>74</v>
      </c>
      <c r="BQ192" s="1" t="s">
        <v>74</v>
      </c>
      <c r="BR192" s="1" t="s">
        <v>74</v>
      </c>
      <c r="BS192" s="1" t="s">
        <v>1954</v>
      </c>
      <c r="BT192" s="1" t="str">
        <f>HYPERLINK("https%3A%2F%2Fwww.webofscience.com%2Fwos%2Fwoscc%2Ffull-record%2FWOS:001584030700003","View Full Record in Web of Science")</f>
        <v>View Full Record in Web of Science</v>
      </c>
    </row>
    <row r="193" ht="12.75" customHeight="1">
      <c r="A193" s="1" t="s">
        <v>72</v>
      </c>
      <c r="B193" s="1" t="s">
        <v>1955</v>
      </c>
      <c r="C193" s="1" t="s">
        <v>74</v>
      </c>
      <c r="D193" s="1" t="s">
        <v>74</v>
      </c>
      <c r="E193" s="1" t="s">
        <v>74</v>
      </c>
      <c r="F193" s="1" t="s">
        <v>1956</v>
      </c>
      <c r="G193" s="1" t="s">
        <v>74</v>
      </c>
      <c r="H193" s="1" t="s">
        <v>74</v>
      </c>
      <c r="I193" s="1" t="s">
        <v>1957</v>
      </c>
      <c r="J193" s="1" t="s">
        <v>804</v>
      </c>
      <c r="K193" s="1" t="s">
        <v>74</v>
      </c>
      <c r="L193" s="1" t="s">
        <v>74</v>
      </c>
      <c r="M193" s="1" t="s">
        <v>74</v>
      </c>
      <c r="N193" s="1" t="s">
        <v>78</v>
      </c>
      <c r="O193" s="1" t="s">
        <v>74</v>
      </c>
      <c r="P193" s="1" t="s">
        <v>74</v>
      </c>
      <c r="Q193" s="1" t="s">
        <v>74</v>
      </c>
      <c r="R193" s="1" t="s">
        <v>74</v>
      </c>
      <c r="S193" s="1" t="s">
        <v>74</v>
      </c>
      <c r="T193" s="1" t="s">
        <v>1958</v>
      </c>
      <c r="U193" s="1" t="s">
        <v>74</v>
      </c>
      <c r="V193" s="1" t="s">
        <v>1959</v>
      </c>
      <c r="W193" s="1" t="s">
        <v>74</v>
      </c>
      <c r="X193" s="1" t="s">
        <v>74</v>
      </c>
      <c r="Y193" s="1" t="s">
        <v>74</v>
      </c>
      <c r="Z193" s="1" t="s">
        <v>74</v>
      </c>
      <c r="AA193" s="1" t="s">
        <v>74</v>
      </c>
      <c r="AB193" s="1" t="s">
        <v>74</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808</v>
      </c>
      <c r="AP193" s="1" t="s">
        <v>809</v>
      </c>
      <c r="AQ193" s="1" t="s">
        <v>74</v>
      </c>
      <c r="AR193" s="1" t="s">
        <v>74</v>
      </c>
      <c r="AS193" s="1" t="s">
        <v>74</v>
      </c>
      <c r="AT193" s="1" t="s">
        <v>335</v>
      </c>
      <c r="AU193" s="1">
        <v>2026.0</v>
      </c>
      <c r="AV193" s="1">
        <v>179.0</v>
      </c>
      <c r="AW193" s="1" t="s">
        <v>74</v>
      </c>
      <c r="AX193" s="1" t="s">
        <v>74</v>
      </c>
      <c r="AY193" s="1" t="s">
        <v>74</v>
      </c>
      <c r="AZ193" s="1" t="s">
        <v>74</v>
      </c>
      <c r="BA193" s="1" t="s">
        <v>74</v>
      </c>
      <c r="BB193" s="1" t="s">
        <v>74</v>
      </c>
      <c r="BC193" s="1" t="s">
        <v>74</v>
      </c>
      <c r="BD193" s="1">
        <v>108318.0</v>
      </c>
      <c r="BE193" s="1" t="s">
        <v>1960</v>
      </c>
      <c r="BF193" s="2" t="str">
        <f>HYPERLINK("http://dx.doi.org/10.1016/j.future.2025.108318","http://dx.doi.org/10.1016/j.future.2025.108318")</f>
        <v>http://dx.doi.org/10.1016/j.future.2025.108318</v>
      </c>
      <c r="BG193" s="1" t="s">
        <v>74</v>
      </c>
      <c r="BH193" s="1" t="s">
        <v>605</v>
      </c>
      <c r="BI193" s="1" t="s">
        <v>74</v>
      </c>
      <c r="BJ193" s="1" t="s">
        <v>74</v>
      </c>
      <c r="BK193" s="1" t="s">
        <v>74</v>
      </c>
      <c r="BL193" s="1" t="s">
        <v>174</v>
      </c>
      <c r="BM193" s="1" t="s">
        <v>74</v>
      </c>
      <c r="BN193" s="1" t="s">
        <v>74</v>
      </c>
      <c r="BO193" s="1" t="s">
        <v>114</v>
      </c>
      <c r="BP193" s="1" t="s">
        <v>74</v>
      </c>
      <c r="BQ193" s="1" t="s">
        <v>74</v>
      </c>
      <c r="BR193" s="1" t="s">
        <v>74</v>
      </c>
      <c r="BS193" s="1" t="s">
        <v>1961</v>
      </c>
      <c r="BT193" s="1" t="str">
        <f>HYPERLINK("https%3A%2F%2Fwww.webofscience.com%2Fwos%2Fwoscc%2Ffull-record%2FWOS:001652837700001","View Full Record in Web of Science")</f>
        <v>View Full Record in Web of Science</v>
      </c>
    </row>
    <row r="194" ht="12.75" customHeight="1">
      <c r="A194" s="1" t="s">
        <v>72</v>
      </c>
      <c r="B194" s="1" t="s">
        <v>1962</v>
      </c>
      <c r="C194" s="1" t="s">
        <v>74</v>
      </c>
      <c r="D194" s="1" t="s">
        <v>74</v>
      </c>
      <c r="E194" s="1" t="s">
        <v>74</v>
      </c>
      <c r="F194" s="1" t="s">
        <v>1963</v>
      </c>
      <c r="G194" s="1" t="s">
        <v>74</v>
      </c>
      <c r="H194" s="1" t="s">
        <v>74</v>
      </c>
      <c r="I194" s="1" t="s">
        <v>1964</v>
      </c>
      <c r="J194" s="1" t="s">
        <v>1965</v>
      </c>
      <c r="K194" s="1" t="s">
        <v>74</v>
      </c>
      <c r="L194" s="1" t="s">
        <v>74</v>
      </c>
      <c r="M194" s="1" t="s">
        <v>74</v>
      </c>
      <c r="N194" s="1" t="s">
        <v>78</v>
      </c>
      <c r="O194" s="1" t="s">
        <v>74</v>
      </c>
      <c r="P194" s="1" t="s">
        <v>74</v>
      </c>
      <c r="Q194" s="1" t="s">
        <v>74</v>
      </c>
      <c r="R194" s="1" t="s">
        <v>74</v>
      </c>
      <c r="S194" s="1" t="s">
        <v>74</v>
      </c>
      <c r="T194" s="1" t="s">
        <v>1966</v>
      </c>
      <c r="U194" s="1" t="s">
        <v>1967</v>
      </c>
      <c r="V194" s="1" t="s">
        <v>1968</v>
      </c>
      <c r="W194" s="1" t="s">
        <v>74</v>
      </c>
      <c r="X194" s="1" t="s">
        <v>74</v>
      </c>
      <c r="Y194" s="1" t="s">
        <v>74</v>
      </c>
      <c r="Z194" s="1" t="s">
        <v>74</v>
      </c>
      <c r="AA194" s="1" t="s">
        <v>74</v>
      </c>
      <c r="AB194" s="1" t="s">
        <v>74</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74</v>
      </c>
      <c r="AP194" s="1" t="s">
        <v>1969</v>
      </c>
      <c r="AQ194" s="1" t="s">
        <v>74</v>
      </c>
      <c r="AR194" s="1" t="s">
        <v>74</v>
      </c>
      <c r="AS194" s="1" t="s">
        <v>74</v>
      </c>
      <c r="AT194" s="1" t="s">
        <v>74</v>
      </c>
      <c r="AU194" s="1">
        <v>2024.0</v>
      </c>
      <c r="AV194" s="1">
        <v>2.0</v>
      </c>
      <c r="AW194" s="1" t="s">
        <v>74</v>
      </c>
      <c r="AX194" s="1" t="s">
        <v>74</v>
      </c>
      <c r="AY194" s="1" t="s">
        <v>74</v>
      </c>
      <c r="AZ194" s="1" t="s">
        <v>74</v>
      </c>
      <c r="BA194" s="1" t="s">
        <v>74</v>
      </c>
      <c r="BB194" s="1">
        <v>264.0</v>
      </c>
      <c r="BC194" s="1">
        <v>280.0</v>
      </c>
      <c r="BD194" s="1" t="s">
        <v>74</v>
      </c>
      <c r="BE194" s="1" t="s">
        <v>1970</v>
      </c>
      <c r="BF194" s="2" t="str">
        <f>HYPERLINK("http://dx.doi.org/10.1109/TICPS.2024.3425326","http://dx.doi.org/10.1109/TICPS.2024.3425326")</f>
        <v>http://dx.doi.org/10.1109/TICPS.2024.3425326</v>
      </c>
      <c r="BG194" s="1" t="s">
        <v>74</v>
      </c>
      <c r="BH194" s="1" t="s">
        <v>74</v>
      </c>
      <c r="BI194" s="1" t="s">
        <v>74</v>
      </c>
      <c r="BJ194" s="1" t="s">
        <v>74</v>
      </c>
      <c r="BK194" s="1" t="s">
        <v>74</v>
      </c>
      <c r="BL194" s="1" t="s">
        <v>98</v>
      </c>
      <c r="BM194" s="1" t="s">
        <v>74</v>
      </c>
      <c r="BN194" s="1" t="s">
        <v>74</v>
      </c>
      <c r="BO194" s="1" t="s">
        <v>74</v>
      </c>
      <c r="BP194" s="1" t="s">
        <v>74</v>
      </c>
      <c r="BQ194" s="1" t="s">
        <v>74</v>
      </c>
      <c r="BR194" s="1" t="s">
        <v>74</v>
      </c>
      <c r="BS194" s="1" t="s">
        <v>1971</v>
      </c>
      <c r="BT194" s="1" t="str">
        <f>HYPERLINK("https%3A%2F%2Fwww.webofscience.com%2Fwos%2Fwoscc%2Ffull-record%2FWOS:001503177000001","View Full Record in Web of Science")</f>
        <v>View Full Record in Web of Science</v>
      </c>
    </row>
    <row r="195" ht="12.75" customHeight="1">
      <c r="A195" s="1" t="s">
        <v>72</v>
      </c>
      <c r="B195" s="1" t="s">
        <v>1972</v>
      </c>
      <c r="C195" s="1" t="s">
        <v>74</v>
      </c>
      <c r="D195" s="1" t="s">
        <v>74</v>
      </c>
      <c r="E195" s="1" t="s">
        <v>74</v>
      </c>
      <c r="F195" s="1" t="s">
        <v>1973</v>
      </c>
      <c r="G195" s="1" t="s">
        <v>74</v>
      </c>
      <c r="H195" s="1" t="s">
        <v>74</v>
      </c>
      <c r="I195" s="1" t="s">
        <v>1974</v>
      </c>
      <c r="J195" s="1" t="s">
        <v>219</v>
      </c>
      <c r="K195" s="1" t="s">
        <v>74</v>
      </c>
      <c r="L195" s="1" t="s">
        <v>74</v>
      </c>
      <c r="M195" s="1" t="s">
        <v>74</v>
      </c>
      <c r="N195" s="1" t="s">
        <v>78</v>
      </c>
      <c r="O195" s="1" t="s">
        <v>74</v>
      </c>
      <c r="P195" s="1" t="s">
        <v>74</v>
      </c>
      <c r="Q195" s="1" t="s">
        <v>74</v>
      </c>
      <c r="R195" s="1" t="s">
        <v>74</v>
      </c>
      <c r="S195" s="1" t="s">
        <v>74</v>
      </c>
      <c r="T195" s="1" t="s">
        <v>1975</v>
      </c>
      <c r="U195" s="1" t="s">
        <v>74</v>
      </c>
      <c r="V195" s="1" t="s">
        <v>1976</v>
      </c>
      <c r="W195" s="1" t="s">
        <v>74</v>
      </c>
      <c r="X195" s="1" t="s">
        <v>74</v>
      </c>
      <c r="Y195" s="1" t="s">
        <v>74</v>
      </c>
      <c r="Z195" s="1" t="s">
        <v>74</v>
      </c>
      <c r="AA195" s="1" t="s">
        <v>74</v>
      </c>
      <c r="AB195" s="1" t="s">
        <v>74</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223</v>
      </c>
      <c r="AP195" s="1" t="s">
        <v>224</v>
      </c>
      <c r="AQ195" s="1" t="s">
        <v>74</v>
      </c>
      <c r="AR195" s="1" t="s">
        <v>74</v>
      </c>
      <c r="AS195" s="1" t="s">
        <v>74</v>
      </c>
      <c r="AT195" s="1" t="s">
        <v>1977</v>
      </c>
      <c r="AU195" s="1">
        <v>2026.0</v>
      </c>
      <c r="AV195" s="1">
        <v>29.0</v>
      </c>
      <c r="AW195" s="1">
        <v>1.0</v>
      </c>
      <c r="AX195" s="1" t="s">
        <v>74</v>
      </c>
      <c r="AY195" s="1" t="s">
        <v>74</v>
      </c>
      <c r="AZ195" s="1" t="s">
        <v>74</v>
      </c>
      <c r="BA195" s="1" t="s">
        <v>74</v>
      </c>
      <c r="BB195" s="1" t="s">
        <v>74</v>
      </c>
      <c r="BC195" s="1" t="s">
        <v>74</v>
      </c>
      <c r="BD195" s="1">
        <v>11.0</v>
      </c>
      <c r="BE195" s="1" t="s">
        <v>1978</v>
      </c>
      <c r="BF195" s="2" t="str">
        <f>HYPERLINK("http://dx.doi.org/10.1007/s11280-025-01397-1","http://dx.doi.org/10.1007/s11280-025-01397-1")</f>
        <v>http://dx.doi.org/10.1007/s11280-025-01397-1</v>
      </c>
      <c r="BG195" s="1" t="s">
        <v>74</v>
      </c>
      <c r="BH195" s="1" t="s">
        <v>74</v>
      </c>
      <c r="BI195" s="1" t="s">
        <v>74</v>
      </c>
      <c r="BJ195" s="1" t="s">
        <v>74</v>
      </c>
      <c r="BK195" s="1" t="s">
        <v>74</v>
      </c>
      <c r="BL195" s="1" t="s">
        <v>174</v>
      </c>
      <c r="BM195" s="1" t="s">
        <v>74</v>
      </c>
      <c r="BN195" s="1" t="s">
        <v>74</v>
      </c>
      <c r="BO195" s="1" t="s">
        <v>74</v>
      </c>
      <c r="BP195" s="1" t="s">
        <v>74</v>
      </c>
      <c r="BQ195" s="1" t="s">
        <v>74</v>
      </c>
      <c r="BR195" s="1" t="s">
        <v>74</v>
      </c>
      <c r="BS195" s="1" t="s">
        <v>1979</v>
      </c>
      <c r="BT195" s="1" t="str">
        <f>HYPERLINK("https%3A%2F%2Fwww.webofscience.com%2Fwos%2Fwoscc%2Ffull-record%2FWOS:001657883000001","View Full Record in Web of Science")</f>
        <v>View Full Record in Web of Science</v>
      </c>
    </row>
    <row r="196" ht="12.75" customHeight="1">
      <c r="A196" s="1" t="s">
        <v>72</v>
      </c>
      <c r="B196" s="1" t="s">
        <v>1980</v>
      </c>
      <c r="C196" s="1" t="s">
        <v>74</v>
      </c>
      <c r="D196" s="1" t="s">
        <v>74</v>
      </c>
      <c r="E196" s="1" t="s">
        <v>74</v>
      </c>
      <c r="F196" s="1" t="s">
        <v>1981</v>
      </c>
      <c r="G196" s="1" t="s">
        <v>74</v>
      </c>
      <c r="H196" s="1" t="s">
        <v>74</v>
      </c>
      <c r="I196" s="1" t="s">
        <v>1982</v>
      </c>
      <c r="J196" s="1" t="s">
        <v>664</v>
      </c>
      <c r="K196" s="1" t="s">
        <v>74</v>
      </c>
      <c r="L196" s="1" t="s">
        <v>74</v>
      </c>
      <c r="M196" s="1" t="s">
        <v>74</v>
      </c>
      <c r="N196" s="1" t="s">
        <v>78</v>
      </c>
      <c r="O196" s="1" t="s">
        <v>74</v>
      </c>
      <c r="P196" s="1" t="s">
        <v>74</v>
      </c>
      <c r="Q196" s="1" t="s">
        <v>74</v>
      </c>
      <c r="R196" s="1" t="s">
        <v>74</v>
      </c>
      <c r="S196" s="1" t="s">
        <v>74</v>
      </c>
      <c r="T196" s="1" t="s">
        <v>1983</v>
      </c>
      <c r="U196" s="1" t="s">
        <v>74</v>
      </c>
      <c r="V196" s="1" t="s">
        <v>1984</v>
      </c>
      <c r="W196" s="1" t="s">
        <v>74</v>
      </c>
      <c r="X196" s="1" t="s">
        <v>74</v>
      </c>
      <c r="Y196" s="1" t="s">
        <v>74</v>
      </c>
      <c r="Z196" s="1" t="s">
        <v>74</v>
      </c>
      <c r="AA196" s="1" t="s">
        <v>74</v>
      </c>
      <c r="AB196" s="1" t="s">
        <v>74</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667</v>
      </c>
      <c r="AP196" s="1" t="s">
        <v>668</v>
      </c>
      <c r="AQ196" s="1" t="s">
        <v>74</v>
      </c>
      <c r="AR196" s="1" t="s">
        <v>74</v>
      </c>
      <c r="AS196" s="1" t="s">
        <v>74</v>
      </c>
      <c r="AT196" s="1" t="s">
        <v>736</v>
      </c>
      <c r="AU196" s="1">
        <v>2025.0</v>
      </c>
      <c r="AV196" s="1">
        <v>40.0</v>
      </c>
      <c r="AW196" s="1">
        <v>1.0</v>
      </c>
      <c r="AX196" s="1" t="s">
        <v>74</v>
      </c>
      <c r="AY196" s="1" t="s">
        <v>74</v>
      </c>
      <c r="AZ196" s="1" t="s">
        <v>74</v>
      </c>
      <c r="BA196" s="1" t="s">
        <v>74</v>
      </c>
      <c r="BB196" s="1">
        <v>45.0</v>
      </c>
      <c r="BC196" s="1">
        <v>52.0</v>
      </c>
      <c r="BD196" s="1" t="s">
        <v>74</v>
      </c>
      <c r="BE196" s="1" t="s">
        <v>1985</v>
      </c>
      <c r="BF196" s="2" t="str">
        <f>HYPERLINK("http://dx.doi.org/10.1109/MIS.2024.3466518","http://dx.doi.org/10.1109/MIS.2024.3466518")</f>
        <v>http://dx.doi.org/10.1109/MIS.2024.3466518</v>
      </c>
      <c r="BG196" s="1" t="s">
        <v>74</v>
      </c>
      <c r="BH196" s="1" t="s">
        <v>74</v>
      </c>
      <c r="BI196" s="1" t="s">
        <v>74</v>
      </c>
      <c r="BJ196" s="1" t="s">
        <v>74</v>
      </c>
      <c r="BK196" s="1" t="s">
        <v>74</v>
      </c>
      <c r="BL196" s="1" t="s">
        <v>98</v>
      </c>
      <c r="BM196" s="1" t="s">
        <v>74</v>
      </c>
      <c r="BN196" s="1" t="s">
        <v>74</v>
      </c>
      <c r="BO196" s="1" t="s">
        <v>74</v>
      </c>
      <c r="BP196" s="1" t="s">
        <v>74</v>
      </c>
      <c r="BQ196" s="1" t="s">
        <v>74</v>
      </c>
      <c r="BR196" s="1" t="s">
        <v>74</v>
      </c>
      <c r="BS196" s="1" t="s">
        <v>1986</v>
      </c>
      <c r="BT196" s="1" t="str">
        <f>HYPERLINK("https%3A%2F%2Fwww.webofscience.com%2Fwos%2Fwoscc%2Ffull-record%2FWOS:001428076400009","View Full Record in Web of Science")</f>
        <v>View Full Record in Web of Science</v>
      </c>
    </row>
    <row r="197" ht="12.75" customHeight="1">
      <c r="A197" s="1" t="s">
        <v>72</v>
      </c>
      <c r="B197" s="1" t="s">
        <v>1987</v>
      </c>
      <c r="C197" s="1" t="s">
        <v>74</v>
      </c>
      <c r="D197" s="1" t="s">
        <v>74</v>
      </c>
      <c r="E197" s="1" t="s">
        <v>74</v>
      </c>
      <c r="F197" s="1" t="s">
        <v>1988</v>
      </c>
      <c r="G197" s="1" t="s">
        <v>74</v>
      </c>
      <c r="H197" s="1" t="s">
        <v>74</v>
      </c>
      <c r="I197" s="1" t="s">
        <v>1989</v>
      </c>
      <c r="J197" s="1" t="s">
        <v>1990</v>
      </c>
      <c r="K197" s="1" t="s">
        <v>74</v>
      </c>
      <c r="L197" s="1" t="s">
        <v>74</v>
      </c>
      <c r="M197" s="1" t="s">
        <v>74</v>
      </c>
      <c r="N197" s="1" t="s">
        <v>78</v>
      </c>
      <c r="O197" s="1" t="s">
        <v>74</v>
      </c>
      <c r="P197" s="1" t="s">
        <v>74</v>
      </c>
      <c r="Q197" s="1" t="s">
        <v>74</v>
      </c>
      <c r="R197" s="1" t="s">
        <v>74</v>
      </c>
      <c r="S197" s="1" t="s">
        <v>74</v>
      </c>
      <c r="T197" s="1" t="s">
        <v>1991</v>
      </c>
      <c r="U197" s="1" t="s">
        <v>1992</v>
      </c>
      <c r="V197" s="1" t="s">
        <v>1993</v>
      </c>
      <c r="W197" s="1" t="s">
        <v>74</v>
      </c>
      <c r="X197" s="1" t="s">
        <v>74</v>
      </c>
      <c r="Y197" s="1" t="s">
        <v>74</v>
      </c>
      <c r="Z197" s="1" t="s">
        <v>74</v>
      </c>
      <c r="AA197" s="1" t="s">
        <v>74</v>
      </c>
      <c r="AB197" s="1" t="s">
        <v>74</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1994</v>
      </c>
      <c r="AP197" s="1" t="s">
        <v>1995</v>
      </c>
      <c r="AQ197" s="1" t="s">
        <v>74</v>
      </c>
      <c r="AR197" s="1" t="s">
        <v>74</v>
      </c>
      <c r="AS197" s="1" t="s">
        <v>74</v>
      </c>
      <c r="AT197" s="1" t="s">
        <v>84</v>
      </c>
      <c r="AU197" s="1">
        <v>2025.0</v>
      </c>
      <c r="AV197" s="1">
        <v>77.0</v>
      </c>
      <c r="AW197" s="1" t="s">
        <v>74</v>
      </c>
      <c r="AX197" s="1" t="s">
        <v>74</v>
      </c>
      <c r="AY197" s="1" t="s">
        <v>74</v>
      </c>
      <c r="AZ197" s="1" t="s">
        <v>74</v>
      </c>
      <c r="BA197" s="1" t="s">
        <v>74</v>
      </c>
      <c r="BB197" s="1" t="s">
        <v>74</v>
      </c>
      <c r="BC197" s="1" t="s">
        <v>74</v>
      </c>
      <c r="BD197" s="1">
        <v>106967.0</v>
      </c>
      <c r="BE197" s="1" t="s">
        <v>1996</v>
      </c>
      <c r="BF197" s="2" t="str">
        <f>HYPERLINK("http://dx.doi.org/10.1016/j.frl.2025.106967","http://dx.doi.org/10.1016/j.frl.2025.106967")</f>
        <v>http://dx.doi.org/10.1016/j.frl.2025.106967</v>
      </c>
      <c r="BG197" s="1" t="s">
        <v>74</v>
      </c>
      <c r="BH197" s="1" t="s">
        <v>347</v>
      </c>
      <c r="BI197" s="1" t="s">
        <v>74</v>
      </c>
      <c r="BJ197" s="1" t="s">
        <v>74</v>
      </c>
      <c r="BK197" s="1" t="s">
        <v>74</v>
      </c>
      <c r="BL197" s="1" t="s">
        <v>214</v>
      </c>
      <c r="BM197" s="1" t="s">
        <v>74</v>
      </c>
      <c r="BN197" s="1" t="s">
        <v>74</v>
      </c>
      <c r="BO197" s="1" t="s">
        <v>74</v>
      </c>
      <c r="BP197" s="1" t="s">
        <v>74</v>
      </c>
      <c r="BQ197" s="1" t="s">
        <v>74</v>
      </c>
      <c r="BR197" s="1" t="s">
        <v>74</v>
      </c>
      <c r="BS197" s="1" t="s">
        <v>1997</v>
      </c>
      <c r="BT197" s="1" t="str">
        <f>HYPERLINK("https%3A%2F%2Fwww.webofscience.com%2Fwos%2Fwoscc%2Ffull-record%2FWOS:001441835400001","View Full Record in Web of Science")</f>
        <v>View Full Record in Web of Science</v>
      </c>
    </row>
    <row r="198" ht="12.75" customHeight="1">
      <c r="A198" s="1" t="s">
        <v>72</v>
      </c>
      <c r="B198" s="1" t="s">
        <v>1998</v>
      </c>
      <c r="C198" s="1" t="s">
        <v>74</v>
      </c>
      <c r="D198" s="1" t="s">
        <v>74</v>
      </c>
      <c r="E198" s="1" t="s">
        <v>74</v>
      </c>
      <c r="F198" s="1" t="s">
        <v>1999</v>
      </c>
      <c r="G198" s="1" t="s">
        <v>74</v>
      </c>
      <c r="H198" s="1" t="s">
        <v>74</v>
      </c>
      <c r="I198" s="1" t="s">
        <v>2000</v>
      </c>
      <c r="J198" s="1" t="s">
        <v>1720</v>
      </c>
      <c r="K198" s="1" t="s">
        <v>74</v>
      </c>
      <c r="L198" s="1" t="s">
        <v>74</v>
      </c>
      <c r="M198" s="1" t="s">
        <v>74</v>
      </c>
      <c r="N198" s="1" t="s">
        <v>78</v>
      </c>
      <c r="O198" s="1" t="s">
        <v>74</v>
      </c>
      <c r="P198" s="1" t="s">
        <v>74</v>
      </c>
      <c r="Q198" s="1" t="s">
        <v>74</v>
      </c>
      <c r="R198" s="1" t="s">
        <v>74</v>
      </c>
      <c r="S198" s="1" t="s">
        <v>74</v>
      </c>
      <c r="T198" s="1" t="s">
        <v>2001</v>
      </c>
      <c r="U198" s="1" t="s">
        <v>2002</v>
      </c>
      <c r="V198" s="1" t="s">
        <v>2003</v>
      </c>
      <c r="W198" s="1" t="s">
        <v>74</v>
      </c>
      <c r="X198" s="1" t="s">
        <v>74</v>
      </c>
      <c r="Y198" s="1" t="s">
        <v>74</v>
      </c>
      <c r="Z198" s="1" t="s">
        <v>74</v>
      </c>
      <c r="AA198" s="1" t="s">
        <v>74</v>
      </c>
      <c r="AB198" s="1" t="s">
        <v>74</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74</v>
      </c>
      <c r="AP198" s="1" t="s">
        <v>1723</v>
      </c>
      <c r="AQ198" s="1" t="s">
        <v>74</v>
      </c>
      <c r="AR198" s="1" t="s">
        <v>74</v>
      </c>
      <c r="AS198" s="1" t="s">
        <v>74</v>
      </c>
      <c r="AT198" s="1" t="s">
        <v>84</v>
      </c>
      <c r="AU198" s="1">
        <v>2025.0</v>
      </c>
      <c r="AV198" s="1">
        <v>9.0</v>
      </c>
      <c r="AW198" s="1">
        <v>2.0</v>
      </c>
      <c r="AX198" s="1" t="s">
        <v>74</v>
      </c>
      <c r="AY198" s="1" t="s">
        <v>74</v>
      </c>
      <c r="AZ198" s="1" t="s">
        <v>74</v>
      </c>
      <c r="BA198" s="1" t="s">
        <v>74</v>
      </c>
      <c r="BB198" s="1" t="s">
        <v>74</v>
      </c>
      <c r="BC198" s="1" t="s">
        <v>74</v>
      </c>
      <c r="BD198" s="1" t="s">
        <v>2004</v>
      </c>
      <c r="BE198" s="1" t="s">
        <v>2005</v>
      </c>
      <c r="BF198" s="2" t="str">
        <f>HYPERLINK("http://dx.doi.org/10.1145/3711014","http://dx.doi.org/10.1145/3711014")</f>
        <v>http://dx.doi.org/10.1145/3711014</v>
      </c>
      <c r="BG198" s="1" t="s">
        <v>74</v>
      </c>
      <c r="BH198" s="1" t="s">
        <v>74</v>
      </c>
      <c r="BI198" s="1" t="s">
        <v>74</v>
      </c>
      <c r="BJ198" s="1" t="s">
        <v>74</v>
      </c>
      <c r="BK198" s="1" t="s">
        <v>74</v>
      </c>
      <c r="BL198" s="1" t="s">
        <v>174</v>
      </c>
      <c r="BM198" s="1" t="s">
        <v>74</v>
      </c>
      <c r="BN198" s="1" t="s">
        <v>74</v>
      </c>
      <c r="BO198" s="1" t="s">
        <v>74</v>
      </c>
      <c r="BP198" s="1" t="s">
        <v>74</v>
      </c>
      <c r="BQ198" s="1" t="s">
        <v>74</v>
      </c>
      <c r="BR198" s="1" t="s">
        <v>74</v>
      </c>
      <c r="BS198" s="1" t="s">
        <v>2006</v>
      </c>
      <c r="BT198" s="1" t="str">
        <f>HYPERLINK("https%3A%2F%2Fwww.webofscience.com%2Fwos%2Fwoscc%2Ffull-record%2FWOS:001571587600004","View Full Record in Web of Science")</f>
        <v>View Full Record in Web of Science</v>
      </c>
    </row>
    <row r="199" ht="12.75" customHeight="1">
      <c r="A199" s="1" t="s">
        <v>72</v>
      </c>
      <c r="B199" s="1" t="s">
        <v>2007</v>
      </c>
      <c r="C199" s="1" t="s">
        <v>74</v>
      </c>
      <c r="D199" s="1" t="s">
        <v>74</v>
      </c>
      <c r="E199" s="1" t="s">
        <v>74</v>
      </c>
      <c r="F199" s="1" t="s">
        <v>2008</v>
      </c>
      <c r="G199" s="1" t="s">
        <v>74</v>
      </c>
      <c r="H199" s="1" t="s">
        <v>74</v>
      </c>
      <c r="I199" s="1" t="s">
        <v>2009</v>
      </c>
      <c r="J199" s="1" t="s">
        <v>2010</v>
      </c>
      <c r="K199" s="1" t="s">
        <v>74</v>
      </c>
      <c r="L199" s="1" t="s">
        <v>74</v>
      </c>
      <c r="M199" s="1" t="s">
        <v>74</v>
      </c>
      <c r="N199" s="1" t="s">
        <v>78</v>
      </c>
      <c r="O199" s="1" t="s">
        <v>74</v>
      </c>
      <c r="P199" s="1" t="s">
        <v>74</v>
      </c>
      <c r="Q199" s="1" t="s">
        <v>74</v>
      </c>
      <c r="R199" s="1" t="s">
        <v>74</v>
      </c>
      <c r="S199" s="1" t="s">
        <v>74</v>
      </c>
      <c r="T199" s="1" t="s">
        <v>2011</v>
      </c>
      <c r="U199" s="1" t="s">
        <v>74</v>
      </c>
      <c r="V199" s="1" t="s">
        <v>2012</v>
      </c>
      <c r="W199" s="1" t="s">
        <v>74</v>
      </c>
      <c r="X199" s="1" t="s">
        <v>74</v>
      </c>
      <c r="Y199" s="1" t="s">
        <v>74</v>
      </c>
      <c r="Z199" s="1" t="s">
        <v>74</v>
      </c>
      <c r="AA199" s="1" t="s">
        <v>74</v>
      </c>
      <c r="AB199" s="1" t="s">
        <v>74</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2013</v>
      </c>
      <c r="AP199" s="1" t="s">
        <v>2014</v>
      </c>
      <c r="AQ199" s="1" t="s">
        <v>74</v>
      </c>
      <c r="AR199" s="1" t="s">
        <v>74</v>
      </c>
      <c r="AS199" s="1" t="s">
        <v>74</v>
      </c>
      <c r="AT199" s="1" t="s">
        <v>74</v>
      </c>
      <c r="AU199" s="1">
        <v>2024.0</v>
      </c>
      <c r="AV199" s="1">
        <v>22.0</v>
      </c>
      <c r="AW199" s="1">
        <v>3.0</v>
      </c>
      <c r="AX199" s="1" t="s">
        <v>74</v>
      </c>
      <c r="AY199" s="1" t="s">
        <v>74</v>
      </c>
      <c r="AZ199" s="1" t="s">
        <v>74</v>
      </c>
      <c r="BA199" s="1" t="s">
        <v>74</v>
      </c>
      <c r="BB199" s="1">
        <v>573.0</v>
      </c>
      <c r="BC199" s="1">
        <v>601.0</v>
      </c>
      <c r="BD199" s="1" t="s">
        <v>74</v>
      </c>
      <c r="BE199" s="1" t="s">
        <v>2015</v>
      </c>
      <c r="BF199" s="2" t="str">
        <f>HYPERLINK("http://dx.doi.org/10.21638/spbul8.2024.309","http://dx.doi.org/10.21638/spbul8.2024.309")</f>
        <v>http://dx.doi.org/10.21638/spbul8.2024.309</v>
      </c>
      <c r="BG199" s="1" t="s">
        <v>74</v>
      </c>
      <c r="BH199" s="1" t="s">
        <v>74</v>
      </c>
      <c r="BI199" s="1" t="s">
        <v>74</v>
      </c>
      <c r="BJ199" s="1" t="s">
        <v>74</v>
      </c>
      <c r="BK199" s="1" t="s">
        <v>74</v>
      </c>
      <c r="BL199" s="1" t="s">
        <v>214</v>
      </c>
      <c r="BM199" s="1" t="s">
        <v>74</v>
      </c>
      <c r="BN199" s="1" t="s">
        <v>74</v>
      </c>
      <c r="BO199" s="1" t="s">
        <v>74</v>
      </c>
      <c r="BP199" s="1" t="s">
        <v>74</v>
      </c>
      <c r="BQ199" s="1" t="s">
        <v>74</v>
      </c>
      <c r="BR199" s="1" t="s">
        <v>74</v>
      </c>
      <c r="BS199" s="1" t="s">
        <v>2016</v>
      </c>
      <c r="BT199" s="1" t="str">
        <f>HYPERLINK("https%3A%2F%2Fwww.webofscience.com%2Fwos%2Fwoscc%2Ffull-record%2FWOS:001389286600009","View Full Record in Web of Science")</f>
        <v>View Full Record in Web of Science</v>
      </c>
    </row>
    <row r="200" ht="12.75" customHeight="1">
      <c r="A200" s="1" t="s">
        <v>72</v>
      </c>
      <c r="B200" s="1" t="s">
        <v>2017</v>
      </c>
      <c r="C200" s="1" t="s">
        <v>74</v>
      </c>
      <c r="D200" s="1" t="s">
        <v>74</v>
      </c>
      <c r="E200" s="1" t="s">
        <v>74</v>
      </c>
      <c r="F200" s="1" t="s">
        <v>2018</v>
      </c>
      <c r="G200" s="1" t="s">
        <v>74</v>
      </c>
      <c r="H200" s="1" t="s">
        <v>74</v>
      </c>
      <c r="I200" s="1" t="s">
        <v>2019</v>
      </c>
      <c r="J200" s="1" t="s">
        <v>2020</v>
      </c>
      <c r="K200" s="1" t="s">
        <v>74</v>
      </c>
      <c r="L200" s="1" t="s">
        <v>74</v>
      </c>
      <c r="M200" s="1" t="s">
        <v>74</v>
      </c>
      <c r="N200" s="1" t="s">
        <v>78</v>
      </c>
      <c r="O200" s="1" t="s">
        <v>74</v>
      </c>
      <c r="P200" s="1" t="s">
        <v>74</v>
      </c>
      <c r="Q200" s="1" t="s">
        <v>74</v>
      </c>
      <c r="R200" s="1" t="s">
        <v>74</v>
      </c>
      <c r="S200" s="1" t="s">
        <v>74</v>
      </c>
      <c r="T200" s="1" t="s">
        <v>2021</v>
      </c>
      <c r="U200" s="1" t="s">
        <v>74</v>
      </c>
      <c r="V200" s="1" t="s">
        <v>2022</v>
      </c>
      <c r="W200" s="1" t="s">
        <v>74</v>
      </c>
      <c r="X200" s="1" t="s">
        <v>74</v>
      </c>
      <c r="Y200" s="1" t="s">
        <v>74</v>
      </c>
      <c r="Z200" s="1" t="s">
        <v>74</v>
      </c>
      <c r="AA200" s="1" t="s">
        <v>74</v>
      </c>
      <c r="AB200" s="1" t="s">
        <v>74</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2023</v>
      </c>
      <c r="AP200" s="1" t="s">
        <v>2024</v>
      </c>
      <c r="AQ200" s="1" t="s">
        <v>74</v>
      </c>
      <c r="AR200" s="1" t="s">
        <v>74</v>
      </c>
      <c r="AS200" s="1" t="s">
        <v>74</v>
      </c>
      <c r="AT200" s="1" t="s">
        <v>2025</v>
      </c>
      <c r="AU200" s="1">
        <v>2025.0</v>
      </c>
      <c r="AV200" s="1">
        <v>15.0</v>
      </c>
      <c r="AW200" s="1">
        <v>3.0</v>
      </c>
      <c r="AX200" s="1" t="s">
        <v>74</v>
      </c>
      <c r="AY200" s="1" t="s">
        <v>74</v>
      </c>
      <c r="AZ200" s="1" t="s">
        <v>74</v>
      </c>
      <c r="BA200" s="1" t="s">
        <v>74</v>
      </c>
      <c r="BB200" s="1">
        <v>279.0</v>
      </c>
      <c r="BC200" s="1">
        <v>298.0</v>
      </c>
      <c r="BD200" s="1" t="s">
        <v>74</v>
      </c>
      <c r="BE200" s="1" t="s">
        <v>2026</v>
      </c>
      <c r="BF200" s="2" t="str">
        <f>HYPERLINK("http://dx.doi.org/10.2478/jaiscr-2025-0014","http://dx.doi.org/10.2478/jaiscr-2025-0014")</f>
        <v>http://dx.doi.org/10.2478/jaiscr-2025-0014</v>
      </c>
      <c r="BG200" s="1" t="s">
        <v>74</v>
      </c>
      <c r="BH200" s="1" t="s">
        <v>74</v>
      </c>
      <c r="BI200" s="1" t="s">
        <v>74</v>
      </c>
      <c r="BJ200" s="1" t="s">
        <v>74</v>
      </c>
      <c r="BK200" s="1" t="s">
        <v>74</v>
      </c>
      <c r="BL200" s="1" t="s">
        <v>174</v>
      </c>
      <c r="BM200" s="1" t="s">
        <v>74</v>
      </c>
      <c r="BN200" s="1" t="s">
        <v>74</v>
      </c>
      <c r="BO200" s="1" t="s">
        <v>163</v>
      </c>
      <c r="BP200" s="1" t="s">
        <v>74</v>
      </c>
      <c r="BQ200" s="1" t="s">
        <v>74</v>
      </c>
      <c r="BR200" s="1" t="s">
        <v>74</v>
      </c>
      <c r="BS200" s="1" t="s">
        <v>2027</v>
      </c>
      <c r="BT200" s="1" t="str">
        <f>HYPERLINK("https%3A%2F%2Fwww.webofscience.com%2Fwos%2Fwoscc%2Ffull-record%2FWOS:001449223200001","View Full Record in Web of Science")</f>
        <v>View Full Record in Web of Science</v>
      </c>
    </row>
    <row r="201" ht="12.75" customHeight="1">
      <c r="A201" s="1" t="s">
        <v>72</v>
      </c>
      <c r="B201" s="1" t="s">
        <v>2028</v>
      </c>
      <c r="C201" s="1" t="s">
        <v>74</v>
      </c>
      <c r="D201" s="1" t="s">
        <v>74</v>
      </c>
      <c r="E201" s="1" t="s">
        <v>74</v>
      </c>
      <c r="F201" s="1" t="s">
        <v>2029</v>
      </c>
      <c r="G201" s="1" t="s">
        <v>74</v>
      </c>
      <c r="H201" s="1" t="s">
        <v>74</v>
      </c>
      <c r="I201" s="1" t="s">
        <v>2030</v>
      </c>
      <c r="J201" s="1" t="s">
        <v>1580</v>
      </c>
      <c r="K201" s="1" t="s">
        <v>74</v>
      </c>
      <c r="L201" s="1" t="s">
        <v>74</v>
      </c>
      <c r="M201" s="1" t="s">
        <v>74</v>
      </c>
      <c r="N201" s="1" t="s">
        <v>78</v>
      </c>
      <c r="O201" s="1" t="s">
        <v>74</v>
      </c>
      <c r="P201" s="1" t="s">
        <v>74</v>
      </c>
      <c r="Q201" s="1" t="s">
        <v>74</v>
      </c>
      <c r="R201" s="1" t="s">
        <v>74</v>
      </c>
      <c r="S201" s="1" t="s">
        <v>74</v>
      </c>
      <c r="T201" s="1" t="s">
        <v>2031</v>
      </c>
      <c r="U201" s="1" t="s">
        <v>2032</v>
      </c>
      <c r="V201" s="1" t="s">
        <v>2033</v>
      </c>
      <c r="W201" s="1" t="s">
        <v>74</v>
      </c>
      <c r="X201" s="1" t="s">
        <v>74</v>
      </c>
      <c r="Y201" s="1" t="s">
        <v>74</v>
      </c>
      <c r="Z201" s="1" t="s">
        <v>74</v>
      </c>
      <c r="AA201" s="1" t="s">
        <v>74</v>
      </c>
      <c r="AB201" s="1" t="s">
        <v>74</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1583</v>
      </c>
      <c r="AP201" s="1" t="s">
        <v>1584</v>
      </c>
      <c r="AQ201" s="1" t="s">
        <v>74</v>
      </c>
      <c r="AR201" s="1" t="s">
        <v>74</v>
      </c>
      <c r="AS201" s="1" t="s">
        <v>74</v>
      </c>
      <c r="AT201" s="1" t="s">
        <v>262</v>
      </c>
      <c r="AU201" s="1">
        <v>2025.0</v>
      </c>
      <c r="AV201" s="1">
        <v>181.0</v>
      </c>
      <c r="AW201" s="1" t="s">
        <v>74</v>
      </c>
      <c r="AX201" s="1" t="s">
        <v>74</v>
      </c>
      <c r="AY201" s="1" t="s">
        <v>74</v>
      </c>
      <c r="AZ201" s="1" t="s">
        <v>74</v>
      </c>
      <c r="BA201" s="1" t="s">
        <v>74</v>
      </c>
      <c r="BB201" s="1" t="s">
        <v>74</v>
      </c>
      <c r="BC201" s="1" t="s">
        <v>74</v>
      </c>
      <c r="BD201" s="1">
        <v>113311.0</v>
      </c>
      <c r="BE201" s="1" t="s">
        <v>2034</v>
      </c>
      <c r="BF201" s="2" t="str">
        <f>HYPERLINK("http://dx.doi.org/10.1016/j.asoc.2025.113311","http://dx.doi.org/10.1016/j.asoc.2025.113311")</f>
        <v>http://dx.doi.org/10.1016/j.asoc.2025.113311</v>
      </c>
      <c r="BG201" s="1" t="s">
        <v>74</v>
      </c>
      <c r="BH201" s="1" t="s">
        <v>112</v>
      </c>
      <c r="BI201" s="1" t="s">
        <v>74</v>
      </c>
      <c r="BJ201" s="1" t="s">
        <v>74</v>
      </c>
      <c r="BK201" s="1" t="s">
        <v>74</v>
      </c>
      <c r="BL201" s="1" t="s">
        <v>174</v>
      </c>
      <c r="BM201" s="1" t="s">
        <v>74</v>
      </c>
      <c r="BN201" s="1" t="s">
        <v>74</v>
      </c>
      <c r="BO201" s="1" t="s">
        <v>74</v>
      </c>
      <c r="BP201" s="1" t="s">
        <v>74</v>
      </c>
      <c r="BQ201" s="1" t="s">
        <v>74</v>
      </c>
      <c r="BR201" s="1" t="s">
        <v>74</v>
      </c>
      <c r="BS201" s="1" t="s">
        <v>2035</v>
      </c>
      <c r="BT201" s="1" t="str">
        <f>HYPERLINK("https%3A%2F%2Fwww.webofscience.com%2Fwos%2Fwoscc%2Ffull-record%2FWOS:001523196400001","View Full Record in Web of Science")</f>
        <v>View Full Record in Web of Science</v>
      </c>
    </row>
    <row r="202" ht="12.75" customHeight="1">
      <c r="A202" s="1" t="s">
        <v>72</v>
      </c>
      <c r="B202" s="1" t="s">
        <v>2036</v>
      </c>
      <c r="C202" s="1" t="s">
        <v>74</v>
      </c>
      <c r="D202" s="1" t="s">
        <v>74</v>
      </c>
      <c r="E202" s="1" t="s">
        <v>74</v>
      </c>
      <c r="F202" s="1" t="s">
        <v>2037</v>
      </c>
      <c r="G202" s="1" t="s">
        <v>74</v>
      </c>
      <c r="H202" s="1" t="s">
        <v>74</v>
      </c>
      <c r="I202" s="1" t="s">
        <v>2038</v>
      </c>
      <c r="J202" s="1" t="s">
        <v>2039</v>
      </c>
      <c r="K202" s="1" t="s">
        <v>74</v>
      </c>
      <c r="L202" s="1" t="s">
        <v>74</v>
      </c>
      <c r="M202" s="1" t="s">
        <v>74</v>
      </c>
      <c r="N202" s="1" t="s">
        <v>78</v>
      </c>
      <c r="O202" s="1" t="s">
        <v>74</v>
      </c>
      <c r="P202" s="1" t="s">
        <v>74</v>
      </c>
      <c r="Q202" s="1" t="s">
        <v>74</v>
      </c>
      <c r="R202" s="1" t="s">
        <v>74</v>
      </c>
      <c r="S202" s="1" t="s">
        <v>74</v>
      </c>
      <c r="T202" s="1" t="s">
        <v>2040</v>
      </c>
      <c r="U202" s="1" t="s">
        <v>2041</v>
      </c>
      <c r="V202" s="1" t="s">
        <v>2042</v>
      </c>
      <c r="W202" s="1" t="s">
        <v>74</v>
      </c>
      <c r="X202" s="1" t="s">
        <v>74</v>
      </c>
      <c r="Y202" s="1" t="s">
        <v>74</v>
      </c>
      <c r="Z202" s="1" t="s">
        <v>74</v>
      </c>
      <c r="AA202" s="1" t="s">
        <v>74</v>
      </c>
      <c r="AB202" s="1" t="s">
        <v>74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2043</v>
      </c>
      <c r="AP202" s="1" t="s">
        <v>2044</v>
      </c>
      <c r="AQ202" s="1" t="s">
        <v>74</v>
      </c>
      <c r="AR202" s="1" t="s">
        <v>74</v>
      </c>
      <c r="AS202" s="1" t="s">
        <v>74</v>
      </c>
      <c r="AT202" s="1" t="s">
        <v>262</v>
      </c>
      <c r="AU202" s="1">
        <v>2024.0</v>
      </c>
      <c r="AV202" s="1">
        <v>14.0</v>
      </c>
      <c r="AW202" s="1">
        <v>3.0</v>
      </c>
      <c r="AX202" s="1" t="s">
        <v>74</v>
      </c>
      <c r="AY202" s="1" t="s">
        <v>74</v>
      </c>
      <c r="AZ202" s="1" t="s">
        <v>74</v>
      </c>
      <c r="BA202" s="1" t="s">
        <v>74</v>
      </c>
      <c r="BB202" s="1" t="s">
        <v>74</v>
      </c>
      <c r="BC202" s="1" t="s">
        <v>74</v>
      </c>
      <c r="BD202" s="1">
        <v>22.0</v>
      </c>
      <c r="BE202" s="1" t="s">
        <v>2045</v>
      </c>
      <c r="BF202" s="2" t="str">
        <f>HYPERLINK("http://dx.doi.org/10.1145/3685053","http://dx.doi.org/10.1145/3685053")</f>
        <v>http://dx.doi.org/10.1145/3685053</v>
      </c>
      <c r="BG202" s="1" t="s">
        <v>74</v>
      </c>
      <c r="BH202" s="1" t="s">
        <v>74</v>
      </c>
      <c r="BI202" s="1" t="s">
        <v>74</v>
      </c>
      <c r="BJ202" s="1" t="s">
        <v>74</v>
      </c>
      <c r="BK202" s="1" t="s">
        <v>74</v>
      </c>
      <c r="BL202" s="1" t="s">
        <v>174</v>
      </c>
      <c r="BM202" s="1" t="s">
        <v>74</v>
      </c>
      <c r="BN202" s="1" t="s">
        <v>74</v>
      </c>
      <c r="BO202" s="1" t="s">
        <v>383</v>
      </c>
      <c r="BP202" s="1" t="s">
        <v>74</v>
      </c>
      <c r="BQ202" s="1" t="s">
        <v>74</v>
      </c>
      <c r="BR202" s="1" t="s">
        <v>74</v>
      </c>
      <c r="BS202" s="1" t="s">
        <v>2046</v>
      </c>
      <c r="BT202" s="1" t="str">
        <f>HYPERLINK("https%3A%2F%2Fwww.webofscience.com%2Fwos%2Fwoscc%2Ffull-record%2FWOS:001325885100001","View Full Record in Web of Science")</f>
        <v>View Full Record in Web of Science</v>
      </c>
    </row>
    <row r="203" ht="12.75" customHeight="1">
      <c r="A203" s="1" t="s">
        <v>72</v>
      </c>
      <c r="B203" s="1" t="s">
        <v>2047</v>
      </c>
      <c r="C203" s="1" t="s">
        <v>74</v>
      </c>
      <c r="D203" s="1" t="s">
        <v>74</v>
      </c>
      <c r="E203" s="1" t="s">
        <v>74</v>
      </c>
      <c r="F203" s="1" t="s">
        <v>2048</v>
      </c>
      <c r="G203" s="1" t="s">
        <v>74</v>
      </c>
      <c r="H203" s="1" t="s">
        <v>74</v>
      </c>
      <c r="I203" s="1" t="s">
        <v>2049</v>
      </c>
      <c r="J203" s="1" t="s">
        <v>1904</v>
      </c>
      <c r="K203" s="1" t="s">
        <v>74</v>
      </c>
      <c r="L203" s="1" t="s">
        <v>74</v>
      </c>
      <c r="M203" s="1" t="s">
        <v>74</v>
      </c>
      <c r="N203" s="1" t="s">
        <v>78</v>
      </c>
      <c r="O203" s="1" t="s">
        <v>74</v>
      </c>
      <c r="P203" s="1" t="s">
        <v>74</v>
      </c>
      <c r="Q203" s="1" t="s">
        <v>74</v>
      </c>
      <c r="R203" s="1" t="s">
        <v>74</v>
      </c>
      <c r="S203" s="1" t="s">
        <v>74</v>
      </c>
      <c r="T203" s="1" t="s">
        <v>2050</v>
      </c>
      <c r="U203" s="1" t="s">
        <v>2051</v>
      </c>
      <c r="V203" s="1" t="s">
        <v>2052</v>
      </c>
      <c r="W203" s="1" t="s">
        <v>74</v>
      </c>
      <c r="X203" s="1" t="s">
        <v>74</v>
      </c>
      <c r="Y203" s="1" t="s">
        <v>74</v>
      </c>
      <c r="Z203" s="1" t="s">
        <v>74</v>
      </c>
      <c r="AA203" s="1" t="s">
        <v>74</v>
      </c>
      <c r="AB203" s="1" t="s">
        <v>74</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74</v>
      </c>
      <c r="AP203" s="1" t="s">
        <v>1908</v>
      </c>
      <c r="AQ203" s="1" t="s">
        <v>74</v>
      </c>
      <c r="AR203" s="1" t="s">
        <v>74</v>
      </c>
      <c r="AS203" s="1" t="s">
        <v>74</v>
      </c>
      <c r="AT203" s="1" t="s">
        <v>262</v>
      </c>
      <c r="AU203" s="1">
        <v>2025.0</v>
      </c>
      <c r="AV203" s="1">
        <v>5.0</v>
      </c>
      <c r="AW203" s="1">
        <v>3.0</v>
      </c>
      <c r="AX203" s="1" t="s">
        <v>74</v>
      </c>
      <c r="AY203" s="1" t="s">
        <v>74</v>
      </c>
      <c r="AZ203" s="1" t="s">
        <v>74</v>
      </c>
      <c r="BA203" s="1" t="s">
        <v>74</v>
      </c>
      <c r="BB203" s="1" t="s">
        <v>74</v>
      </c>
      <c r="BC203" s="1" t="s">
        <v>74</v>
      </c>
      <c r="BD203" s="1">
        <v>100292.0</v>
      </c>
      <c r="BE203" s="1" t="s">
        <v>2053</v>
      </c>
      <c r="BF203" s="2" t="str">
        <f>HYPERLINK("http://dx.doi.org/10.1016/j.hcc.2024.100292","http://dx.doi.org/10.1016/j.hcc.2024.100292")</f>
        <v>http://dx.doi.org/10.1016/j.hcc.2024.100292</v>
      </c>
      <c r="BG203" s="1" t="s">
        <v>74</v>
      </c>
      <c r="BH203" s="1" t="s">
        <v>738</v>
      </c>
      <c r="BI203" s="1" t="s">
        <v>74</v>
      </c>
      <c r="BJ203" s="1" t="s">
        <v>74</v>
      </c>
      <c r="BK203" s="1" t="s">
        <v>74</v>
      </c>
      <c r="BL203" s="1" t="s">
        <v>174</v>
      </c>
      <c r="BM203" s="1" t="s">
        <v>74</v>
      </c>
      <c r="BN203" s="1" t="s">
        <v>74</v>
      </c>
      <c r="BO203" s="1" t="s">
        <v>153</v>
      </c>
      <c r="BP203" s="1" t="s">
        <v>74</v>
      </c>
      <c r="BQ203" s="1" t="s">
        <v>74</v>
      </c>
      <c r="BR203" s="1" t="s">
        <v>74</v>
      </c>
      <c r="BS203" s="1" t="s">
        <v>2054</v>
      </c>
      <c r="BT203" s="1" t="str">
        <f>HYPERLINK("https%3A%2F%2Fwww.webofscience.com%2Fwos%2Fwoscc%2Ffull-record%2FWOS:001582033100001","View Full Record in Web of Science")</f>
        <v>View Full Record in Web of Science</v>
      </c>
    </row>
    <row r="204" ht="12.75" customHeight="1">
      <c r="A204" s="1" t="s">
        <v>72</v>
      </c>
      <c r="B204" s="1" t="s">
        <v>2055</v>
      </c>
      <c r="C204" s="1" t="s">
        <v>74</v>
      </c>
      <c r="D204" s="1" t="s">
        <v>74</v>
      </c>
      <c r="E204" s="1" t="s">
        <v>74</v>
      </c>
      <c r="F204" s="1" t="s">
        <v>2056</v>
      </c>
      <c r="G204" s="1" t="s">
        <v>74</v>
      </c>
      <c r="H204" s="1" t="s">
        <v>74</v>
      </c>
      <c r="I204" s="1" t="s">
        <v>2057</v>
      </c>
      <c r="J204" s="1" t="s">
        <v>2058</v>
      </c>
      <c r="K204" s="1" t="s">
        <v>74</v>
      </c>
      <c r="L204" s="1" t="s">
        <v>74</v>
      </c>
      <c r="M204" s="1" t="s">
        <v>74</v>
      </c>
      <c r="N204" s="1" t="s">
        <v>78</v>
      </c>
      <c r="O204" s="1" t="s">
        <v>74</v>
      </c>
      <c r="P204" s="1" t="s">
        <v>74</v>
      </c>
      <c r="Q204" s="1" t="s">
        <v>74</v>
      </c>
      <c r="R204" s="1" t="s">
        <v>74</v>
      </c>
      <c r="S204" s="1" t="s">
        <v>74</v>
      </c>
      <c r="T204" s="1" t="s">
        <v>2059</v>
      </c>
      <c r="U204" s="1" t="s">
        <v>74</v>
      </c>
      <c r="V204" s="1" t="s">
        <v>2060</v>
      </c>
      <c r="W204" s="1" t="s">
        <v>74</v>
      </c>
      <c r="X204" s="1" t="s">
        <v>74</v>
      </c>
      <c r="Y204" s="1" t="s">
        <v>74</v>
      </c>
      <c r="Z204" s="1" t="s">
        <v>74</v>
      </c>
      <c r="AA204" s="1" t="s">
        <v>74</v>
      </c>
      <c r="AB204" s="1" t="s">
        <v>74</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2061</v>
      </c>
      <c r="AP204" s="1" t="s">
        <v>2062</v>
      </c>
      <c r="AQ204" s="1" t="s">
        <v>74</v>
      </c>
      <c r="AR204" s="1" t="s">
        <v>74</v>
      </c>
      <c r="AS204" s="1" t="s">
        <v>74</v>
      </c>
      <c r="AT204" s="1" t="s">
        <v>225</v>
      </c>
      <c r="AU204" s="1">
        <v>2025.0</v>
      </c>
      <c r="AV204" s="1">
        <v>51.0</v>
      </c>
      <c r="AW204" s="1">
        <v>7.0</v>
      </c>
      <c r="AX204" s="1" t="s">
        <v>74</v>
      </c>
      <c r="AY204" s="1" t="s">
        <v>74</v>
      </c>
      <c r="AZ204" s="1" t="s">
        <v>74</v>
      </c>
      <c r="BA204" s="1" t="s">
        <v>74</v>
      </c>
      <c r="BB204" s="1">
        <v>493.0</v>
      </c>
      <c r="BC204" s="1">
        <v>496.0</v>
      </c>
      <c r="BD204" s="1" t="s">
        <v>74</v>
      </c>
      <c r="BE204" s="1" t="s">
        <v>2063</v>
      </c>
      <c r="BF204" s="2" t="str">
        <f>HYPERLINK("http://dx.doi.org/10.1136/jme-2023-109737","http://dx.doi.org/10.1136/jme-2023-109737")</f>
        <v>http://dx.doi.org/10.1136/jme-2023-109737</v>
      </c>
      <c r="BG204" s="1" t="s">
        <v>74</v>
      </c>
      <c r="BH204" s="1" t="s">
        <v>453</v>
      </c>
      <c r="BI204" s="1" t="s">
        <v>74</v>
      </c>
      <c r="BJ204" s="1" t="s">
        <v>74</v>
      </c>
      <c r="BK204" s="1" t="s">
        <v>74</v>
      </c>
      <c r="BL204" s="1" t="s">
        <v>2064</v>
      </c>
      <c r="BM204" s="1" t="s">
        <v>74</v>
      </c>
      <c r="BN204" s="1" t="s">
        <v>74</v>
      </c>
      <c r="BO204" s="1" t="s">
        <v>74</v>
      </c>
      <c r="BP204" s="1" t="s">
        <v>74</v>
      </c>
      <c r="BQ204" s="1" t="s">
        <v>74</v>
      </c>
      <c r="BR204" s="1" t="s">
        <v>74</v>
      </c>
      <c r="BS204" s="1" t="s">
        <v>2065</v>
      </c>
      <c r="BT204" s="1" t="str">
        <f>HYPERLINK("https%3A%2F%2Fwww.webofscience.com%2Fwos%2Fwoscc%2Ffull-record%2FWOS:001319689900001","View Full Record in Web of Science")</f>
        <v>View Full Record in Web of Science</v>
      </c>
    </row>
    <row r="205" ht="12.75" customHeight="1">
      <c r="A205" s="1" t="s">
        <v>72</v>
      </c>
      <c r="B205" s="1" t="s">
        <v>2066</v>
      </c>
      <c r="C205" s="1" t="s">
        <v>74</v>
      </c>
      <c r="D205" s="1" t="s">
        <v>74</v>
      </c>
      <c r="E205" s="1" t="s">
        <v>74</v>
      </c>
      <c r="F205" s="1" t="s">
        <v>2067</v>
      </c>
      <c r="G205" s="1" t="s">
        <v>74</v>
      </c>
      <c r="H205" s="1" t="s">
        <v>74</v>
      </c>
      <c r="I205" s="1" t="s">
        <v>2068</v>
      </c>
      <c r="J205" s="1" t="s">
        <v>1230</v>
      </c>
      <c r="K205" s="1" t="s">
        <v>74</v>
      </c>
      <c r="L205" s="1" t="s">
        <v>74</v>
      </c>
      <c r="M205" s="1" t="s">
        <v>74</v>
      </c>
      <c r="N205" s="1" t="s">
        <v>78</v>
      </c>
      <c r="O205" s="1" t="s">
        <v>74</v>
      </c>
      <c r="P205" s="1" t="s">
        <v>74</v>
      </c>
      <c r="Q205" s="1" t="s">
        <v>74</v>
      </c>
      <c r="R205" s="1" t="s">
        <v>74</v>
      </c>
      <c r="S205" s="1" t="s">
        <v>74</v>
      </c>
      <c r="T205" s="1" t="s">
        <v>2069</v>
      </c>
      <c r="U205" s="1" t="s">
        <v>74</v>
      </c>
      <c r="V205" s="1" t="s">
        <v>2070</v>
      </c>
      <c r="W205" s="1" t="s">
        <v>74</v>
      </c>
      <c r="X205" s="1" t="s">
        <v>74</v>
      </c>
      <c r="Y205" s="1" t="s">
        <v>74</v>
      </c>
      <c r="Z205" s="1" t="s">
        <v>74</v>
      </c>
      <c r="AA205" s="1" t="s">
        <v>74</v>
      </c>
      <c r="AB205" s="1" t="s">
        <v>74</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1233</v>
      </c>
      <c r="AP205" s="1" t="s">
        <v>1234</v>
      </c>
      <c r="AQ205" s="1" t="s">
        <v>74</v>
      </c>
      <c r="AR205" s="1" t="s">
        <v>74</v>
      </c>
      <c r="AS205" s="1" t="s">
        <v>74</v>
      </c>
      <c r="AT205" s="1" t="s">
        <v>1078</v>
      </c>
      <c r="AU205" s="1">
        <v>2026.0</v>
      </c>
      <c r="AV205" s="1">
        <v>297.0</v>
      </c>
      <c r="AW205" s="1" t="s">
        <v>74</v>
      </c>
      <c r="AX205" s="1" t="s">
        <v>1409</v>
      </c>
      <c r="AY205" s="1" t="s">
        <v>74</v>
      </c>
      <c r="AZ205" s="1" t="s">
        <v>74</v>
      </c>
      <c r="BA205" s="1" t="s">
        <v>74</v>
      </c>
      <c r="BB205" s="1" t="s">
        <v>74</v>
      </c>
      <c r="BC205" s="1" t="s">
        <v>74</v>
      </c>
      <c r="BD205" s="1">
        <v>129273.0</v>
      </c>
      <c r="BE205" s="1" t="s">
        <v>2071</v>
      </c>
      <c r="BF205" s="2" t="str">
        <f>HYPERLINK("http://dx.doi.org/10.1016/j.eswa.2025.129273","http://dx.doi.org/10.1016/j.eswa.2025.129273")</f>
        <v>http://dx.doi.org/10.1016/j.eswa.2025.129273</v>
      </c>
      <c r="BG205" s="1" t="s">
        <v>74</v>
      </c>
      <c r="BH205" s="1" t="s">
        <v>276</v>
      </c>
      <c r="BI205" s="1" t="s">
        <v>74</v>
      </c>
      <c r="BJ205" s="1" t="s">
        <v>74</v>
      </c>
      <c r="BK205" s="1" t="s">
        <v>74</v>
      </c>
      <c r="BL205" s="1" t="s">
        <v>1237</v>
      </c>
      <c r="BM205" s="1" t="s">
        <v>74</v>
      </c>
      <c r="BN205" s="1" t="s">
        <v>74</v>
      </c>
      <c r="BO205" s="1" t="s">
        <v>74</v>
      </c>
      <c r="BP205" s="1" t="s">
        <v>74</v>
      </c>
      <c r="BQ205" s="1" t="s">
        <v>74</v>
      </c>
      <c r="BR205" s="1" t="s">
        <v>74</v>
      </c>
      <c r="BS205" s="1" t="s">
        <v>2072</v>
      </c>
      <c r="BT205" s="1" t="str">
        <f>HYPERLINK("https%3A%2F%2Fwww.webofscience.com%2Fwos%2Fwoscc%2Ffull-record%2FWOS:001581022300003","View Full Record in Web of Science")</f>
        <v>View Full Record in Web of Science</v>
      </c>
    </row>
    <row r="206" ht="12.75" customHeight="1">
      <c r="A206" s="1" t="s">
        <v>72</v>
      </c>
      <c r="B206" s="1" t="s">
        <v>2073</v>
      </c>
      <c r="C206" s="1" t="s">
        <v>74</v>
      </c>
      <c r="D206" s="1" t="s">
        <v>74</v>
      </c>
      <c r="E206" s="1" t="s">
        <v>74</v>
      </c>
      <c r="F206" s="1" t="s">
        <v>2074</v>
      </c>
      <c r="G206" s="1" t="s">
        <v>74</v>
      </c>
      <c r="H206" s="1" t="s">
        <v>74</v>
      </c>
      <c r="I206" s="1" t="s">
        <v>2075</v>
      </c>
      <c r="J206" s="1" t="s">
        <v>1208</v>
      </c>
      <c r="K206" s="1" t="s">
        <v>74</v>
      </c>
      <c r="L206" s="1" t="s">
        <v>74</v>
      </c>
      <c r="M206" s="1" t="s">
        <v>74</v>
      </c>
      <c r="N206" s="1" t="s">
        <v>78</v>
      </c>
      <c r="O206" s="1" t="s">
        <v>74</v>
      </c>
      <c r="P206" s="1" t="s">
        <v>74</v>
      </c>
      <c r="Q206" s="1" t="s">
        <v>74</v>
      </c>
      <c r="R206" s="1" t="s">
        <v>74</v>
      </c>
      <c r="S206" s="1" t="s">
        <v>74</v>
      </c>
      <c r="T206" s="1" t="s">
        <v>2076</v>
      </c>
      <c r="U206" s="1" t="s">
        <v>74</v>
      </c>
      <c r="V206" s="1" t="s">
        <v>2077</v>
      </c>
      <c r="W206" s="1" t="s">
        <v>74</v>
      </c>
      <c r="X206" s="1" t="s">
        <v>74</v>
      </c>
      <c r="Y206" s="1" t="s">
        <v>74</v>
      </c>
      <c r="Z206" s="1" t="s">
        <v>74</v>
      </c>
      <c r="AA206" s="1" t="s">
        <v>74</v>
      </c>
      <c r="AB206" s="1" t="s">
        <v>74</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1211</v>
      </c>
      <c r="AP206" s="1" t="s">
        <v>1212</v>
      </c>
      <c r="AQ206" s="1" t="s">
        <v>74</v>
      </c>
      <c r="AR206" s="1" t="s">
        <v>74</v>
      </c>
      <c r="AS206" s="1" t="s">
        <v>74</v>
      </c>
      <c r="AT206" s="1" t="s">
        <v>84</v>
      </c>
      <c r="AU206" s="1">
        <v>2025.0</v>
      </c>
      <c r="AV206" s="1">
        <v>158.0</v>
      </c>
      <c r="AW206" s="1" t="s">
        <v>74</v>
      </c>
      <c r="AX206" s="1" t="s">
        <v>74</v>
      </c>
      <c r="AY206" s="1" t="s">
        <v>74</v>
      </c>
      <c r="AZ206" s="1" t="s">
        <v>74</v>
      </c>
      <c r="BA206" s="1" t="s">
        <v>74</v>
      </c>
      <c r="BB206" s="1" t="s">
        <v>74</v>
      </c>
      <c r="BC206" s="1" t="s">
        <v>74</v>
      </c>
      <c r="BD206" s="1">
        <v>105489.0</v>
      </c>
      <c r="BE206" s="1" t="s">
        <v>2078</v>
      </c>
      <c r="BF206" s="2" t="str">
        <f>HYPERLINK("http://dx.doi.org/10.1016/j.imavis.2025.105489","http://dx.doi.org/10.1016/j.imavis.2025.105489")</f>
        <v>http://dx.doi.org/10.1016/j.imavis.2025.105489</v>
      </c>
      <c r="BG206" s="1" t="s">
        <v>74</v>
      </c>
      <c r="BH206" s="1" t="s">
        <v>526</v>
      </c>
      <c r="BI206" s="1" t="s">
        <v>74</v>
      </c>
      <c r="BJ206" s="1" t="s">
        <v>74</v>
      </c>
      <c r="BK206" s="1" t="s">
        <v>74</v>
      </c>
      <c r="BL206" s="1" t="s">
        <v>1214</v>
      </c>
      <c r="BM206" s="1" t="s">
        <v>74</v>
      </c>
      <c r="BN206" s="1" t="s">
        <v>74</v>
      </c>
      <c r="BO206" s="1" t="s">
        <v>114</v>
      </c>
      <c r="BP206" s="1" t="s">
        <v>74</v>
      </c>
      <c r="BQ206" s="1" t="s">
        <v>74</v>
      </c>
      <c r="BR206" s="1" t="s">
        <v>74</v>
      </c>
      <c r="BS206" s="1" t="s">
        <v>2079</v>
      </c>
      <c r="BT206" s="1" t="str">
        <f>HYPERLINK("https%3A%2F%2Fwww.webofscience.com%2Fwos%2Fwoscc%2Ffull-record%2FWOS:001480743100001","View Full Record in Web of Science")</f>
        <v>View Full Record in Web of Science</v>
      </c>
    </row>
    <row r="207" ht="12.75" customHeight="1">
      <c r="A207" s="1" t="s">
        <v>72</v>
      </c>
      <c r="B207" s="1" t="s">
        <v>2080</v>
      </c>
      <c r="C207" s="1" t="s">
        <v>74</v>
      </c>
      <c r="D207" s="1" t="s">
        <v>74</v>
      </c>
      <c r="E207" s="1" t="s">
        <v>74</v>
      </c>
      <c r="F207" s="1" t="s">
        <v>2081</v>
      </c>
      <c r="G207" s="1" t="s">
        <v>74</v>
      </c>
      <c r="H207" s="1" t="s">
        <v>74</v>
      </c>
      <c r="I207" s="1" t="s">
        <v>2082</v>
      </c>
      <c r="J207" s="1" t="s">
        <v>2083</v>
      </c>
      <c r="K207" s="1" t="s">
        <v>74</v>
      </c>
      <c r="L207" s="1" t="s">
        <v>74</v>
      </c>
      <c r="M207" s="1" t="s">
        <v>74</v>
      </c>
      <c r="N207" s="1" t="s">
        <v>953</v>
      </c>
      <c r="O207" s="1" t="s">
        <v>74</v>
      </c>
      <c r="P207" s="1" t="s">
        <v>74</v>
      </c>
      <c r="Q207" s="1" t="s">
        <v>74</v>
      </c>
      <c r="R207" s="1" t="s">
        <v>74</v>
      </c>
      <c r="S207" s="1" t="s">
        <v>74</v>
      </c>
      <c r="T207" s="1" t="s">
        <v>2084</v>
      </c>
      <c r="U207" s="1" t="s">
        <v>74</v>
      </c>
      <c r="V207" s="1" t="s">
        <v>2085</v>
      </c>
      <c r="W207" s="1" t="s">
        <v>74</v>
      </c>
      <c r="X207" s="1" t="s">
        <v>74</v>
      </c>
      <c r="Y207" s="1" t="s">
        <v>74</v>
      </c>
      <c r="Z207" s="1" t="s">
        <v>74</v>
      </c>
      <c r="AA207" s="1" t="s">
        <v>74</v>
      </c>
      <c r="AB207" s="1" t="s">
        <v>74</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2086</v>
      </c>
      <c r="AP207" s="1" t="s">
        <v>2087</v>
      </c>
      <c r="AQ207" s="1" t="s">
        <v>74</v>
      </c>
      <c r="AR207" s="1" t="s">
        <v>74</v>
      </c>
      <c r="AS207" s="1" t="s">
        <v>74</v>
      </c>
      <c r="AT207" s="1" t="s">
        <v>2088</v>
      </c>
      <c r="AU207" s="1">
        <v>2025.0</v>
      </c>
      <c r="AV207" s="1" t="s">
        <v>74</v>
      </c>
      <c r="AW207" s="1" t="s">
        <v>74</v>
      </c>
      <c r="AX207" s="1" t="s">
        <v>74</v>
      </c>
      <c r="AY207" s="1" t="s">
        <v>74</v>
      </c>
      <c r="AZ207" s="1" t="s">
        <v>74</v>
      </c>
      <c r="BA207" s="1" t="s">
        <v>74</v>
      </c>
      <c r="BB207" s="1" t="s">
        <v>74</v>
      </c>
      <c r="BC207" s="1" t="s">
        <v>74</v>
      </c>
      <c r="BD207" s="1" t="s">
        <v>74</v>
      </c>
      <c r="BE207" s="1" t="s">
        <v>2089</v>
      </c>
      <c r="BF207" s="2" t="str">
        <f>HYPERLINK("http://dx.doi.org/10.1080/13683500.2025.2472287","http://dx.doi.org/10.1080/13683500.2025.2472287")</f>
        <v>http://dx.doi.org/10.1080/13683500.2025.2472287</v>
      </c>
      <c r="BG207" s="1" t="s">
        <v>74</v>
      </c>
      <c r="BH207" s="1" t="s">
        <v>314</v>
      </c>
      <c r="BI207" s="1" t="s">
        <v>74</v>
      </c>
      <c r="BJ207" s="1" t="s">
        <v>74</v>
      </c>
      <c r="BK207" s="1" t="s">
        <v>74</v>
      </c>
      <c r="BL207" s="1" t="s">
        <v>615</v>
      </c>
      <c r="BM207" s="1" t="s">
        <v>74</v>
      </c>
      <c r="BN207" s="1" t="s">
        <v>74</v>
      </c>
      <c r="BO207" s="1" t="s">
        <v>74</v>
      </c>
      <c r="BP207" s="1" t="s">
        <v>74</v>
      </c>
      <c r="BQ207" s="1" t="s">
        <v>74</v>
      </c>
      <c r="BR207" s="1" t="s">
        <v>74</v>
      </c>
      <c r="BS207" s="1" t="s">
        <v>2090</v>
      </c>
      <c r="BT207" s="1" t="str">
        <f>HYPERLINK("https%3A%2F%2Fwww.webofscience.com%2Fwos%2Fwoscc%2Ffull-record%2FWOS:001434126000001","View Full Record in Web of Science")</f>
        <v>View Full Record in Web of Science</v>
      </c>
    </row>
    <row r="208" ht="12.75" customHeight="1">
      <c r="A208" s="1" t="s">
        <v>72</v>
      </c>
      <c r="B208" s="1" t="s">
        <v>2091</v>
      </c>
      <c r="C208" s="1" t="s">
        <v>74</v>
      </c>
      <c r="D208" s="1" t="s">
        <v>74</v>
      </c>
      <c r="E208" s="1" t="s">
        <v>74</v>
      </c>
      <c r="F208" s="1" t="s">
        <v>2092</v>
      </c>
      <c r="G208" s="1" t="s">
        <v>74</v>
      </c>
      <c r="H208" s="1" t="s">
        <v>74</v>
      </c>
      <c r="I208" s="1" t="s">
        <v>2093</v>
      </c>
      <c r="J208" s="1" t="s">
        <v>881</v>
      </c>
      <c r="K208" s="1" t="s">
        <v>74</v>
      </c>
      <c r="L208" s="1" t="s">
        <v>74</v>
      </c>
      <c r="M208" s="1" t="s">
        <v>74</v>
      </c>
      <c r="N208" s="1" t="s">
        <v>78</v>
      </c>
      <c r="O208" s="1" t="s">
        <v>74</v>
      </c>
      <c r="P208" s="1" t="s">
        <v>74</v>
      </c>
      <c r="Q208" s="1" t="s">
        <v>74</v>
      </c>
      <c r="R208" s="1" t="s">
        <v>74</v>
      </c>
      <c r="S208" s="1" t="s">
        <v>74</v>
      </c>
      <c r="T208" s="1" t="s">
        <v>2094</v>
      </c>
      <c r="U208" s="1" t="s">
        <v>2095</v>
      </c>
      <c r="V208" s="1" t="s">
        <v>2096</v>
      </c>
      <c r="W208" s="1" t="s">
        <v>74</v>
      </c>
      <c r="X208" s="1" t="s">
        <v>74</v>
      </c>
      <c r="Y208" s="1" t="s">
        <v>74</v>
      </c>
      <c r="Z208" s="1" t="s">
        <v>74</v>
      </c>
      <c r="AA208" s="1" t="s">
        <v>74</v>
      </c>
      <c r="AB208" s="1" t="s">
        <v>74</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74</v>
      </c>
      <c r="AP208" s="1" t="s">
        <v>884</v>
      </c>
      <c r="AQ208" s="1" t="s">
        <v>74</v>
      </c>
      <c r="AR208" s="1" t="s">
        <v>74</v>
      </c>
      <c r="AS208" s="1" t="s">
        <v>74</v>
      </c>
      <c r="AT208" s="1" t="s">
        <v>357</v>
      </c>
      <c r="AU208" s="1">
        <v>2023.0</v>
      </c>
      <c r="AV208" s="1">
        <v>14.0</v>
      </c>
      <c r="AW208" s="1">
        <v>10.0</v>
      </c>
      <c r="AX208" s="1" t="s">
        <v>74</v>
      </c>
      <c r="AY208" s="1" t="s">
        <v>74</v>
      </c>
      <c r="AZ208" s="1" t="s">
        <v>74</v>
      </c>
      <c r="BA208" s="1" t="s">
        <v>74</v>
      </c>
      <c r="BB208" s="1" t="s">
        <v>74</v>
      </c>
      <c r="BC208" s="1" t="s">
        <v>74</v>
      </c>
      <c r="BD208" s="1">
        <v>574.0</v>
      </c>
      <c r="BE208" s="1" t="s">
        <v>2097</v>
      </c>
      <c r="BF208" s="2" t="str">
        <f>HYPERLINK("http://dx.doi.org/10.3390/info14100574","http://dx.doi.org/10.3390/info14100574")</f>
        <v>http://dx.doi.org/10.3390/info14100574</v>
      </c>
      <c r="BG208" s="1" t="s">
        <v>74</v>
      </c>
      <c r="BH208" s="1" t="s">
        <v>74</v>
      </c>
      <c r="BI208" s="1" t="s">
        <v>74</v>
      </c>
      <c r="BJ208" s="1" t="s">
        <v>74</v>
      </c>
      <c r="BK208" s="1" t="s">
        <v>74</v>
      </c>
      <c r="BL208" s="1" t="s">
        <v>174</v>
      </c>
      <c r="BM208" s="1" t="s">
        <v>74</v>
      </c>
      <c r="BN208" s="1" t="s">
        <v>74</v>
      </c>
      <c r="BO208" s="1" t="s">
        <v>163</v>
      </c>
      <c r="BP208" s="1" t="s">
        <v>74</v>
      </c>
      <c r="BQ208" s="1" t="s">
        <v>74</v>
      </c>
      <c r="BR208" s="1" t="s">
        <v>74</v>
      </c>
      <c r="BS208" s="1" t="s">
        <v>2098</v>
      </c>
      <c r="BT208" s="1" t="str">
        <f>HYPERLINK("https%3A%2F%2Fwww.webofscience.com%2Fwos%2Fwoscc%2Ffull-record%2FWOS:001090032700001","View Full Record in Web of Science")</f>
        <v>View Full Record in Web of Science</v>
      </c>
    </row>
    <row r="209" ht="12.75" customHeight="1">
      <c r="A209" s="1" t="s">
        <v>72</v>
      </c>
      <c r="B209" s="1" t="s">
        <v>2099</v>
      </c>
      <c r="C209" s="1" t="s">
        <v>74</v>
      </c>
      <c r="D209" s="1" t="s">
        <v>74</v>
      </c>
      <c r="E209" s="1" t="s">
        <v>74</v>
      </c>
      <c r="F209" s="1" t="s">
        <v>2100</v>
      </c>
      <c r="G209" s="1" t="s">
        <v>74</v>
      </c>
      <c r="H209" s="1" t="s">
        <v>74</v>
      </c>
      <c r="I209" s="1" t="s">
        <v>2101</v>
      </c>
      <c r="J209" s="1" t="s">
        <v>653</v>
      </c>
      <c r="K209" s="1" t="s">
        <v>74</v>
      </c>
      <c r="L209" s="1" t="s">
        <v>74</v>
      </c>
      <c r="M209" s="1" t="s">
        <v>74</v>
      </c>
      <c r="N209" s="1" t="s">
        <v>78</v>
      </c>
      <c r="O209" s="1" t="s">
        <v>74</v>
      </c>
      <c r="P209" s="1" t="s">
        <v>74</v>
      </c>
      <c r="Q209" s="1" t="s">
        <v>74</v>
      </c>
      <c r="R209" s="1" t="s">
        <v>74</v>
      </c>
      <c r="S209" s="1" t="s">
        <v>74</v>
      </c>
      <c r="T209" s="1" t="s">
        <v>2102</v>
      </c>
      <c r="U209" s="1" t="s">
        <v>74</v>
      </c>
      <c r="V209" s="1" t="s">
        <v>2103</v>
      </c>
      <c r="W209" s="1" t="s">
        <v>74</v>
      </c>
      <c r="X209" s="1" t="s">
        <v>74</v>
      </c>
      <c r="Y209" s="1" t="s">
        <v>74</v>
      </c>
      <c r="Z209" s="1" t="s">
        <v>74</v>
      </c>
      <c r="AA209" s="1" t="s">
        <v>74</v>
      </c>
      <c r="AB209" s="1" t="s">
        <v>74</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74</v>
      </c>
      <c r="AP209" s="1" t="s">
        <v>656</v>
      </c>
      <c r="AQ209" s="1" t="s">
        <v>74</v>
      </c>
      <c r="AR209" s="1" t="s">
        <v>74</v>
      </c>
      <c r="AS209" s="1" t="s">
        <v>74</v>
      </c>
      <c r="AT209" s="1" t="s">
        <v>2104</v>
      </c>
      <c r="AU209" s="1">
        <v>2025.0</v>
      </c>
      <c r="AV209" s="1">
        <v>11.0</v>
      </c>
      <c r="AW209" s="1" t="s">
        <v>74</v>
      </c>
      <c r="AX209" s="1" t="s">
        <v>74</v>
      </c>
      <c r="AY209" s="1" t="s">
        <v>74</v>
      </c>
      <c r="AZ209" s="1" t="s">
        <v>74</v>
      </c>
      <c r="BA209" s="1" t="s">
        <v>74</v>
      </c>
      <c r="BB209" s="1" t="s">
        <v>74</v>
      </c>
      <c r="BC209" s="1" t="s">
        <v>74</v>
      </c>
      <c r="BD209" s="1" t="s">
        <v>2105</v>
      </c>
      <c r="BE209" s="1" t="s">
        <v>2106</v>
      </c>
      <c r="BF209" s="2" t="str">
        <f>HYPERLINK("http://dx.doi.org/10.7717/peerj-cs.2911","http://dx.doi.org/10.7717/peerj-cs.2911")</f>
        <v>http://dx.doi.org/10.7717/peerj-cs.2911</v>
      </c>
      <c r="BG209" s="1" t="s">
        <v>74</v>
      </c>
      <c r="BH209" s="1" t="s">
        <v>74</v>
      </c>
      <c r="BI209" s="1" t="s">
        <v>74</v>
      </c>
      <c r="BJ209" s="1" t="s">
        <v>74</v>
      </c>
      <c r="BK209" s="1" t="s">
        <v>74</v>
      </c>
      <c r="BL209" s="1" t="s">
        <v>174</v>
      </c>
      <c r="BM209" s="1" t="s">
        <v>74</v>
      </c>
      <c r="BN209" s="1" t="s">
        <v>74</v>
      </c>
      <c r="BO209" s="1" t="s">
        <v>153</v>
      </c>
      <c r="BP209" s="1" t="s">
        <v>74</v>
      </c>
      <c r="BQ209" s="1" t="s">
        <v>74</v>
      </c>
      <c r="BR209" s="1" t="s">
        <v>74</v>
      </c>
      <c r="BS209" s="1" t="s">
        <v>2107</v>
      </c>
      <c r="BT209" s="1" t="str">
        <f>HYPERLINK("https%3A%2F%2Fwww.webofscience.com%2Fwos%2Fwoscc%2Ffull-record%2FWOS:001517430900001","View Full Record in Web of Science")</f>
        <v>View Full Record in Web of Science</v>
      </c>
    </row>
    <row r="210" ht="12.75" customHeight="1">
      <c r="A210" s="1" t="s">
        <v>72</v>
      </c>
      <c r="B210" s="1" t="s">
        <v>2108</v>
      </c>
      <c r="C210" s="1" t="s">
        <v>74</v>
      </c>
      <c r="D210" s="1" t="s">
        <v>74</v>
      </c>
      <c r="E210" s="1" t="s">
        <v>74</v>
      </c>
      <c r="F210" s="1" t="s">
        <v>2109</v>
      </c>
      <c r="G210" s="1" t="s">
        <v>74</v>
      </c>
      <c r="H210" s="1" t="s">
        <v>74</v>
      </c>
      <c r="I210" s="1" t="s">
        <v>2110</v>
      </c>
      <c r="J210" s="1" t="s">
        <v>1531</v>
      </c>
      <c r="K210" s="1" t="s">
        <v>74</v>
      </c>
      <c r="L210" s="1" t="s">
        <v>74</v>
      </c>
      <c r="M210" s="1" t="s">
        <v>74</v>
      </c>
      <c r="N210" s="1" t="s">
        <v>78</v>
      </c>
      <c r="O210" s="1" t="s">
        <v>74</v>
      </c>
      <c r="P210" s="1" t="s">
        <v>74</v>
      </c>
      <c r="Q210" s="1" t="s">
        <v>74</v>
      </c>
      <c r="R210" s="1" t="s">
        <v>74</v>
      </c>
      <c r="S210" s="1" t="s">
        <v>74</v>
      </c>
      <c r="T210" s="1" t="s">
        <v>2111</v>
      </c>
      <c r="U210" s="1" t="s">
        <v>74</v>
      </c>
      <c r="V210" s="1" t="s">
        <v>2112</v>
      </c>
      <c r="W210" s="1" t="s">
        <v>74</v>
      </c>
      <c r="X210" s="1" t="s">
        <v>74</v>
      </c>
      <c r="Y210" s="1" t="s">
        <v>74</v>
      </c>
      <c r="Z210" s="1" t="s">
        <v>74</v>
      </c>
      <c r="AA210" s="1" t="s">
        <v>74</v>
      </c>
      <c r="AB210" s="1" t="s">
        <v>74</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1534</v>
      </c>
      <c r="AP210" s="1" t="s">
        <v>74</v>
      </c>
      <c r="AQ210" s="1" t="s">
        <v>74</v>
      </c>
      <c r="AR210" s="1" t="s">
        <v>74</v>
      </c>
      <c r="AS210" s="1" t="s">
        <v>74</v>
      </c>
      <c r="AT210" s="1" t="s">
        <v>74</v>
      </c>
      <c r="AU210" s="1">
        <v>2025.0</v>
      </c>
      <c r="AV210" s="1">
        <v>16.0</v>
      </c>
      <c r="AW210" s="1">
        <v>1.0</v>
      </c>
      <c r="AX210" s="1" t="s">
        <v>74</v>
      </c>
      <c r="AY210" s="1" t="s">
        <v>74</v>
      </c>
      <c r="AZ210" s="1" t="s">
        <v>74</v>
      </c>
      <c r="BA210" s="1" t="s">
        <v>74</v>
      </c>
      <c r="BB210" s="1">
        <v>12.0</v>
      </c>
      <c r="BC210" s="1">
        <v>20.0</v>
      </c>
      <c r="BD210" s="1" t="s">
        <v>74</v>
      </c>
      <c r="BE210" s="1" t="s">
        <v>2113</v>
      </c>
      <c r="BF210" s="2" t="str">
        <f>HYPERLINK("http://dx.doi.org/10.12720/jait.16.1.12-20","http://dx.doi.org/10.12720/jait.16.1.12-20")</f>
        <v>http://dx.doi.org/10.12720/jait.16.1.12-20</v>
      </c>
      <c r="BG210" s="1" t="s">
        <v>74</v>
      </c>
      <c r="BH210" s="1" t="s">
        <v>74</v>
      </c>
      <c r="BI210" s="1" t="s">
        <v>74</v>
      </c>
      <c r="BJ210" s="1" t="s">
        <v>74</v>
      </c>
      <c r="BK210" s="1" t="s">
        <v>74</v>
      </c>
      <c r="BL210" s="1" t="s">
        <v>174</v>
      </c>
      <c r="BM210" s="1" t="s">
        <v>74</v>
      </c>
      <c r="BN210" s="1" t="s">
        <v>74</v>
      </c>
      <c r="BO210" s="1" t="s">
        <v>163</v>
      </c>
      <c r="BP210" s="1" t="s">
        <v>74</v>
      </c>
      <c r="BQ210" s="1" t="s">
        <v>74</v>
      </c>
      <c r="BR210" s="1" t="s">
        <v>74</v>
      </c>
      <c r="BS210" s="1" t="s">
        <v>2114</v>
      </c>
      <c r="BT210" s="1" t="str">
        <f>HYPERLINK("https%3A%2F%2Fwww.webofscience.com%2Fwos%2Fwoscc%2Ffull-record%2FWOS:001417473700002","View Full Record in Web of Science")</f>
        <v>View Full Record in Web of Science</v>
      </c>
    </row>
    <row r="211" ht="12.75" customHeight="1">
      <c r="A211" s="1" t="s">
        <v>72</v>
      </c>
      <c r="B211" s="1" t="s">
        <v>2115</v>
      </c>
      <c r="C211" s="1" t="s">
        <v>74</v>
      </c>
      <c r="D211" s="1" t="s">
        <v>74</v>
      </c>
      <c r="E211" s="1" t="s">
        <v>74</v>
      </c>
      <c r="F211" s="1" t="s">
        <v>2116</v>
      </c>
      <c r="G211" s="1" t="s">
        <v>74</v>
      </c>
      <c r="H211" s="1" t="s">
        <v>74</v>
      </c>
      <c r="I211" s="1" t="s">
        <v>2117</v>
      </c>
      <c r="J211" s="1" t="s">
        <v>431</v>
      </c>
      <c r="K211" s="1" t="s">
        <v>74</v>
      </c>
      <c r="L211" s="1" t="s">
        <v>74</v>
      </c>
      <c r="M211" s="1" t="s">
        <v>74</v>
      </c>
      <c r="N211" s="1" t="s">
        <v>78</v>
      </c>
      <c r="O211" s="1" t="s">
        <v>74</v>
      </c>
      <c r="P211" s="1" t="s">
        <v>74</v>
      </c>
      <c r="Q211" s="1" t="s">
        <v>74</v>
      </c>
      <c r="R211" s="1" t="s">
        <v>74</v>
      </c>
      <c r="S211" s="1" t="s">
        <v>74</v>
      </c>
      <c r="T211" s="1" t="s">
        <v>2118</v>
      </c>
      <c r="U211" s="1" t="s">
        <v>2119</v>
      </c>
      <c r="V211" s="1" t="s">
        <v>2120</v>
      </c>
      <c r="W211" s="1" t="s">
        <v>74</v>
      </c>
      <c r="X211" s="1" t="s">
        <v>74</v>
      </c>
      <c r="Y211" s="1" t="s">
        <v>74</v>
      </c>
      <c r="Z211" s="1" t="s">
        <v>74</v>
      </c>
      <c r="AA211" s="1" t="s">
        <v>74</v>
      </c>
      <c r="AB211" s="1" t="s">
        <v>74</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74</v>
      </c>
      <c r="AP211" s="1" t="s">
        <v>434</v>
      </c>
      <c r="AQ211" s="1" t="s">
        <v>74</v>
      </c>
      <c r="AR211" s="1" t="s">
        <v>74</v>
      </c>
      <c r="AS211" s="1" t="s">
        <v>74</v>
      </c>
      <c r="AT211" s="1" t="s">
        <v>2121</v>
      </c>
      <c r="AU211" s="1">
        <v>2024.0</v>
      </c>
      <c r="AV211" s="1">
        <v>6.0</v>
      </c>
      <c r="AW211" s="1" t="s">
        <v>74</v>
      </c>
      <c r="AX211" s="1" t="s">
        <v>74</v>
      </c>
      <c r="AY211" s="1" t="s">
        <v>74</v>
      </c>
      <c r="AZ211" s="1" t="s">
        <v>74</v>
      </c>
      <c r="BA211" s="1" t="s">
        <v>74</v>
      </c>
      <c r="BB211" s="1" t="s">
        <v>74</v>
      </c>
      <c r="BC211" s="1" t="s">
        <v>74</v>
      </c>
      <c r="BD211" s="1">
        <v>1456098.0</v>
      </c>
      <c r="BE211" s="1" t="s">
        <v>2122</v>
      </c>
      <c r="BF211" s="2" t="str">
        <f>HYPERLINK("http://dx.doi.org/10.3389/fcomp.2024.1456098","http://dx.doi.org/10.3389/fcomp.2024.1456098")</f>
        <v>http://dx.doi.org/10.3389/fcomp.2024.1456098</v>
      </c>
      <c r="BG211" s="1" t="s">
        <v>74</v>
      </c>
      <c r="BH211" s="1" t="s">
        <v>74</v>
      </c>
      <c r="BI211" s="1" t="s">
        <v>74</v>
      </c>
      <c r="BJ211" s="1" t="s">
        <v>74</v>
      </c>
      <c r="BK211" s="1" t="s">
        <v>74</v>
      </c>
      <c r="BL211" s="1" t="s">
        <v>174</v>
      </c>
      <c r="BM211" s="1" t="s">
        <v>74</v>
      </c>
      <c r="BN211" s="1" t="s">
        <v>74</v>
      </c>
      <c r="BO211" s="1" t="s">
        <v>163</v>
      </c>
      <c r="BP211" s="1" t="s">
        <v>74</v>
      </c>
      <c r="BQ211" s="1" t="s">
        <v>74</v>
      </c>
      <c r="BR211" s="1" t="s">
        <v>74</v>
      </c>
      <c r="BS211" s="1" t="s">
        <v>2123</v>
      </c>
      <c r="BT211" s="1" t="str">
        <f>HYPERLINK("https%3A%2F%2Fwww.webofscience.com%2Fwos%2Fwoscc%2Ffull-record%2FWOS:001337128100001","View Full Record in Web of Science")</f>
        <v>View Full Record in Web of Science</v>
      </c>
    </row>
    <row r="212" ht="12.75" customHeight="1">
      <c r="A212" s="1" t="s">
        <v>72</v>
      </c>
      <c r="B212" s="1" t="s">
        <v>2124</v>
      </c>
      <c r="C212" s="1" t="s">
        <v>74</v>
      </c>
      <c r="D212" s="1" t="s">
        <v>74</v>
      </c>
      <c r="E212" s="1" t="s">
        <v>74</v>
      </c>
      <c r="F212" s="1" t="s">
        <v>2125</v>
      </c>
      <c r="G212" s="1" t="s">
        <v>74</v>
      </c>
      <c r="H212" s="1" t="s">
        <v>74</v>
      </c>
      <c r="I212" s="1" t="s">
        <v>2126</v>
      </c>
      <c r="J212" s="1" t="s">
        <v>147</v>
      </c>
      <c r="K212" s="1" t="s">
        <v>74</v>
      </c>
      <c r="L212" s="1" t="s">
        <v>74</v>
      </c>
      <c r="M212" s="1" t="s">
        <v>74</v>
      </c>
      <c r="N212" s="1" t="s">
        <v>78</v>
      </c>
      <c r="O212" s="1" t="s">
        <v>74</v>
      </c>
      <c r="P212" s="1" t="s">
        <v>74</v>
      </c>
      <c r="Q212" s="1" t="s">
        <v>74</v>
      </c>
      <c r="R212" s="1" t="s">
        <v>74</v>
      </c>
      <c r="S212" s="1" t="s">
        <v>74</v>
      </c>
      <c r="T212" s="1" t="s">
        <v>2127</v>
      </c>
      <c r="U212" s="1" t="s">
        <v>1376</v>
      </c>
      <c r="V212" s="1" t="s">
        <v>2128</v>
      </c>
      <c r="W212" s="1" t="s">
        <v>74</v>
      </c>
      <c r="X212" s="1" t="s">
        <v>74</v>
      </c>
      <c r="Y212" s="1" t="s">
        <v>74</v>
      </c>
      <c r="Z212" s="1" t="s">
        <v>74</v>
      </c>
      <c r="AA212" s="1" t="s">
        <v>74</v>
      </c>
      <c r="AB212" s="1" t="s">
        <v>74</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150</v>
      </c>
      <c r="AP212" s="1" t="s">
        <v>74</v>
      </c>
      <c r="AQ212" s="1" t="s">
        <v>74</v>
      </c>
      <c r="AR212" s="1" t="s">
        <v>74</v>
      </c>
      <c r="AS212" s="1" t="s">
        <v>74</v>
      </c>
      <c r="AT212" s="1" t="s">
        <v>74</v>
      </c>
      <c r="AU212" s="1">
        <v>2025.0</v>
      </c>
      <c r="AV212" s="1">
        <v>13.0</v>
      </c>
      <c r="AW212" s="1" t="s">
        <v>74</v>
      </c>
      <c r="AX212" s="1" t="s">
        <v>74</v>
      </c>
      <c r="AY212" s="1" t="s">
        <v>74</v>
      </c>
      <c r="AZ212" s="1" t="s">
        <v>74</v>
      </c>
      <c r="BA212" s="1" t="s">
        <v>74</v>
      </c>
      <c r="BB212" s="1">
        <v>168527.0</v>
      </c>
      <c r="BC212" s="1">
        <v>168545.0</v>
      </c>
      <c r="BD212" s="1" t="s">
        <v>74</v>
      </c>
      <c r="BE212" s="1" t="s">
        <v>2129</v>
      </c>
      <c r="BF212" s="2" t="str">
        <f>HYPERLINK("http://dx.doi.org/10.1109/ACCESS.2025.3614246","http://dx.doi.org/10.1109/ACCESS.2025.3614246")</f>
        <v>http://dx.doi.org/10.1109/ACCESS.2025.3614246</v>
      </c>
      <c r="BG212" s="1" t="s">
        <v>74</v>
      </c>
      <c r="BH212" s="1" t="s">
        <v>74</v>
      </c>
      <c r="BI212" s="1" t="s">
        <v>74</v>
      </c>
      <c r="BJ212" s="1" t="s">
        <v>74</v>
      </c>
      <c r="BK212" s="1" t="s">
        <v>74</v>
      </c>
      <c r="BL212" s="1" t="s">
        <v>152</v>
      </c>
      <c r="BM212" s="1" t="s">
        <v>74</v>
      </c>
      <c r="BN212" s="1" t="s">
        <v>74</v>
      </c>
      <c r="BO212" s="1" t="s">
        <v>153</v>
      </c>
      <c r="BP212" s="1" t="s">
        <v>74</v>
      </c>
      <c r="BQ212" s="1" t="s">
        <v>74</v>
      </c>
      <c r="BR212" s="1" t="s">
        <v>74</v>
      </c>
      <c r="BS212" s="1" t="s">
        <v>2130</v>
      </c>
      <c r="BT212" s="1" t="str">
        <f>HYPERLINK("https%3A%2F%2Fwww.webofscience.com%2Fwos%2Fwoscc%2Ffull-record%2FWOS:001586205100003","View Full Record in Web of Science")</f>
        <v>View Full Record in Web of Science</v>
      </c>
    </row>
    <row r="213" ht="12.75" customHeight="1">
      <c r="A213" s="1" t="s">
        <v>72</v>
      </c>
      <c r="B213" s="1" t="s">
        <v>2131</v>
      </c>
      <c r="C213" s="1" t="s">
        <v>74</v>
      </c>
      <c r="D213" s="1" t="s">
        <v>74</v>
      </c>
      <c r="E213" s="1" t="s">
        <v>74</v>
      </c>
      <c r="F213" s="1" t="s">
        <v>2132</v>
      </c>
      <c r="G213" s="1" t="s">
        <v>74</v>
      </c>
      <c r="H213" s="1" t="s">
        <v>74</v>
      </c>
      <c r="I213" s="1" t="s">
        <v>2133</v>
      </c>
      <c r="J213" s="1" t="s">
        <v>1199</v>
      </c>
      <c r="K213" s="1" t="s">
        <v>74</v>
      </c>
      <c r="L213" s="1" t="s">
        <v>74</v>
      </c>
      <c r="M213" s="1" t="s">
        <v>74</v>
      </c>
      <c r="N213" s="1" t="s">
        <v>78</v>
      </c>
      <c r="O213" s="1" t="s">
        <v>74</v>
      </c>
      <c r="P213" s="1" t="s">
        <v>74</v>
      </c>
      <c r="Q213" s="1" t="s">
        <v>74</v>
      </c>
      <c r="R213" s="1" t="s">
        <v>74</v>
      </c>
      <c r="S213" s="1" t="s">
        <v>74</v>
      </c>
      <c r="T213" s="1" t="s">
        <v>2134</v>
      </c>
      <c r="U213" s="1" t="s">
        <v>74</v>
      </c>
      <c r="V213" s="1" t="s">
        <v>2135</v>
      </c>
      <c r="W213" s="1" t="s">
        <v>74</v>
      </c>
      <c r="X213" s="1" t="s">
        <v>74</v>
      </c>
      <c r="Y213" s="1" t="s">
        <v>74</v>
      </c>
      <c r="Z213" s="1" t="s">
        <v>74</v>
      </c>
      <c r="AA213" s="1" t="s">
        <v>74</v>
      </c>
      <c r="AB213" s="1" t="s">
        <v>74</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74</v>
      </c>
      <c r="AP213" s="1" t="s">
        <v>1202</v>
      </c>
      <c r="AQ213" s="1" t="s">
        <v>74</v>
      </c>
      <c r="AR213" s="1" t="s">
        <v>74</v>
      </c>
      <c r="AS213" s="1" t="s">
        <v>74</v>
      </c>
      <c r="AT213" s="1" t="s">
        <v>2136</v>
      </c>
      <c r="AU213" s="1">
        <v>2025.0</v>
      </c>
      <c r="AV213" s="1">
        <v>18.0</v>
      </c>
      <c r="AW213" s="1">
        <v>3.0</v>
      </c>
      <c r="AX213" s="1" t="s">
        <v>74</v>
      </c>
      <c r="AY213" s="1" t="s">
        <v>74</v>
      </c>
      <c r="AZ213" s="1" t="s">
        <v>74</v>
      </c>
      <c r="BA213" s="1" t="s">
        <v>74</v>
      </c>
      <c r="BB213" s="1" t="s">
        <v>74</v>
      </c>
      <c r="BC213" s="1" t="s">
        <v>74</v>
      </c>
      <c r="BD213" s="1">
        <v>144.0</v>
      </c>
      <c r="BE213" s="1" t="s">
        <v>2137</v>
      </c>
      <c r="BF213" s="2" t="str">
        <f>HYPERLINK("http://dx.doi.org/10.3390/a18030144","http://dx.doi.org/10.3390/a18030144")</f>
        <v>http://dx.doi.org/10.3390/a18030144</v>
      </c>
      <c r="BG213" s="1" t="s">
        <v>74</v>
      </c>
      <c r="BH213" s="1" t="s">
        <v>74</v>
      </c>
      <c r="BI213" s="1" t="s">
        <v>74</v>
      </c>
      <c r="BJ213" s="1" t="s">
        <v>74</v>
      </c>
      <c r="BK213" s="1" t="s">
        <v>74</v>
      </c>
      <c r="BL213" s="1" t="s">
        <v>174</v>
      </c>
      <c r="BM213" s="1" t="s">
        <v>74</v>
      </c>
      <c r="BN213" s="1" t="s">
        <v>74</v>
      </c>
      <c r="BO213" s="1" t="s">
        <v>163</v>
      </c>
      <c r="BP213" s="1" t="s">
        <v>74</v>
      </c>
      <c r="BQ213" s="1" t="s">
        <v>74</v>
      </c>
      <c r="BR213" s="1" t="s">
        <v>74</v>
      </c>
      <c r="BS213" s="1" t="s">
        <v>2138</v>
      </c>
      <c r="BT213" s="1" t="str">
        <f>HYPERLINK("https%3A%2F%2Fwww.webofscience.com%2Fwos%2Fwoscc%2Ffull-record%2FWOS:001453384200001","View Full Record in Web of Science")</f>
        <v>View Full Record in Web of Science</v>
      </c>
    </row>
    <row r="214" ht="12.75" customHeight="1">
      <c r="A214" s="1" t="s">
        <v>72</v>
      </c>
      <c r="B214" s="1" t="s">
        <v>2139</v>
      </c>
      <c r="C214" s="1" t="s">
        <v>74</v>
      </c>
      <c r="D214" s="1" t="s">
        <v>74</v>
      </c>
      <c r="E214" s="1" t="s">
        <v>74</v>
      </c>
      <c r="F214" s="1" t="s">
        <v>2140</v>
      </c>
      <c r="G214" s="1" t="s">
        <v>74</v>
      </c>
      <c r="H214" s="1" t="s">
        <v>74</v>
      </c>
      <c r="I214" s="1" t="s">
        <v>2141</v>
      </c>
      <c r="J214" s="1" t="s">
        <v>2142</v>
      </c>
      <c r="K214" s="1" t="s">
        <v>74</v>
      </c>
      <c r="L214" s="1" t="s">
        <v>74</v>
      </c>
      <c r="M214" s="1" t="s">
        <v>74</v>
      </c>
      <c r="N214" s="1" t="s">
        <v>78</v>
      </c>
      <c r="O214" s="1" t="s">
        <v>74</v>
      </c>
      <c r="P214" s="1" t="s">
        <v>74</v>
      </c>
      <c r="Q214" s="1" t="s">
        <v>74</v>
      </c>
      <c r="R214" s="1" t="s">
        <v>74</v>
      </c>
      <c r="S214" s="1" t="s">
        <v>74</v>
      </c>
      <c r="T214" s="1" t="s">
        <v>2143</v>
      </c>
      <c r="U214" s="1" t="s">
        <v>2144</v>
      </c>
      <c r="V214" s="1" t="s">
        <v>2145</v>
      </c>
      <c r="W214" s="1" t="s">
        <v>74</v>
      </c>
      <c r="X214" s="1" t="s">
        <v>74</v>
      </c>
      <c r="Y214" s="1" t="s">
        <v>74</v>
      </c>
      <c r="Z214" s="1" t="s">
        <v>74</v>
      </c>
      <c r="AA214" s="1" t="s">
        <v>74</v>
      </c>
      <c r="AB214" s="1" t="s">
        <v>74</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2146</v>
      </c>
      <c r="AP214" s="1" t="s">
        <v>2147</v>
      </c>
      <c r="AQ214" s="1" t="s">
        <v>74</v>
      </c>
      <c r="AR214" s="1" t="s">
        <v>74</v>
      </c>
      <c r="AS214" s="1" t="s">
        <v>74</v>
      </c>
      <c r="AT214" s="1" t="s">
        <v>200</v>
      </c>
      <c r="AU214" s="1">
        <v>2024.0</v>
      </c>
      <c r="AV214" s="1">
        <v>136.0</v>
      </c>
      <c r="AW214" s="1" t="s">
        <v>74</v>
      </c>
      <c r="AX214" s="1" t="s">
        <v>74</v>
      </c>
      <c r="AY214" s="1" t="s">
        <v>74</v>
      </c>
      <c r="AZ214" s="1" t="s">
        <v>74</v>
      </c>
      <c r="BA214" s="1" t="s">
        <v>74</v>
      </c>
      <c r="BB214" s="1" t="s">
        <v>74</v>
      </c>
      <c r="BC214" s="1" t="s">
        <v>74</v>
      </c>
      <c r="BD214" s="1">
        <v>101238.0</v>
      </c>
      <c r="BE214" s="1" t="s">
        <v>2148</v>
      </c>
      <c r="BF214" s="2" t="str">
        <f>HYPERLINK("http://dx.doi.org/10.1016/j.gmod.2024.101238","http://dx.doi.org/10.1016/j.gmod.2024.101238")</f>
        <v>http://dx.doi.org/10.1016/j.gmod.2024.101238</v>
      </c>
      <c r="BG214" s="1" t="s">
        <v>74</v>
      </c>
      <c r="BH214" s="1" t="s">
        <v>1747</v>
      </c>
      <c r="BI214" s="1" t="s">
        <v>74</v>
      </c>
      <c r="BJ214" s="1" t="s">
        <v>74</v>
      </c>
      <c r="BK214" s="1" t="s">
        <v>74</v>
      </c>
      <c r="BL214" s="1" t="s">
        <v>174</v>
      </c>
      <c r="BM214" s="1" t="s">
        <v>74</v>
      </c>
      <c r="BN214" s="1" t="s">
        <v>74</v>
      </c>
      <c r="BO214" s="1" t="s">
        <v>163</v>
      </c>
      <c r="BP214" s="1" t="s">
        <v>74</v>
      </c>
      <c r="BQ214" s="1" t="s">
        <v>74</v>
      </c>
      <c r="BR214" s="1" t="s">
        <v>74</v>
      </c>
      <c r="BS214" s="1" t="s">
        <v>2149</v>
      </c>
      <c r="BT214" s="1" t="str">
        <f>HYPERLINK("https%3A%2F%2Fwww.webofscience.com%2Fwos%2Fwoscc%2Ffull-record%2FWOS:001340100200001","View Full Record in Web of Science")</f>
        <v>View Full Record in Web of Science</v>
      </c>
    </row>
    <row r="215" ht="12.75" customHeight="1">
      <c r="A215" s="1" t="s">
        <v>72</v>
      </c>
      <c r="B215" s="1" t="s">
        <v>2150</v>
      </c>
      <c r="C215" s="1" t="s">
        <v>74</v>
      </c>
      <c r="D215" s="1" t="s">
        <v>74</v>
      </c>
      <c r="E215" s="1" t="s">
        <v>74</v>
      </c>
      <c r="F215" s="1" t="s">
        <v>2151</v>
      </c>
      <c r="G215" s="1" t="s">
        <v>74</v>
      </c>
      <c r="H215" s="1" t="s">
        <v>74</v>
      </c>
      <c r="I215" s="1" t="s">
        <v>2152</v>
      </c>
      <c r="J215" s="1" t="s">
        <v>147</v>
      </c>
      <c r="K215" s="1" t="s">
        <v>74</v>
      </c>
      <c r="L215" s="1" t="s">
        <v>74</v>
      </c>
      <c r="M215" s="1" t="s">
        <v>74</v>
      </c>
      <c r="N215" s="1" t="s">
        <v>78</v>
      </c>
      <c r="O215" s="1" t="s">
        <v>74</v>
      </c>
      <c r="P215" s="1" t="s">
        <v>74</v>
      </c>
      <c r="Q215" s="1" t="s">
        <v>74</v>
      </c>
      <c r="R215" s="1" t="s">
        <v>74</v>
      </c>
      <c r="S215" s="1" t="s">
        <v>74</v>
      </c>
      <c r="T215" s="1" t="s">
        <v>2153</v>
      </c>
      <c r="U215" s="1" t="s">
        <v>74</v>
      </c>
      <c r="V215" s="1" t="s">
        <v>2154</v>
      </c>
      <c r="W215" s="1" t="s">
        <v>74</v>
      </c>
      <c r="X215" s="1" t="s">
        <v>74</v>
      </c>
      <c r="Y215" s="1" t="s">
        <v>74</v>
      </c>
      <c r="Z215" s="1" t="s">
        <v>74</v>
      </c>
      <c r="AA215" s="1" t="s">
        <v>74</v>
      </c>
      <c r="AB215" s="1" t="s">
        <v>74</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150</v>
      </c>
      <c r="AP215" s="1" t="s">
        <v>74</v>
      </c>
      <c r="AQ215" s="1" t="s">
        <v>74</v>
      </c>
      <c r="AR215" s="1" t="s">
        <v>74</v>
      </c>
      <c r="AS215" s="1" t="s">
        <v>74</v>
      </c>
      <c r="AT215" s="1" t="s">
        <v>74</v>
      </c>
      <c r="AU215" s="1">
        <v>2025.0</v>
      </c>
      <c r="AV215" s="1">
        <v>13.0</v>
      </c>
      <c r="AW215" s="1" t="s">
        <v>74</v>
      </c>
      <c r="AX215" s="1" t="s">
        <v>74</v>
      </c>
      <c r="AY215" s="1" t="s">
        <v>74</v>
      </c>
      <c r="AZ215" s="1" t="s">
        <v>74</v>
      </c>
      <c r="BA215" s="1" t="s">
        <v>74</v>
      </c>
      <c r="BB215" s="1">
        <v>30936.0</v>
      </c>
      <c r="BC215" s="1">
        <v>30951.0</v>
      </c>
      <c r="BD215" s="1" t="s">
        <v>74</v>
      </c>
      <c r="BE215" s="1" t="s">
        <v>2155</v>
      </c>
      <c r="BF215" s="2" t="str">
        <f>HYPERLINK("http://dx.doi.org/10.1109/ACCESS.2025.3542334","http://dx.doi.org/10.1109/ACCESS.2025.3542334")</f>
        <v>http://dx.doi.org/10.1109/ACCESS.2025.3542334</v>
      </c>
      <c r="BG215" s="1" t="s">
        <v>74</v>
      </c>
      <c r="BH215" s="1" t="s">
        <v>74</v>
      </c>
      <c r="BI215" s="1" t="s">
        <v>74</v>
      </c>
      <c r="BJ215" s="1" t="s">
        <v>74</v>
      </c>
      <c r="BK215" s="1" t="s">
        <v>74</v>
      </c>
      <c r="BL215" s="1" t="s">
        <v>152</v>
      </c>
      <c r="BM215" s="1" t="s">
        <v>74</v>
      </c>
      <c r="BN215" s="1" t="s">
        <v>74</v>
      </c>
      <c r="BO215" s="1" t="s">
        <v>153</v>
      </c>
      <c r="BP215" s="1" t="s">
        <v>74</v>
      </c>
      <c r="BQ215" s="1" t="s">
        <v>74</v>
      </c>
      <c r="BR215" s="1" t="s">
        <v>74</v>
      </c>
      <c r="BS215" s="1" t="s">
        <v>2156</v>
      </c>
      <c r="BT215" s="1" t="str">
        <f>HYPERLINK("https%3A%2F%2Fwww.webofscience.com%2Fwos%2Fwoscc%2Ffull-record%2FWOS:001425541100008","View Full Record in Web of Science")</f>
        <v>View Full Record in Web of Science</v>
      </c>
    </row>
    <row r="216" ht="12.75" customHeight="1">
      <c r="A216" s="1" t="s">
        <v>72</v>
      </c>
      <c r="B216" s="1" t="s">
        <v>2157</v>
      </c>
      <c r="C216" s="1" t="s">
        <v>74</v>
      </c>
      <c r="D216" s="1" t="s">
        <v>74</v>
      </c>
      <c r="E216" s="1" t="s">
        <v>74</v>
      </c>
      <c r="F216" s="1" t="s">
        <v>2158</v>
      </c>
      <c r="G216" s="1" t="s">
        <v>74</v>
      </c>
      <c r="H216" s="1" t="s">
        <v>74</v>
      </c>
      <c r="I216" s="1" t="s">
        <v>2159</v>
      </c>
      <c r="J216" s="1" t="s">
        <v>471</v>
      </c>
      <c r="K216" s="1" t="s">
        <v>74</v>
      </c>
      <c r="L216" s="1" t="s">
        <v>74</v>
      </c>
      <c r="M216" s="1" t="s">
        <v>74</v>
      </c>
      <c r="N216" s="1" t="s">
        <v>78</v>
      </c>
      <c r="O216" s="1" t="s">
        <v>74</v>
      </c>
      <c r="P216" s="1" t="s">
        <v>74</v>
      </c>
      <c r="Q216" s="1" t="s">
        <v>74</v>
      </c>
      <c r="R216" s="1" t="s">
        <v>74</v>
      </c>
      <c r="S216" s="1" t="s">
        <v>74</v>
      </c>
      <c r="T216" s="1" t="s">
        <v>2160</v>
      </c>
      <c r="U216" s="1" t="s">
        <v>74</v>
      </c>
      <c r="V216" s="1" t="s">
        <v>2161</v>
      </c>
      <c r="W216" s="1" t="s">
        <v>74</v>
      </c>
      <c r="X216" s="1" t="s">
        <v>74</v>
      </c>
      <c r="Y216" s="1" t="s">
        <v>74</v>
      </c>
      <c r="Z216" s="1" t="s">
        <v>74</v>
      </c>
      <c r="AA216" s="1" t="s">
        <v>74</v>
      </c>
      <c r="AB216" s="1" t="s">
        <v>74</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474</v>
      </c>
      <c r="AP216" s="1" t="s">
        <v>74</v>
      </c>
      <c r="AQ216" s="1" t="s">
        <v>74</v>
      </c>
      <c r="AR216" s="1" t="s">
        <v>74</v>
      </c>
      <c r="AS216" s="1" t="s">
        <v>74</v>
      </c>
      <c r="AT216" s="1" t="s">
        <v>2162</v>
      </c>
      <c r="AU216" s="1">
        <v>2025.0</v>
      </c>
      <c r="AV216" s="1">
        <v>14.0</v>
      </c>
      <c r="AW216" s="1">
        <v>9.0</v>
      </c>
      <c r="AX216" s="1" t="s">
        <v>74</v>
      </c>
      <c r="AY216" s="1" t="s">
        <v>74</v>
      </c>
      <c r="AZ216" s="1" t="s">
        <v>74</v>
      </c>
      <c r="BA216" s="1" t="s">
        <v>74</v>
      </c>
      <c r="BB216" s="1" t="s">
        <v>74</v>
      </c>
      <c r="BC216" s="1" t="s">
        <v>74</v>
      </c>
      <c r="BD216" s="1">
        <v>385.0</v>
      </c>
      <c r="BE216" s="1" t="s">
        <v>2163</v>
      </c>
      <c r="BF216" s="2" t="str">
        <f>HYPERLINK("http://dx.doi.org/10.3390/computers14090385","http://dx.doi.org/10.3390/computers14090385")</f>
        <v>http://dx.doi.org/10.3390/computers14090385</v>
      </c>
      <c r="BG216" s="1" t="s">
        <v>74</v>
      </c>
      <c r="BH216" s="1" t="s">
        <v>74</v>
      </c>
      <c r="BI216" s="1" t="s">
        <v>74</v>
      </c>
      <c r="BJ216" s="1" t="s">
        <v>74</v>
      </c>
      <c r="BK216" s="1" t="s">
        <v>74</v>
      </c>
      <c r="BL216" s="1" t="s">
        <v>174</v>
      </c>
      <c r="BM216" s="1" t="s">
        <v>74</v>
      </c>
      <c r="BN216" s="1" t="s">
        <v>74</v>
      </c>
      <c r="BO216" s="1" t="s">
        <v>163</v>
      </c>
      <c r="BP216" s="1" t="s">
        <v>74</v>
      </c>
      <c r="BQ216" s="1" t="s">
        <v>74</v>
      </c>
      <c r="BR216" s="1" t="s">
        <v>74</v>
      </c>
      <c r="BS216" s="1" t="s">
        <v>2164</v>
      </c>
      <c r="BT216" s="1" t="str">
        <f>HYPERLINK("https%3A%2F%2Fwww.webofscience.com%2Fwos%2Fwoscc%2Ffull-record%2FWOS:001579591300001","View Full Record in Web of Science")</f>
        <v>View Full Record in Web of Science</v>
      </c>
    </row>
    <row r="217" ht="12.75" customHeight="1">
      <c r="A217" s="1" t="s">
        <v>72</v>
      </c>
      <c r="B217" s="1" t="s">
        <v>2165</v>
      </c>
      <c r="C217" s="1" t="s">
        <v>74</v>
      </c>
      <c r="D217" s="1" t="s">
        <v>74</v>
      </c>
      <c r="E217" s="1" t="s">
        <v>74</v>
      </c>
      <c r="F217" s="1" t="s">
        <v>2166</v>
      </c>
      <c r="G217" s="1" t="s">
        <v>74</v>
      </c>
      <c r="H217" s="1" t="s">
        <v>74</v>
      </c>
      <c r="I217" s="1" t="s">
        <v>2167</v>
      </c>
      <c r="J217" s="1" t="s">
        <v>793</v>
      </c>
      <c r="K217" s="1" t="s">
        <v>74</v>
      </c>
      <c r="L217" s="1" t="s">
        <v>74</v>
      </c>
      <c r="M217" s="1" t="s">
        <v>74</v>
      </c>
      <c r="N217" s="1" t="s">
        <v>158</v>
      </c>
      <c r="O217" s="1" t="s">
        <v>74</v>
      </c>
      <c r="P217" s="1" t="s">
        <v>74</v>
      </c>
      <c r="Q217" s="1" t="s">
        <v>74</v>
      </c>
      <c r="R217" s="1" t="s">
        <v>74</v>
      </c>
      <c r="S217" s="1" t="s">
        <v>74</v>
      </c>
      <c r="T217" s="1" t="s">
        <v>2168</v>
      </c>
      <c r="U217" s="1" t="s">
        <v>2169</v>
      </c>
      <c r="V217" s="1" t="s">
        <v>2170</v>
      </c>
      <c r="W217" s="1" t="s">
        <v>74</v>
      </c>
      <c r="X217" s="1" t="s">
        <v>74</v>
      </c>
      <c r="Y217" s="1" t="s">
        <v>74</v>
      </c>
      <c r="Z217" s="1" t="s">
        <v>74</v>
      </c>
      <c r="AA217" s="1" t="s">
        <v>74</v>
      </c>
      <c r="AB217" s="1" t="s">
        <v>74</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797</v>
      </c>
      <c r="AP217" s="1" t="s">
        <v>74</v>
      </c>
      <c r="AQ217" s="1" t="s">
        <v>74</v>
      </c>
      <c r="AR217" s="1" t="s">
        <v>74</v>
      </c>
      <c r="AS217" s="1" t="s">
        <v>74</v>
      </c>
      <c r="AT217" s="1" t="s">
        <v>2171</v>
      </c>
      <c r="AU217" s="1">
        <v>2025.0</v>
      </c>
      <c r="AV217" s="1">
        <v>17.0</v>
      </c>
      <c r="AW217" s="1">
        <v>8.0</v>
      </c>
      <c r="AX217" s="1" t="s">
        <v>74</v>
      </c>
      <c r="AY217" s="1" t="s">
        <v>74</v>
      </c>
      <c r="AZ217" s="1" t="s">
        <v>74</v>
      </c>
      <c r="BA217" s="1" t="s">
        <v>74</v>
      </c>
      <c r="BB217" s="1" t="s">
        <v>74</v>
      </c>
      <c r="BC217" s="1" t="s">
        <v>74</v>
      </c>
      <c r="BD217" s="1">
        <v>353.0</v>
      </c>
      <c r="BE217" s="1" t="s">
        <v>2172</v>
      </c>
      <c r="BF217" s="2" t="str">
        <f>HYPERLINK("http://dx.doi.org/10.3390/fi17080353","http://dx.doi.org/10.3390/fi17080353")</f>
        <v>http://dx.doi.org/10.3390/fi17080353</v>
      </c>
      <c r="BG217" s="1" t="s">
        <v>74</v>
      </c>
      <c r="BH217" s="1" t="s">
        <v>74</v>
      </c>
      <c r="BI217" s="1" t="s">
        <v>74</v>
      </c>
      <c r="BJ217" s="1" t="s">
        <v>74</v>
      </c>
      <c r="BK217" s="1" t="s">
        <v>74</v>
      </c>
      <c r="BL217" s="1" t="s">
        <v>174</v>
      </c>
      <c r="BM217" s="1" t="s">
        <v>74</v>
      </c>
      <c r="BN217" s="1" t="s">
        <v>74</v>
      </c>
      <c r="BO217" s="1" t="s">
        <v>163</v>
      </c>
      <c r="BP217" s="1" t="s">
        <v>74</v>
      </c>
      <c r="BQ217" s="1" t="s">
        <v>74</v>
      </c>
      <c r="BR217" s="1" t="s">
        <v>74</v>
      </c>
      <c r="BS217" s="1" t="s">
        <v>2173</v>
      </c>
      <c r="BT217" s="1" t="str">
        <f>HYPERLINK("https%3A%2F%2Fwww.webofscience.com%2Fwos%2Fwoscc%2Ffull-record%2FWOS:001558263300001","View Full Record in Web of Science")</f>
        <v>View Full Record in Web of Science</v>
      </c>
    </row>
    <row r="218" ht="12.75" customHeight="1">
      <c r="A218" s="1" t="s">
        <v>72</v>
      </c>
      <c r="B218" s="1" t="s">
        <v>2174</v>
      </c>
      <c r="C218" s="1" t="s">
        <v>74</v>
      </c>
      <c r="D218" s="1" t="s">
        <v>74</v>
      </c>
      <c r="E218" s="1" t="s">
        <v>74</v>
      </c>
      <c r="F218" s="1" t="s">
        <v>2175</v>
      </c>
      <c r="G218" s="1" t="s">
        <v>74</v>
      </c>
      <c r="H218" s="1" t="s">
        <v>74</v>
      </c>
      <c r="I218" s="1" t="s">
        <v>2176</v>
      </c>
      <c r="J218" s="1" t="s">
        <v>147</v>
      </c>
      <c r="K218" s="1" t="s">
        <v>74</v>
      </c>
      <c r="L218" s="1" t="s">
        <v>74</v>
      </c>
      <c r="M218" s="1" t="s">
        <v>74</v>
      </c>
      <c r="N218" s="1" t="s">
        <v>78</v>
      </c>
      <c r="O218" s="1" t="s">
        <v>74</v>
      </c>
      <c r="P218" s="1" t="s">
        <v>74</v>
      </c>
      <c r="Q218" s="1" t="s">
        <v>74</v>
      </c>
      <c r="R218" s="1" t="s">
        <v>74</v>
      </c>
      <c r="S218" s="1" t="s">
        <v>74</v>
      </c>
      <c r="T218" s="1" t="s">
        <v>2177</v>
      </c>
      <c r="U218" s="1" t="s">
        <v>74</v>
      </c>
      <c r="V218" s="1" t="s">
        <v>2178</v>
      </c>
      <c r="W218" s="1" t="s">
        <v>74</v>
      </c>
      <c r="X218" s="1" t="s">
        <v>74</v>
      </c>
      <c r="Y218" s="1" t="s">
        <v>74</v>
      </c>
      <c r="Z218" s="1" t="s">
        <v>74</v>
      </c>
      <c r="AA218" s="1" t="s">
        <v>74</v>
      </c>
      <c r="AB218" s="1" t="s">
        <v>74</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150</v>
      </c>
      <c r="AP218" s="1" t="s">
        <v>74</v>
      </c>
      <c r="AQ218" s="1" t="s">
        <v>74</v>
      </c>
      <c r="AR218" s="1" t="s">
        <v>74</v>
      </c>
      <c r="AS218" s="1" t="s">
        <v>74</v>
      </c>
      <c r="AT218" s="1" t="s">
        <v>74</v>
      </c>
      <c r="AU218" s="1">
        <v>2025.0</v>
      </c>
      <c r="AV218" s="1">
        <v>13.0</v>
      </c>
      <c r="AW218" s="1" t="s">
        <v>74</v>
      </c>
      <c r="AX218" s="1" t="s">
        <v>74</v>
      </c>
      <c r="AY218" s="1" t="s">
        <v>74</v>
      </c>
      <c r="AZ218" s="1" t="s">
        <v>74</v>
      </c>
      <c r="BA218" s="1" t="s">
        <v>74</v>
      </c>
      <c r="BB218" s="1">
        <v>61322.0</v>
      </c>
      <c r="BC218" s="1">
        <v>61328.0</v>
      </c>
      <c r="BD218" s="1" t="s">
        <v>74</v>
      </c>
      <c r="BE218" s="1" t="s">
        <v>2179</v>
      </c>
      <c r="BF218" s="2" t="str">
        <f>HYPERLINK("http://dx.doi.org/10.1109/ACCESS.2025.3557014","http://dx.doi.org/10.1109/ACCESS.2025.3557014")</f>
        <v>http://dx.doi.org/10.1109/ACCESS.2025.3557014</v>
      </c>
      <c r="BG218" s="1" t="s">
        <v>74</v>
      </c>
      <c r="BH218" s="1" t="s">
        <v>74</v>
      </c>
      <c r="BI218" s="1" t="s">
        <v>74</v>
      </c>
      <c r="BJ218" s="1" t="s">
        <v>74</v>
      </c>
      <c r="BK218" s="1" t="s">
        <v>74</v>
      </c>
      <c r="BL218" s="1" t="s">
        <v>152</v>
      </c>
      <c r="BM218" s="1" t="s">
        <v>74</v>
      </c>
      <c r="BN218" s="1" t="s">
        <v>74</v>
      </c>
      <c r="BO218" s="1" t="s">
        <v>153</v>
      </c>
      <c r="BP218" s="1" t="s">
        <v>74</v>
      </c>
      <c r="BQ218" s="1" t="s">
        <v>74</v>
      </c>
      <c r="BR218" s="1" t="s">
        <v>74</v>
      </c>
      <c r="BS218" s="1" t="s">
        <v>2180</v>
      </c>
      <c r="BT218" s="1" t="str">
        <f>HYPERLINK("https%3A%2F%2Fwww.webofscience.com%2Fwos%2Fwoscc%2Ffull-record%2FWOS:001464984900029","View Full Record in Web of Science")</f>
        <v>View Full Record in Web of Science</v>
      </c>
    </row>
    <row r="219" ht="12.75" customHeight="1">
      <c r="A219" s="1" t="s">
        <v>72</v>
      </c>
      <c r="B219" s="1" t="s">
        <v>2181</v>
      </c>
      <c r="C219" s="1" t="s">
        <v>74</v>
      </c>
      <c r="D219" s="1" t="s">
        <v>74</v>
      </c>
      <c r="E219" s="1" t="s">
        <v>74</v>
      </c>
      <c r="F219" s="1" t="s">
        <v>2182</v>
      </c>
      <c r="G219" s="1" t="s">
        <v>74</v>
      </c>
      <c r="H219" s="1" t="s">
        <v>74</v>
      </c>
      <c r="I219" s="1" t="s">
        <v>2183</v>
      </c>
      <c r="J219" s="1" t="s">
        <v>2184</v>
      </c>
      <c r="K219" s="1" t="s">
        <v>74</v>
      </c>
      <c r="L219" s="1" t="s">
        <v>74</v>
      </c>
      <c r="M219" s="1" t="s">
        <v>74</v>
      </c>
      <c r="N219" s="1" t="s">
        <v>78</v>
      </c>
      <c r="O219" s="1" t="s">
        <v>74</v>
      </c>
      <c r="P219" s="1" t="s">
        <v>74</v>
      </c>
      <c r="Q219" s="1" t="s">
        <v>74</v>
      </c>
      <c r="R219" s="1" t="s">
        <v>74</v>
      </c>
      <c r="S219" s="1" t="s">
        <v>74</v>
      </c>
      <c r="T219" s="1" t="s">
        <v>2185</v>
      </c>
      <c r="U219" s="1" t="s">
        <v>74</v>
      </c>
      <c r="V219" s="1" t="s">
        <v>2186</v>
      </c>
      <c r="W219" s="1" t="s">
        <v>74</v>
      </c>
      <c r="X219" s="1" t="s">
        <v>74</v>
      </c>
      <c r="Y219" s="1" t="s">
        <v>74</v>
      </c>
      <c r="Z219" s="1" t="s">
        <v>74</v>
      </c>
      <c r="AA219" s="1" t="s">
        <v>74</v>
      </c>
      <c r="AB219" s="1" t="s">
        <v>74</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2187</v>
      </c>
      <c r="AP219" s="1" t="s">
        <v>2188</v>
      </c>
      <c r="AQ219" s="1" t="s">
        <v>74</v>
      </c>
      <c r="AR219" s="1" t="s">
        <v>74</v>
      </c>
      <c r="AS219" s="1" t="s">
        <v>74</v>
      </c>
      <c r="AT219" s="1" t="s">
        <v>464</v>
      </c>
      <c r="AU219" s="1">
        <v>2025.0</v>
      </c>
      <c r="AV219" s="1">
        <v>19.0</v>
      </c>
      <c r="AW219" s="1">
        <v>3.0</v>
      </c>
      <c r="AX219" s="1" t="s">
        <v>74</v>
      </c>
      <c r="AY219" s="1" t="s">
        <v>74</v>
      </c>
      <c r="AZ219" s="1" t="s">
        <v>74</v>
      </c>
      <c r="BA219" s="1" t="s">
        <v>74</v>
      </c>
      <c r="BB219" s="1" t="s">
        <v>74</v>
      </c>
      <c r="BC219" s="1" t="s">
        <v>74</v>
      </c>
      <c r="BD219" s="1">
        <v>34.0</v>
      </c>
      <c r="BE219" s="1" t="s">
        <v>2189</v>
      </c>
      <c r="BF219" s="2" t="str">
        <f>HYPERLINK("http://dx.doi.org/10.1145/3732294","http://dx.doi.org/10.1145/3732294")</f>
        <v>http://dx.doi.org/10.1145/3732294</v>
      </c>
      <c r="BG219" s="1" t="s">
        <v>74</v>
      </c>
      <c r="BH219" s="1" t="s">
        <v>74</v>
      </c>
      <c r="BI219" s="1" t="s">
        <v>74</v>
      </c>
      <c r="BJ219" s="1" t="s">
        <v>74</v>
      </c>
      <c r="BK219" s="1" t="s">
        <v>74</v>
      </c>
      <c r="BL219" s="1" t="s">
        <v>174</v>
      </c>
      <c r="BM219" s="1" t="s">
        <v>74</v>
      </c>
      <c r="BN219" s="1" t="s">
        <v>74</v>
      </c>
      <c r="BO219" s="1" t="s">
        <v>114</v>
      </c>
      <c r="BP219" s="1" t="s">
        <v>74</v>
      </c>
      <c r="BQ219" s="1" t="s">
        <v>74</v>
      </c>
      <c r="BR219" s="1" t="s">
        <v>74</v>
      </c>
      <c r="BS219" s="1" t="s">
        <v>2190</v>
      </c>
      <c r="BT219" s="1" t="str">
        <f>HYPERLINK("https%3A%2F%2Fwww.webofscience.com%2Fwos%2Fwoscc%2Ffull-record%2FWOS:001564658800002","View Full Record in Web of Science")</f>
        <v>View Full Record in Web of Science</v>
      </c>
    </row>
    <row r="220" ht="12.75" customHeight="1">
      <c r="A220" s="1" t="s">
        <v>72</v>
      </c>
      <c r="B220" s="1" t="s">
        <v>2191</v>
      </c>
      <c r="C220" s="1" t="s">
        <v>74</v>
      </c>
      <c r="D220" s="1" t="s">
        <v>74</v>
      </c>
      <c r="E220" s="1" t="s">
        <v>74</v>
      </c>
      <c r="F220" s="1" t="s">
        <v>2192</v>
      </c>
      <c r="G220" s="1" t="s">
        <v>74</v>
      </c>
      <c r="H220" s="1" t="s">
        <v>74</v>
      </c>
      <c r="I220" s="1" t="s">
        <v>2193</v>
      </c>
      <c r="J220" s="1" t="s">
        <v>239</v>
      </c>
      <c r="K220" s="1" t="s">
        <v>74</v>
      </c>
      <c r="L220" s="1" t="s">
        <v>74</v>
      </c>
      <c r="M220" s="1" t="s">
        <v>74</v>
      </c>
      <c r="N220" s="1" t="s">
        <v>78</v>
      </c>
      <c r="O220" s="1" t="s">
        <v>74</v>
      </c>
      <c r="P220" s="1" t="s">
        <v>74</v>
      </c>
      <c r="Q220" s="1" t="s">
        <v>74</v>
      </c>
      <c r="R220" s="1" t="s">
        <v>74</v>
      </c>
      <c r="S220" s="1" t="s">
        <v>74</v>
      </c>
      <c r="T220" s="1" t="s">
        <v>2194</v>
      </c>
      <c r="U220" s="1" t="s">
        <v>74</v>
      </c>
      <c r="V220" s="1" t="s">
        <v>2195</v>
      </c>
      <c r="W220" s="1" t="s">
        <v>74</v>
      </c>
      <c r="X220" s="1" t="s">
        <v>74</v>
      </c>
      <c r="Y220" s="1" t="s">
        <v>74</v>
      </c>
      <c r="Z220" s="1" t="s">
        <v>74</v>
      </c>
      <c r="AA220" s="1" t="s">
        <v>74</v>
      </c>
      <c r="AB220" s="1" t="s">
        <v>74</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242</v>
      </c>
      <c r="AP220" s="1" t="s">
        <v>74</v>
      </c>
      <c r="AQ220" s="1" t="s">
        <v>74</v>
      </c>
      <c r="AR220" s="1" t="s">
        <v>74</v>
      </c>
      <c r="AS220" s="1" t="s">
        <v>74</v>
      </c>
      <c r="AT220" s="1" t="s">
        <v>225</v>
      </c>
      <c r="AU220" s="1">
        <v>2023.0</v>
      </c>
      <c r="AV220" s="1">
        <v>12.0</v>
      </c>
      <c r="AW220" s="1">
        <v>14.0</v>
      </c>
      <c r="AX220" s="1" t="s">
        <v>74</v>
      </c>
      <c r="AY220" s="1" t="s">
        <v>74</v>
      </c>
      <c r="AZ220" s="1" t="s">
        <v>74</v>
      </c>
      <c r="BA220" s="1" t="s">
        <v>74</v>
      </c>
      <c r="BB220" s="1" t="s">
        <v>74</v>
      </c>
      <c r="BC220" s="1" t="s">
        <v>74</v>
      </c>
      <c r="BD220" s="1">
        <v>3170.0</v>
      </c>
      <c r="BE220" s="1" t="s">
        <v>2196</v>
      </c>
      <c r="BF220" s="2" t="str">
        <f>HYPERLINK("http://dx.doi.org/10.3390/electronics12143170","http://dx.doi.org/10.3390/electronics12143170")</f>
        <v>http://dx.doi.org/10.3390/electronics12143170</v>
      </c>
      <c r="BG220" s="1" t="s">
        <v>74</v>
      </c>
      <c r="BH220" s="1" t="s">
        <v>74</v>
      </c>
      <c r="BI220" s="1" t="s">
        <v>74</v>
      </c>
      <c r="BJ220" s="1" t="s">
        <v>74</v>
      </c>
      <c r="BK220" s="1" t="s">
        <v>74</v>
      </c>
      <c r="BL220" s="1" t="s">
        <v>244</v>
      </c>
      <c r="BM220" s="1" t="s">
        <v>74</v>
      </c>
      <c r="BN220" s="1" t="s">
        <v>74</v>
      </c>
      <c r="BO220" s="1" t="s">
        <v>153</v>
      </c>
      <c r="BP220" s="1" t="s">
        <v>74</v>
      </c>
      <c r="BQ220" s="1" t="s">
        <v>74</v>
      </c>
      <c r="BR220" s="1" t="s">
        <v>74</v>
      </c>
      <c r="BS220" s="1" t="s">
        <v>2197</v>
      </c>
      <c r="BT220" s="1" t="str">
        <f>HYPERLINK("https%3A%2F%2Fwww.webofscience.com%2Fwos%2Fwoscc%2Ffull-record%2FWOS:001038024600001","View Full Record in Web of Science")</f>
        <v>View Full Record in Web of Science</v>
      </c>
    </row>
    <row r="221" ht="12.75" customHeight="1">
      <c r="A221" s="1" t="s">
        <v>72</v>
      </c>
      <c r="B221" s="1" t="s">
        <v>2198</v>
      </c>
      <c r="C221" s="1" t="s">
        <v>74</v>
      </c>
      <c r="D221" s="1" t="s">
        <v>74</v>
      </c>
      <c r="E221" s="1" t="s">
        <v>74</v>
      </c>
      <c r="F221" s="1" t="s">
        <v>2199</v>
      </c>
      <c r="G221" s="1" t="s">
        <v>74</v>
      </c>
      <c r="H221" s="1" t="s">
        <v>74</v>
      </c>
      <c r="I221" s="1" t="s">
        <v>2200</v>
      </c>
      <c r="J221" s="1" t="s">
        <v>2201</v>
      </c>
      <c r="K221" s="1" t="s">
        <v>74</v>
      </c>
      <c r="L221" s="1" t="s">
        <v>74</v>
      </c>
      <c r="M221" s="1" t="s">
        <v>74</v>
      </c>
      <c r="N221" s="1" t="s">
        <v>78</v>
      </c>
      <c r="O221" s="1" t="s">
        <v>74</v>
      </c>
      <c r="P221" s="1" t="s">
        <v>74</v>
      </c>
      <c r="Q221" s="1" t="s">
        <v>74</v>
      </c>
      <c r="R221" s="1" t="s">
        <v>74</v>
      </c>
      <c r="S221" s="1" t="s">
        <v>74</v>
      </c>
      <c r="T221" s="1" t="s">
        <v>2202</v>
      </c>
      <c r="U221" s="1" t="s">
        <v>1137</v>
      </c>
      <c r="V221" s="1" t="s">
        <v>2203</v>
      </c>
      <c r="W221" s="1" t="s">
        <v>74</v>
      </c>
      <c r="X221" s="1" t="s">
        <v>74</v>
      </c>
      <c r="Y221" s="1" t="s">
        <v>74</v>
      </c>
      <c r="Z221" s="1" t="s">
        <v>74</v>
      </c>
      <c r="AA221" s="1" t="s">
        <v>74</v>
      </c>
      <c r="AB221" s="1" t="s">
        <v>74</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2204</v>
      </c>
      <c r="AP221" s="1" t="s">
        <v>2205</v>
      </c>
      <c r="AQ221" s="1" t="s">
        <v>74</v>
      </c>
      <c r="AR221" s="1" t="s">
        <v>74</v>
      </c>
      <c r="AS221" s="1" t="s">
        <v>74</v>
      </c>
      <c r="AT221" s="1" t="s">
        <v>464</v>
      </c>
      <c r="AU221" s="1">
        <v>2025.0</v>
      </c>
      <c r="AV221" s="1">
        <v>206.0</v>
      </c>
      <c r="AW221" s="1" t="s">
        <v>74</v>
      </c>
      <c r="AX221" s="1" t="s">
        <v>74</v>
      </c>
      <c r="AY221" s="1" t="s">
        <v>74</v>
      </c>
      <c r="AZ221" s="1" t="s">
        <v>74</v>
      </c>
      <c r="BA221" s="1" t="s">
        <v>74</v>
      </c>
      <c r="BB221" s="1" t="s">
        <v>74</v>
      </c>
      <c r="BC221" s="1" t="s">
        <v>74</v>
      </c>
      <c r="BD221" s="1">
        <v>111197.0</v>
      </c>
      <c r="BE221" s="1" t="s">
        <v>2206</v>
      </c>
      <c r="BF221" s="2" t="str">
        <f>HYPERLINK("http://dx.doi.org/10.1016/j.cie.2025.111197","http://dx.doi.org/10.1016/j.cie.2025.111197")</f>
        <v>http://dx.doi.org/10.1016/j.cie.2025.111197</v>
      </c>
      <c r="BG221" s="1" t="s">
        <v>74</v>
      </c>
      <c r="BH221" s="1" t="s">
        <v>1150</v>
      </c>
      <c r="BI221" s="1" t="s">
        <v>74</v>
      </c>
      <c r="BJ221" s="1" t="s">
        <v>74</v>
      </c>
      <c r="BK221" s="1" t="s">
        <v>74</v>
      </c>
      <c r="BL221" s="1" t="s">
        <v>98</v>
      </c>
      <c r="BM221" s="1" t="s">
        <v>74</v>
      </c>
      <c r="BN221" s="1" t="s">
        <v>74</v>
      </c>
      <c r="BO221" s="1" t="s">
        <v>74</v>
      </c>
      <c r="BP221" s="1" t="s">
        <v>74</v>
      </c>
      <c r="BQ221" s="1" t="s">
        <v>74</v>
      </c>
      <c r="BR221" s="1" t="s">
        <v>74</v>
      </c>
      <c r="BS221" s="1" t="s">
        <v>2207</v>
      </c>
      <c r="BT221" s="1" t="str">
        <f>HYPERLINK("https%3A%2F%2Fwww.webofscience.com%2Fwos%2Fwoscc%2Ffull-record%2FWOS:001496120200001","View Full Record in Web of Science")</f>
        <v>View Full Record in Web of Science</v>
      </c>
    </row>
    <row r="222" ht="12.75" customHeight="1">
      <c r="A222" s="1" t="s">
        <v>72</v>
      </c>
      <c r="B222" s="1" t="s">
        <v>2208</v>
      </c>
      <c r="C222" s="1" t="s">
        <v>74</v>
      </c>
      <c r="D222" s="1" t="s">
        <v>74</v>
      </c>
      <c r="E222" s="1" t="s">
        <v>74</v>
      </c>
      <c r="F222" s="1" t="s">
        <v>2209</v>
      </c>
      <c r="G222" s="1" t="s">
        <v>74</v>
      </c>
      <c r="H222" s="1" t="s">
        <v>74</v>
      </c>
      <c r="I222" s="1" t="s">
        <v>2210</v>
      </c>
      <c r="J222" s="1" t="s">
        <v>1165</v>
      </c>
      <c r="K222" s="1" t="s">
        <v>74</v>
      </c>
      <c r="L222" s="1" t="s">
        <v>74</v>
      </c>
      <c r="M222" s="1" t="s">
        <v>74</v>
      </c>
      <c r="N222" s="1" t="s">
        <v>953</v>
      </c>
      <c r="O222" s="1" t="s">
        <v>74</v>
      </c>
      <c r="P222" s="1" t="s">
        <v>74</v>
      </c>
      <c r="Q222" s="1" t="s">
        <v>74</v>
      </c>
      <c r="R222" s="1" t="s">
        <v>74</v>
      </c>
      <c r="S222" s="1" t="s">
        <v>74</v>
      </c>
      <c r="T222" s="1" t="s">
        <v>2211</v>
      </c>
      <c r="U222" s="1" t="s">
        <v>2212</v>
      </c>
      <c r="V222" s="1" t="s">
        <v>2213</v>
      </c>
      <c r="W222" s="1" t="s">
        <v>74</v>
      </c>
      <c r="X222" s="1" t="s">
        <v>74</v>
      </c>
      <c r="Y222" s="1" t="s">
        <v>74</v>
      </c>
      <c r="Z222" s="1" t="s">
        <v>74</v>
      </c>
      <c r="AA222" s="1" t="s">
        <v>74</v>
      </c>
      <c r="AB222" s="1" t="s">
        <v>74</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1168</v>
      </c>
      <c r="AP222" s="1" t="s">
        <v>1169</v>
      </c>
      <c r="AQ222" s="1" t="s">
        <v>74</v>
      </c>
      <c r="AR222" s="1" t="s">
        <v>74</v>
      </c>
      <c r="AS222" s="1" t="s">
        <v>74</v>
      </c>
      <c r="AT222" s="1" t="s">
        <v>2214</v>
      </c>
      <c r="AU222" s="1">
        <v>2024.0</v>
      </c>
      <c r="AV222" s="1" t="s">
        <v>74</v>
      </c>
      <c r="AW222" s="1" t="s">
        <v>74</v>
      </c>
      <c r="AX222" s="1" t="s">
        <v>74</v>
      </c>
      <c r="AY222" s="1" t="s">
        <v>74</v>
      </c>
      <c r="AZ222" s="1" t="s">
        <v>74</v>
      </c>
      <c r="BA222" s="1" t="s">
        <v>74</v>
      </c>
      <c r="BB222" s="1" t="s">
        <v>74</v>
      </c>
      <c r="BC222" s="1" t="s">
        <v>74</v>
      </c>
      <c r="BD222" s="1" t="s">
        <v>74</v>
      </c>
      <c r="BE222" s="1" t="s">
        <v>2215</v>
      </c>
      <c r="BF222" s="2" t="str">
        <f>HYPERLINK("http://dx.doi.org/10.1007/s41666-024-00177-2","http://dx.doi.org/10.1007/s41666-024-00177-2")</f>
        <v>http://dx.doi.org/10.1007/s41666-024-00177-2</v>
      </c>
      <c r="BG222" s="1" t="s">
        <v>74</v>
      </c>
      <c r="BH222" s="1" t="s">
        <v>2216</v>
      </c>
      <c r="BI222" s="1" t="s">
        <v>74</v>
      </c>
      <c r="BJ222" s="1" t="s">
        <v>74</v>
      </c>
      <c r="BK222" s="1" t="s">
        <v>74</v>
      </c>
      <c r="BL222" s="1" t="s">
        <v>1171</v>
      </c>
      <c r="BM222" s="1" t="s">
        <v>74</v>
      </c>
      <c r="BN222" s="1" t="s">
        <v>74</v>
      </c>
      <c r="BO222" s="1" t="s">
        <v>74</v>
      </c>
      <c r="BP222" s="1" t="s">
        <v>74</v>
      </c>
      <c r="BQ222" s="1" t="s">
        <v>74</v>
      </c>
      <c r="BR222" s="1" t="s">
        <v>74</v>
      </c>
      <c r="BS222" s="1" t="s">
        <v>2217</v>
      </c>
      <c r="BT222" s="1" t="str">
        <f>HYPERLINK("https%3A%2F%2Fwww.webofscience.com%2Fwos%2Fwoscc%2Ffull-record%2FWOS:001353909400001","View Full Record in Web of Science")</f>
        <v>View Full Record in Web of Science</v>
      </c>
    </row>
    <row r="223" ht="12.75" customHeight="1">
      <c r="A223" s="1" t="s">
        <v>72</v>
      </c>
      <c r="B223" s="1" t="s">
        <v>2218</v>
      </c>
      <c r="C223" s="1" t="s">
        <v>74</v>
      </c>
      <c r="D223" s="1" t="s">
        <v>74</v>
      </c>
      <c r="E223" s="1" t="s">
        <v>74</v>
      </c>
      <c r="F223" s="1" t="s">
        <v>2219</v>
      </c>
      <c r="G223" s="1" t="s">
        <v>74</v>
      </c>
      <c r="H223" s="1" t="s">
        <v>74</v>
      </c>
      <c r="I223" s="1" t="s">
        <v>2220</v>
      </c>
      <c r="J223" s="1" t="s">
        <v>103</v>
      </c>
      <c r="K223" s="1" t="s">
        <v>74</v>
      </c>
      <c r="L223" s="1" t="s">
        <v>74</v>
      </c>
      <c r="M223" s="1" t="s">
        <v>74</v>
      </c>
      <c r="N223" s="1" t="s">
        <v>78</v>
      </c>
      <c r="O223" s="1" t="s">
        <v>74</v>
      </c>
      <c r="P223" s="1" t="s">
        <v>74</v>
      </c>
      <c r="Q223" s="1" t="s">
        <v>74</v>
      </c>
      <c r="R223" s="1" t="s">
        <v>74</v>
      </c>
      <c r="S223" s="1" t="s">
        <v>74</v>
      </c>
      <c r="T223" s="1" t="s">
        <v>2221</v>
      </c>
      <c r="U223" s="1" t="s">
        <v>2222</v>
      </c>
      <c r="V223" s="1" t="s">
        <v>2223</v>
      </c>
      <c r="W223" s="1" t="s">
        <v>74</v>
      </c>
      <c r="X223" s="1" t="s">
        <v>74</v>
      </c>
      <c r="Y223" s="1" t="s">
        <v>74</v>
      </c>
      <c r="Z223" s="1" t="s">
        <v>74</v>
      </c>
      <c r="AA223" s="1" t="s">
        <v>74</v>
      </c>
      <c r="AB223" s="1" t="s">
        <v>74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107</v>
      </c>
      <c r="AP223" s="1" t="s">
        <v>108</v>
      </c>
      <c r="AQ223" s="1" t="s">
        <v>74</v>
      </c>
      <c r="AR223" s="1" t="s">
        <v>74</v>
      </c>
      <c r="AS223" s="1" t="s">
        <v>74</v>
      </c>
      <c r="AT223" s="1" t="s">
        <v>1873</v>
      </c>
      <c r="AU223" s="1">
        <v>2025.0</v>
      </c>
      <c r="AV223" s="1">
        <v>150.0</v>
      </c>
      <c r="AW223" s="1" t="s">
        <v>74</v>
      </c>
      <c r="AX223" s="1" t="s">
        <v>74</v>
      </c>
      <c r="AY223" s="1" t="s">
        <v>74</v>
      </c>
      <c r="AZ223" s="1" t="s">
        <v>74</v>
      </c>
      <c r="BA223" s="1" t="s">
        <v>74</v>
      </c>
      <c r="BB223" s="1" t="s">
        <v>74</v>
      </c>
      <c r="BC223" s="1" t="s">
        <v>74</v>
      </c>
      <c r="BD223" s="1">
        <v>110602.0</v>
      </c>
      <c r="BE223" s="1" t="s">
        <v>2224</v>
      </c>
      <c r="BF223" s="2" t="str">
        <f>HYPERLINK("http://dx.doi.org/10.1016/j.engappai.2025.110602","http://dx.doi.org/10.1016/j.engappai.2025.110602")</f>
        <v>http://dx.doi.org/10.1016/j.engappai.2025.110602</v>
      </c>
      <c r="BG223" s="1" t="s">
        <v>74</v>
      </c>
      <c r="BH223" s="1" t="s">
        <v>347</v>
      </c>
      <c r="BI223" s="1" t="s">
        <v>74</v>
      </c>
      <c r="BJ223" s="1" t="s">
        <v>74</v>
      </c>
      <c r="BK223" s="1" t="s">
        <v>74</v>
      </c>
      <c r="BL223" s="1" t="s">
        <v>113</v>
      </c>
      <c r="BM223" s="1" t="s">
        <v>74</v>
      </c>
      <c r="BN223" s="1" t="s">
        <v>74</v>
      </c>
      <c r="BO223" s="1" t="s">
        <v>74</v>
      </c>
      <c r="BP223" s="1" t="s">
        <v>74</v>
      </c>
      <c r="BQ223" s="1" t="s">
        <v>74</v>
      </c>
      <c r="BR223" s="1" t="s">
        <v>74</v>
      </c>
      <c r="BS223" s="1" t="s">
        <v>2225</v>
      </c>
      <c r="BT223" s="1" t="str">
        <f>HYPERLINK("https%3A%2F%2Fwww.webofscience.com%2Fwos%2Fwoscc%2Ffull-record%2FWOS:001462199100001","View Full Record in Web of Science")</f>
        <v>View Full Record in Web of Science</v>
      </c>
    </row>
    <row r="224" ht="12.75" customHeight="1">
      <c r="A224" s="1" t="s">
        <v>72</v>
      </c>
      <c r="B224" s="1" t="s">
        <v>2226</v>
      </c>
      <c r="C224" s="1" t="s">
        <v>74</v>
      </c>
      <c r="D224" s="1" t="s">
        <v>74</v>
      </c>
      <c r="E224" s="1" t="s">
        <v>74</v>
      </c>
      <c r="F224" s="1" t="s">
        <v>2227</v>
      </c>
      <c r="G224" s="1" t="s">
        <v>74</v>
      </c>
      <c r="H224" s="1" t="s">
        <v>74</v>
      </c>
      <c r="I224" s="1" t="s">
        <v>2228</v>
      </c>
      <c r="J224" s="1" t="s">
        <v>519</v>
      </c>
      <c r="K224" s="1" t="s">
        <v>74</v>
      </c>
      <c r="L224" s="1" t="s">
        <v>74</v>
      </c>
      <c r="M224" s="1" t="s">
        <v>74</v>
      </c>
      <c r="N224" s="1" t="s">
        <v>78</v>
      </c>
      <c r="O224" s="1" t="s">
        <v>74</v>
      </c>
      <c r="P224" s="1" t="s">
        <v>74</v>
      </c>
      <c r="Q224" s="1" t="s">
        <v>74</v>
      </c>
      <c r="R224" s="1" t="s">
        <v>74</v>
      </c>
      <c r="S224" s="1" t="s">
        <v>74</v>
      </c>
      <c r="T224" s="1" t="s">
        <v>2229</v>
      </c>
      <c r="U224" s="1" t="s">
        <v>74</v>
      </c>
      <c r="V224" s="1" t="s">
        <v>2230</v>
      </c>
      <c r="W224" s="1" t="s">
        <v>74</v>
      </c>
      <c r="X224" s="1" t="s">
        <v>74</v>
      </c>
      <c r="Y224" s="1" t="s">
        <v>74</v>
      </c>
      <c r="Z224" s="1" t="s">
        <v>74</v>
      </c>
      <c r="AA224" s="1" t="s">
        <v>74</v>
      </c>
      <c r="AB224" s="1" t="s">
        <v>74</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523</v>
      </c>
      <c r="AP224" s="1" t="s">
        <v>524</v>
      </c>
      <c r="AQ224" s="1" t="s">
        <v>74</v>
      </c>
      <c r="AR224" s="1" t="s">
        <v>74</v>
      </c>
      <c r="AS224" s="1" t="s">
        <v>74</v>
      </c>
      <c r="AT224" s="1" t="s">
        <v>688</v>
      </c>
      <c r="AU224" s="1">
        <v>2026.0</v>
      </c>
      <c r="AV224" s="1">
        <v>127.0</v>
      </c>
      <c r="AW224" s="1" t="s">
        <v>74</v>
      </c>
      <c r="AX224" s="1" t="s">
        <v>110</v>
      </c>
      <c r="AY224" s="1" t="s">
        <v>74</v>
      </c>
      <c r="AZ224" s="1" t="s">
        <v>74</v>
      </c>
      <c r="BA224" s="1" t="s">
        <v>74</v>
      </c>
      <c r="BB224" s="1" t="s">
        <v>74</v>
      </c>
      <c r="BC224" s="1" t="s">
        <v>74</v>
      </c>
      <c r="BD224" s="1">
        <v>103799.0</v>
      </c>
      <c r="BE224" s="1" t="s">
        <v>2231</v>
      </c>
      <c r="BF224" s="2" t="str">
        <f>HYPERLINK("http://dx.doi.org/10.1016/j.inffus.2025.103799","http://dx.doi.org/10.1016/j.inffus.2025.103799")</f>
        <v>http://dx.doi.org/10.1016/j.inffus.2025.103799</v>
      </c>
      <c r="BG224" s="1" t="s">
        <v>74</v>
      </c>
      <c r="BH224" s="1" t="s">
        <v>811</v>
      </c>
      <c r="BI224" s="1" t="s">
        <v>74</v>
      </c>
      <c r="BJ224" s="1" t="s">
        <v>74</v>
      </c>
      <c r="BK224" s="1" t="s">
        <v>74</v>
      </c>
      <c r="BL224" s="1" t="s">
        <v>174</v>
      </c>
      <c r="BM224" s="1" t="s">
        <v>74</v>
      </c>
      <c r="BN224" s="1" t="s">
        <v>74</v>
      </c>
      <c r="BO224" s="1" t="s">
        <v>74</v>
      </c>
      <c r="BP224" s="1" t="s">
        <v>74</v>
      </c>
      <c r="BQ224" s="1" t="s">
        <v>74</v>
      </c>
      <c r="BR224" s="1" t="s">
        <v>74</v>
      </c>
      <c r="BS224" s="1" t="s">
        <v>2232</v>
      </c>
      <c r="BT224" s="1" t="str">
        <f>HYPERLINK("https%3A%2F%2Fwww.webofscience.com%2Fwos%2Fwoscc%2Ffull-record%2FWOS:001594737300001","View Full Record in Web of Science")</f>
        <v>View Full Record in Web of Science</v>
      </c>
    </row>
    <row r="225" ht="12.75" customHeight="1">
      <c r="A225" s="1" t="s">
        <v>72</v>
      </c>
      <c r="B225" s="1" t="s">
        <v>2233</v>
      </c>
      <c r="C225" s="1" t="s">
        <v>74</v>
      </c>
      <c r="D225" s="1" t="s">
        <v>74</v>
      </c>
      <c r="E225" s="1" t="s">
        <v>74</v>
      </c>
      <c r="F225" s="1" t="s">
        <v>2234</v>
      </c>
      <c r="G225" s="1" t="s">
        <v>74</v>
      </c>
      <c r="H225" s="1" t="s">
        <v>74</v>
      </c>
      <c r="I225" s="1" t="s">
        <v>2235</v>
      </c>
      <c r="J225" s="1" t="s">
        <v>793</v>
      </c>
      <c r="K225" s="1" t="s">
        <v>74</v>
      </c>
      <c r="L225" s="1" t="s">
        <v>74</v>
      </c>
      <c r="M225" s="1" t="s">
        <v>74</v>
      </c>
      <c r="N225" s="1" t="s">
        <v>158</v>
      </c>
      <c r="O225" s="1" t="s">
        <v>74</v>
      </c>
      <c r="P225" s="1" t="s">
        <v>74</v>
      </c>
      <c r="Q225" s="1" t="s">
        <v>74</v>
      </c>
      <c r="R225" s="1" t="s">
        <v>74</v>
      </c>
      <c r="S225" s="1" t="s">
        <v>74</v>
      </c>
      <c r="T225" s="1" t="s">
        <v>2236</v>
      </c>
      <c r="U225" s="1" t="s">
        <v>74</v>
      </c>
      <c r="V225" s="1" t="s">
        <v>2237</v>
      </c>
      <c r="W225" s="1" t="s">
        <v>74</v>
      </c>
      <c r="X225" s="1" t="s">
        <v>74</v>
      </c>
      <c r="Y225" s="1" t="s">
        <v>74</v>
      </c>
      <c r="Z225" s="1" t="s">
        <v>74</v>
      </c>
      <c r="AA225" s="1" t="s">
        <v>74</v>
      </c>
      <c r="AB225" s="1" t="s">
        <v>74</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797</v>
      </c>
      <c r="AP225" s="1" t="s">
        <v>74</v>
      </c>
      <c r="AQ225" s="1" t="s">
        <v>74</v>
      </c>
      <c r="AR225" s="1" t="s">
        <v>74</v>
      </c>
      <c r="AS225" s="1" t="s">
        <v>74</v>
      </c>
      <c r="AT225" s="1" t="s">
        <v>464</v>
      </c>
      <c r="AU225" s="1">
        <v>2024.0</v>
      </c>
      <c r="AV225" s="1">
        <v>16.0</v>
      </c>
      <c r="AW225" s="1">
        <v>8.0</v>
      </c>
      <c r="AX225" s="1" t="s">
        <v>74</v>
      </c>
      <c r="AY225" s="1" t="s">
        <v>74</v>
      </c>
      <c r="AZ225" s="1" t="s">
        <v>74</v>
      </c>
      <c r="BA225" s="1" t="s">
        <v>74</v>
      </c>
      <c r="BB225" s="1" t="s">
        <v>74</v>
      </c>
      <c r="BC225" s="1" t="s">
        <v>74</v>
      </c>
      <c r="BD225" s="1">
        <v>298.0</v>
      </c>
      <c r="BE225" s="1" t="s">
        <v>2238</v>
      </c>
      <c r="BF225" s="2" t="str">
        <f>HYPERLINK("http://dx.doi.org/10.3390/fi16080298","http://dx.doi.org/10.3390/fi16080298")</f>
        <v>http://dx.doi.org/10.3390/fi16080298</v>
      </c>
      <c r="BG225" s="1" t="s">
        <v>74</v>
      </c>
      <c r="BH225" s="1" t="s">
        <v>74</v>
      </c>
      <c r="BI225" s="1" t="s">
        <v>74</v>
      </c>
      <c r="BJ225" s="1" t="s">
        <v>74</v>
      </c>
      <c r="BK225" s="1" t="s">
        <v>74</v>
      </c>
      <c r="BL225" s="1" t="s">
        <v>174</v>
      </c>
      <c r="BM225" s="1" t="s">
        <v>74</v>
      </c>
      <c r="BN225" s="1" t="s">
        <v>74</v>
      </c>
      <c r="BO225" s="1" t="s">
        <v>153</v>
      </c>
      <c r="BP225" s="1" t="s">
        <v>74</v>
      </c>
      <c r="BQ225" s="1" t="s">
        <v>74</v>
      </c>
      <c r="BR225" s="1" t="s">
        <v>74</v>
      </c>
      <c r="BS225" s="1" t="s">
        <v>2239</v>
      </c>
      <c r="BT225" s="1" t="str">
        <f>HYPERLINK("https%3A%2F%2Fwww.webofscience.com%2Fwos%2Fwoscc%2Ffull-record%2FWOS:001305903100001","View Full Record in Web of Science")</f>
        <v>View Full Record in Web of Science</v>
      </c>
    </row>
    <row r="226" ht="12.75" customHeight="1">
      <c r="A226" s="1" t="s">
        <v>72</v>
      </c>
      <c r="B226" s="1" t="s">
        <v>2240</v>
      </c>
      <c r="C226" s="1" t="s">
        <v>74</v>
      </c>
      <c r="D226" s="1" t="s">
        <v>74</v>
      </c>
      <c r="E226" s="1" t="s">
        <v>74</v>
      </c>
      <c r="F226" s="1" t="s">
        <v>2241</v>
      </c>
      <c r="G226" s="1" t="s">
        <v>74</v>
      </c>
      <c r="H226" s="1" t="s">
        <v>74</v>
      </c>
      <c r="I226" s="1" t="s">
        <v>2242</v>
      </c>
      <c r="J226" s="1" t="s">
        <v>2243</v>
      </c>
      <c r="K226" s="1" t="s">
        <v>74</v>
      </c>
      <c r="L226" s="1" t="s">
        <v>74</v>
      </c>
      <c r="M226" s="1" t="s">
        <v>74</v>
      </c>
      <c r="N226" s="1" t="s">
        <v>158</v>
      </c>
      <c r="O226" s="1" t="s">
        <v>74</v>
      </c>
      <c r="P226" s="1" t="s">
        <v>74</v>
      </c>
      <c r="Q226" s="1" t="s">
        <v>74</v>
      </c>
      <c r="R226" s="1" t="s">
        <v>74</v>
      </c>
      <c r="S226" s="1" t="s">
        <v>74</v>
      </c>
      <c r="T226" s="1" t="s">
        <v>2244</v>
      </c>
      <c r="U226" s="1" t="s">
        <v>2245</v>
      </c>
      <c r="V226" s="1" t="s">
        <v>2246</v>
      </c>
      <c r="W226" s="1" t="s">
        <v>74</v>
      </c>
      <c r="X226" s="1" t="s">
        <v>74</v>
      </c>
      <c r="Y226" s="1" t="s">
        <v>74</v>
      </c>
      <c r="Z226" s="1" t="s">
        <v>74</v>
      </c>
      <c r="AA226" s="1" t="s">
        <v>74</v>
      </c>
      <c r="AB226" s="1" t="s">
        <v>74</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2247</v>
      </c>
      <c r="AP226" s="1" t="s">
        <v>2248</v>
      </c>
      <c r="AQ226" s="1" t="s">
        <v>74</v>
      </c>
      <c r="AR226" s="1" t="s">
        <v>74</v>
      </c>
      <c r="AS226" s="1" t="s">
        <v>74</v>
      </c>
      <c r="AT226" s="1" t="s">
        <v>357</v>
      </c>
      <c r="AU226" s="1">
        <v>2025.0</v>
      </c>
      <c r="AV226" s="1">
        <v>7.0</v>
      </c>
      <c r="AW226" s="1">
        <v>5.0</v>
      </c>
      <c r="AX226" s="1" t="s">
        <v>74</v>
      </c>
      <c r="AY226" s="1" t="s">
        <v>74</v>
      </c>
      <c r="AZ226" s="1" t="s">
        <v>74</v>
      </c>
      <c r="BA226" s="1" t="s">
        <v>74</v>
      </c>
      <c r="BB226" s="1">
        <v>453.0</v>
      </c>
      <c r="BC226" s="1">
        <v>467.0</v>
      </c>
      <c r="BD226" s="1" t="s">
        <v>74</v>
      </c>
      <c r="BE226" s="1" t="s">
        <v>2249</v>
      </c>
      <c r="BF226" s="2" t="str">
        <f>HYPERLINK("http://dx.doi.org/10.1016/j.vrih.2025.08.001","http://dx.doi.org/10.1016/j.vrih.2025.08.001")</f>
        <v>http://dx.doi.org/10.1016/j.vrih.2025.08.001</v>
      </c>
      <c r="BG226" s="1" t="s">
        <v>74</v>
      </c>
      <c r="BH226" s="1" t="s">
        <v>74</v>
      </c>
      <c r="BI226" s="1" t="s">
        <v>74</v>
      </c>
      <c r="BJ226" s="1" t="s">
        <v>74</v>
      </c>
      <c r="BK226" s="1" t="s">
        <v>74</v>
      </c>
      <c r="BL226" s="1" t="s">
        <v>174</v>
      </c>
      <c r="BM226" s="1" t="s">
        <v>74</v>
      </c>
      <c r="BN226" s="1" t="s">
        <v>74</v>
      </c>
      <c r="BO226" s="1" t="s">
        <v>163</v>
      </c>
      <c r="BP226" s="1" t="s">
        <v>74</v>
      </c>
      <c r="BQ226" s="1" t="s">
        <v>74</v>
      </c>
      <c r="BR226" s="1" t="s">
        <v>74</v>
      </c>
      <c r="BS226" s="1" t="s">
        <v>2250</v>
      </c>
      <c r="BT226" s="1" t="str">
        <f>HYPERLINK("https%3A%2F%2Fwww.webofscience.com%2Fwos%2Fwoscc%2Ffull-record%2FWOS:001621435400001","View Full Record in Web of Science")</f>
        <v>View Full Record in Web of Science</v>
      </c>
    </row>
    <row r="227" ht="12.75" customHeight="1">
      <c r="A227" s="1" t="s">
        <v>72</v>
      </c>
      <c r="B227" s="1" t="s">
        <v>2251</v>
      </c>
      <c r="C227" s="1" t="s">
        <v>74</v>
      </c>
      <c r="D227" s="1" t="s">
        <v>74</v>
      </c>
      <c r="E227" s="1" t="s">
        <v>74</v>
      </c>
      <c r="F227" s="1" t="s">
        <v>2252</v>
      </c>
      <c r="G227" s="1" t="s">
        <v>74</v>
      </c>
      <c r="H227" s="1" t="s">
        <v>74</v>
      </c>
      <c r="I227" s="1" t="s">
        <v>2253</v>
      </c>
      <c r="J227" s="1" t="s">
        <v>1376</v>
      </c>
      <c r="K227" s="1" t="s">
        <v>74</v>
      </c>
      <c r="L227" s="1" t="s">
        <v>74</v>
      </c>
      <c r="M227" s="1" t="s">
        <v>74</v>
      </c>
      <c r="N227" s="1" t="s">
        <v>78</v>
      </c>
      <c r="O227" s="1" t="s">
        <v>74</v>
      </c>
      <c r="P227" s="1" t="s">
        <v>74</v>
      </c>
      <c r="Q227" s="1" t="s">
        <v>74</v>
      </c>
      <c r="R227" s="1" t="s">
        <v>74</v>
      </c>
      <c r="S227" s="1" t="s">
        <v>74</v>
      </c>
      <c r="T227" s="1" t="s">
        <v>2254</v>
      </c>
      <c r="U227" s="1" t="s">
        <v>74</v>
      </c>
      <c r="V227" s="1" t="s">
        <v>2255</v>
      </c>
      <c r="W227" s="1" t="s">
        <v>74</v>
      </c>
      <c r="X227" s="1" t="s">
        <v>74</v>
      </c>
      <c r="Y227" s="1" t="s">
        <v>74</v>
      </c>
      <c r="Z227" s="1" t="s">
        <v>74</v>
      </c>
      <c r="AA227" s="1" t="s">
        <v>74</v>
      </c>
      <c r="AB227" s="1" t="s">
        <v>74</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74</v>
      </c>
      <c r="AP227" s="1" t="s">
        <v>2256</v>
      </c>
      <c r="AQ227" s="1" t="s">
        <v>74</v>
      </c>
      <c r="AR227" s="1" t="s">
        <v>74</v>
      </c>
      <c r="AS227" s="1" t="s">
        <v>74</v>
      </c>
      <c r="AT227" s="1" t="s">
        <v>2257</v>
      </c>
      <c r="AU227" s="1">
        <v>2025.0</v>
      </c>
      <c r="AV227" s="1">
        <v>6.0</v>
      </c>
      <c r="AW227" s="1">
        <v>11.0</v>
      </c>
      <c r="AX227" s="1" t="s">
        <v>74</v>
      </c>
      <c r="AY227" s="1" t="s">
        <v>74</v>
      </c>
      <c r="AZ227" s="1" t="s">
        <v>74</v>
      </c>
      <c r="BA227" s="1" t="s">
        <v>74</v>
      </c>
      <c r="BB227" s="1" t="s">
        <v>74</v>
      </c>
      <c r="BC227" s="1" t="s">
        <v>74</v>
      </c>
      <c r="BD227" s="1">
        <v>297.0</v>
      </c>
      <c r="BE227" s="1" t="s">
        <v>2258</v>
      </c>
      <c r="BF227" s="2" t="str">
        <f>HYPERLINK("http://dx.doi.org/10.3390/ai6110297","http://dx.doi.org/10.3390/ai6110297")</f>
        <v>http://dx.doi.org/10.3390/ai6110297</v>
      </c>
      <c r="BG227" s="1" t="s">
        <v>74</v>
      </c>
      <c r="BH227" s="1" t="s">
        <v>74</v>
      </c>
      <c r="BI227" s="1" t="s">
        <v>74</v>
      </c>
      <c r="BJ227" s="1" t="s">
        <v>74</v>
      </c>
      <c r="BK227" s="1" t="s">
        <v>74</v>
      </c>
      <c r="BL227" s="1" t="s">
        <v>174</v>
      </c>
      <c r="BM227" s="1" t="s">
        <v>74</v>
      </c>
      <c r="BN227" s="1" t="s">
        <v>74</v>
      </c>
      <c r="BO227" s="1" t="s">
        <v>163</v>
      </c>
      <c r="BP227" s="1" t="s">
        <v>74</v>
      </c>
      <c r="BQ227" s="1" t="s">
        <v>74</v>
      </c>
      <c r="BR227" s="1" t="s">
        <v>74</v>
      </c>
      <c r="BS227" s="1" t="s">
        <v>2259</v>
      </c>
      <c r="BT227" s="1" t="str">
        <f>HYPERLINK("https%3A%2F%2Fwww.webofscience.com%2Fwos%2Fwoscc%2Ffull-record%2FWOS:001625461600001","View Full Record in Web of Science")</f>
        <v>View Full Record in Web of Science</v>
      </c>
    </row>
    <row r="228" ht="12.75" customHeight="1">
      <c r="A228" s="1" t="s">
        <v>72</v>
      </c>
      <c r="B228" s="1" t="s">
        <v>2260</v>
      </c>
      <c r="C228" s="1" t="s">
        <v>74</v>
      </c>
      <c r="D228" s="1" t="s">
        <v>74</v>
      </c>
      <c r="E228" s="1" t="s">
        <v>74</v>
      </c>
      <c r="F228" s="1" t="s">
        <v>2261</v>
      </c>
      <c r="G228" s="1" t="s">
        <v>74</v>
      </c>
      <c r="H228" s="1" t="s">
        <v>74</v>
      </c>
      <c r="I228" s="1" t="s">
        <v>2262</v>
      </c>
      <c r="J228" s="1" t="s">
        <v>2263</v>
      </c>
      <c r="K228" s="1" t="s">
        <v>74</v>
      </c>
      <c r="L228" s="1" t="s">
        <v>74</v>
      </c>
      <c r="M228" s="1" t="s">
        <v>74</v>
      </c>
      <c r="N228" s="1" t="s">
        <v>158</v>
      </c>
      <c r="O228" s="1" t="s">
        <v>74</v>
      </c>
      <c r="P228" s="1" t="s">
        <v>74</v>
      </c>
      <c r="Q228" s="1" t="s">
        <v>74</v>
      </c>
      <c r="R228" s="1" t="s">
        <v>74</v>
      </c>
      <c r="S228" s="1" t="s">
        <v>74</v>
      </c>
      <c r="T228" s="1" t="s">
        <v>2264</v>
      </c>
      <c r="U228" s="1" t="s">
        <v>74</v>
      </c>
      <c r="V228" s="1" t="s">
        <v>2265</v>
      </c>
      <c r="W228" s="1" t="s">
        <v>74</v>
      </c>
      <c r="X228" s="1" t="s">
        <v>74</v>
      </c>
      <c r="Y228" s="1" t="s">
        <v>74</v>
      </c>
      <c r="Z228" s="1" t="s">
        <v>74</v>
      </c>
      <c r="AA228" s="1" t="s">
        <v>74</v>
      </c>
      <c r="AB228" s="1" t="s">
        <v>74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2266</v>
      </c>
      <c r="AP228" s="1" t="s">
        <v>2267</v>
      </c>
      <c r="AQ228" s="1" t="s">
        <v>74</v>
      </c>
      <c r="AR228" s="1" t="s">
        <v>74</v>
      </c>
      <c r="AS228" s="1" t="s">
        <v>74</v>
      </c>
      <c r="AT228" s="1" t="s">
        <v>172</v>
      </c>
      <c r="AU228" s="1">
        <v>2025.0</v>
      </c>
      <c r="AV228" s="1">
        <v>34.0</v>
      </c>
      <c r="AW228" s="1" t="s">
        <v>74</v>
      </c>
      <c r="AX228" s="1" t="s">
        <v>74</v>
      </c>
      <c r="AY228" s="1" t="s">
        <v>74</v>
      </c>
      <c r="AZ228" s="1" t="s">
        <v>74</v>
      </c>
      <c r="BA228" s="1" t="s">
        <v>74</v>
      </c>
      <c r="BB228" s="1" t="s">
        <v>74</v>
      </c>
      <c r="BC228" s="1" t="s">
        <v>74</v>
      </c>
      <c r="BD228" s="1">
        <v>101735.0</v>
      </c>
      <c r="BE228" s="1" t="s">
        <v>2268</v>
      </c>
      <c r="BF228" s="2" t="str">
        <f>HYPERLINK("http://dx.doi.org/10.1016/j.iot.2025.101735","http://dx.doi.org/10.1016/j.iot.2025.101735")</f>
        <v>http://dx.doi.org/10.1016/j.iot.2025.101735</v>
      </c>
      <c r="BG228" s="1" t="s">
        <v>74</v>
      </c>
      <c r="BH228" s="1" t="s">
        <v>276</v>
      </c>
      <c r="BI228" s="1" t="s">
        <v>74</v>
      </c>
      <c r="BJ228" s="1" t="s">
        <v>74</v>
      </c>
      <c r="BK228" s="1" t="s">
        <v>74</v>
      </c>
      <c r="BL228" s="1" t="s">
        <v>152</v>
      </c>
      <c r="BM228" s="1" t="s">
        <v>74</v>
      </c>
      <c r="BN228" s="1" t="s">
        <v>74</v>
      </c>
      <c r="BO228" s="1" t="s">
        <v>74</v>
      </c>
      <c r="BP228" s="1" t="s">
        <v>74</v>
      </c>
      <c r="BQ228" s="1" t="s">
        <v>74</v>
      </c>
      <c r="BR228" s="1" t="s">
        <v>74</v>
      </c>
      <c r="BS228" s="1" t="s">
        <v>2269</v>
      </c>
      <c r="BT228" s="1" t="str">
        <f>HYPERLINK("https%3A%2F%2Fwww.webofscience.com%2Fwos%2Fwoscc%2Ffull-record%2FWOS:001564265800001","View Full Record in Web of Science")</f>
        <v>View Full Record in Web of Science</v>
      </c>
    </row>
    <row r="229" ht="12.75" customHeight="1">
      <c r="A229" s="1" t="s">
        <v>72</v>
      </c>
      <c r="B229" s="1" t="s">
        <v>2270</v>
      </c>
      <c r="C229" s="1" t="s">
        <v>74</v>
      </c>
      <c r="D229" s="1" t="s">
        <v>74</v>
      </c>
      <c r="E229" s="1" t="s">
        <v>74</v>
      </c>
      <c r="F229" s="1" t="s">
        <v>2271</v>
      </c>
      <c r="G229" s="1" t="s">
        <v>74</v>
      </c>
      <c r="H229" s="1" t="s">
        <v>74</v>
      </c>
      <c r="I229" s="1" t="s">
        <v>2272</v>
      </c>
      <c r="J229" s="1" t="s">
        <v>147</v>
      </c>
      <c r="K229" s="1" t="s">
        <v>74</v>
      </c>
      <c r="L229" s="1" t="s">
        <v>74</v>
      </c>
      <c r="M229" s="1" t="s">
        <v>74</v>
      </c>
      <c r="N229" s="1" t="s">
        <v>78</v>
      </c>
      <c r="O229" s="1" t="s">
        <v>74</v>
      </c>
      <c r="P229" s="1" t="s">
        <v>74</v>
      </c>
      <c r="Q229" s="1" t="s">
        <v>74</v>
      </c>
      <c r="R229" s="1" t="s">
        <v>74</v>
      </c>
      <c r="S229" s="1" t="s">
        <v>74</v>
      </c>
      <c r="T229" s="1" t="s">
        <v>2273</v>
      </c>
      <c r="U229" s="1" t="s">
        <v>74</v>
      </c>
      <c r="V229" s="1" t="s">
        <v>2274</v>
      </c>
      <c r="W229" s="1" t="s">
        <v>74</v>
      </c>
      <c r="X229" s="1" t="s">
        <v>74</v>
      </c>
      <c r="Y229" s="1" t="s">
        <v>74</v>
      </c>
      <c r="Z229" s="1" t="s">
        <v>74</v>
      </c>
      <c r="AA229" s="1" t="s">
        <v>74</v>
      </c>
      <c r="AB229" s="1" t="s">
        <v>74</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150</v>
      </c>
      <c r="AP229" s="1" t="s">
        <v>74</v>
      </c>
      <c r="AQ229" s="1" t="s">
        <v>74</v>
      </c>
      <c r="AR229" s="1" t="s">
        <v>74</v>
      </c>
      <c r="AS229" s="1" t="s">
        <v>74</v>
      </c>
      <c r="AT229" s="1" t="s">
        <v>74</v>
      </c>
      <c r="AU229" s="1">
        <v>2025.0</v>
      </c>
      <c r="AV229" s="1">
        <v>13.0</v>
      </c>
      <c r="AW229" s="1" t="s">
        <v>74</v>
      </c>
      <c r="AX229" s="1" t="s">
        <v>74</v>
      </c>
      <c r="AY229" s="1" t="s">
        <v>74</v>
      </c>
      <c r="AZ229" s="1" t="s">
        <v>74</v>
      </c>
      <c r="BA229" s="1" t="s">
        <v>74</v>
      </c>
      <c r="BB229" s="1">
        <v>181323.0</v>
      </c>
      <c r="BC229" s="1">
        <v>181335.0</v>
      </c>
      <c r="BD229" s="1" t="s">
        <v>74</v>
      </c>
      <c r="BE229" s="1" t="s">
        <v>2275</v>
      </c>
      <c r="BF229" s="2" t="str">
        <f>HYPERLINK("http://dx.doi.org/10.1109/ACCESS.2025.3622511","http://dx.doi.org/10.1109/ACCESS.2025.3622511")</f>
        <v>http://dx.doi.org/10.1109/ACCESS.2025.3622511</v>
      </c>
      <c r="BG229" s="1" t="s">
        <v>74</v>
      </c>
      <c r="BH229" s="1" t="s">
        <v>74</v>
      </c>
      <c r="BI229" s="1" t="s">
        <v>74</v>
      </c>
      <c r="BJ229" s="1" t="s">
        <v>74</v>
      </c>
      <c r="BK229" s="1" t="s">
        <v>74</v>
      </c>
      <c r="BL229" s="1" t="s">
        <v>152</v>
      </c>
      <c r="BM229" s="1" t="s">
        <v>74</v>
      </c>
      <c r="BN229" s="1" t="s">
        <v>74</v>
      </c>
      <c r="BO229" s="1" t="s">
        <v>153</v>
      </c>
      <c r="BP229" s="1" t="s">
        <v>74</v>
      </c>
      <c r="BQ229" s="1" t="s">
        <v>74</v>
      </c>
      <c r="BR229" s="1" t="s">
        <v>74</v>
      </c>
      <c r="BS229" s="1" t="s">
        <v>2276</v>
      </c>
      <c r="BT229" s="1" t="str">
        <f>HYPERLINK("https%3A%2F%2Fwww.webofscience.com%2Fwos%2Fwoscc%2Ffull-record%2FWOS:001600763000009","View Full Record in Web of Science")</f>
        <v>View Full Record in Web of Science</v>
      </c>
    </row>
    <row r="230" ht="12.75" customHeight="1">
      <c r="A230" s="1" t="s">
        <v>72</v>
      </c>
      <c r="B230" s="1" t="s">
        <v>2277</v>
      </c>
      <c r="C230" s="1" t="s">
        <v>74</v>
      </c>
      <c r="D230" s="1" t="s">
        <v>74</v>
      </c>
      <c r="E230" s="1" t="s">
        <v>74</v>
      </c>
      <c r="F230" s="1" t="s">
        <v>2278</v>
      </c>
      <c r="G230" s="1" t="s">
        <v>74</v>
      </c>
      <c r="H230" s="1" t="s">
        <v>74</v>
      </c>
      <c r="I230" s="1" t="s">
        <v>2279</v>
      </c>
      <c r="J230" s="1" t="s">
        <v>281</v>
      </c>
      <c r="K230" s="1" t="s">
        <v>74</v>
      </c>
      <c r="L230" s="1" t="s">
        <v>74</v>
      </c>
      <c r="M230" s="1" t="s">
        <v>74</v>
      </c>
      <c r="N230" s="1" t="s">
        <v>78</v>
      </c>
      <c r="O230" s="1" t="s">
        <v>74</v>
      </c>
      <c r="P230" s="1" t="s">
        <v>74</v>
      </c>
      <c r="Q230" s="1" t="s">
        <v>74</v>
      </c>
      <c r="R230" s="1" t="s">
        <v>74</v>
      </c>
      <c r="S230" s="1" t="s">
        <v>74</v>
      </c>
      <c r="T230" s="1" t="s">
        <v>2280</v>
      </c>
      <c r="U230" s="1" t="s">
        <v>2281</v>
      </c>
      <c r="V230" s="1" t="s">
        <v>2282</v>
      </c>
      <c r="W230" s="1" t="s">
        <v>74</v>
      </c>
      <c r="X230" s="1" t="s">
        <v>74</v>
      </c>
      <c r="Y230" s="1" t="s">
        <v>74</v>
      </c>
      <c r="Z230" s="1" t="s">
        <v>74</v>
      </c>
      <c r="AA230" s="1" t="s">
        <v>74</v>
      </c>
      <c r="AB230" s="1" t="s">
        <v>74</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285</v>
      </c>
      <c r="AP230" s="1" t="s">
        <v>286</v>
      </c>
      <c r="AQ230" s="1" t="s">
        <v>74</v>
      </c>
      <c r="AR230" s="1" t="s">
        <v>74</v>
      </c>
      <c r="AS230" s="1" t="s">
        <v>74</v>
      </c>
      <c r="AT230" s="1" t="s">
        <v>124</v>
      </c>
      <c r="AU230" s="1">
        <v>2025.0</v>
      </c>
      <c r="AV230" s="1">
        <v>32.0</v>
      </c>
      <c r="AW230" s="1">
        <v>4.0</v>
      </c>
      <c r="AX230" s="1" t="s">
        <v>74</v>
      </c>
      <c r="AY230" s="1" t="s">
        <v>74</v>
      </c>
      <c r="AZ230" s="1" t="s">
        <v>74</v>
      </c>
      <c r="BA230" s="1" t="s">
        <v>74</v>
      </c>
      <c r="BB230" s="1">
        <v>605.0</v>
      </c>
      <c r="BC230" s="1">
        <v>615.0</v>
      </c>
      <c r="BD230" s="1" t="s">
        <v>74</v>
      </c>
      <c r="BE230" s="1" t="s">
        <v>2283</v>
      </c>
      <c r="BF230" s="2" t="str">
        <f>HYPERLINK("http://dx.doi.org/10.1093/jamia/ocaf008","http://dx.doi.org/10.1093/jamia/ocaf008")</f>
        <v>http://dx.doi.org/10.1093/jamia/ocaf008</v>
      </c>
      <c r="BG230" s="1" t="s">
        <v>74</v>
      </c>
      <c r="BH230" s="1" t="s">
        <v>141</v>
      </c>
      <c r="BI230" s="1" t="s">
        <v>74</v>
      </c>
      <c r="BJ230" s="1" t="s">
        <v>74</v>
      </c>
      <c r="BK230" s="1" t="s">
        <v>74</v>
      </c>
      <c r="BL230" s="1" t="s">
        <v>291</v>
      </c>
      <c r="BM230" s="1" t="s">
        <v>74</v>
      </c>
      <c r="BN230" s="1" t="s">
        <v>74</v>
      </c>
      <c r="BO230" s="1" t="s">
        <v>576</v>
      </c>
      <c r="BP230" s="1" t="s">
        <v>74</v>
      </c>
      <c r="BQ230" s="1" t="s">
        <v>74</v>
      </c>
      <c r="BR230" s="1" t="s">
        <v>74</v>
      </c>
      <c r="BS230" s="1" t="s">
        <v>2284</v>
      </c>
      <c r="BT230" s="1" t="str">
        <f>HYPERLINK("https%3A%2F%2Fwww.webofscience.com%2Fwos%2Fwoscc%2Ffull-record%2FWOS:001397348500001","View Full Record in Web of Science")</f>
        <v>View Full Record in Web of Science</v>
      </c>
    </row>
    <row r="231" ht="12.75" customHeight="1">
      <c r="A231" s="1" t="s">
        <v>72</v>
      </c>
      <c r="B231" s="1" t="s">
        <v>2285</v>
      </c>
      <c r="C231" s="1" t="s">
        <v>74</v>
      </c>
      <c r="D231" s="1" t="s">
        <v>74</v>
      </c>
      <c r="E231" s="1" t="s">
        <v>74</v>
      </c>
      <c r="F231" s="1" t="s">
        <v>2286</v>
      </c>
      <c r="G231" s="1" t="s">
        <v>74</v>
      </c>
      <c r="H231" s="1" t="s">
        <v>74</v>
      </c>
      <c r="I231" s="1" t="s">
        <v>2287</v>
      </c>
      <c r="J231" s="1" t="s">
        <v>881</v>
      </c>
      <c r="K231" s="1" t="s">
        <v>74</v>
      </c>
      <c r="L231" s="1" t="s">
        <v>74</v>
      </c>
      <c r="M231" s="1" t="s">
        <v>74</v>
      </c>
      <c r="N231" s="1" t="s">
        <v>78</v>
      </c>
      <c r="O231" s="1" t="s">
        <v>74</v>
      </c>
      <c r="P231" s="1" t="s">
        <v>74</v>
      </c>
      <c r="Q231" s="1" t="s">
        <v>74</v>
      </c>
      <c r="R231" s="1" t="s">
        <v>74</v>
      </c>
      <c r="S231" s="1" t="s">
        <v>74</v>
      </c>
      <c r="T231" s="1" t="s">
        <v>2288</v>
      </c>
      <c r="U231" s="1" t="s">
        <v>2289</v>
      </c>
      <c r="V231" s="1" t="s">
        <v>2290</v>
      </c>
      <c r="W231" s="1" t="s">
        <v>74</v>
      </c>
      <c r="X231" s="1" t="s">
        <v>74</v>
      </c>
      <c r="Y231" s="1" t="s">
        <v>74</v>
      </c>
      <c r="Z231" s="1" t="s">
        <v>74</v>
      </c>
      <c r="AA231" s="1" t="s">
        <v>74</v>
      </c>
      <c r="AB231" s="1" t="s">
        <v>74</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74</v>
      </c>
      <c r="AP231" s="1" t="s">
        <v>884</v>
      </c>
      <c r="AQ231" s="1" t="s">
        <v>74</v>
      </c>
      <c r="AR231" s="1" t="s">
        <v>74</v>
      </c>
      <c r="AS231" s="1" t="s">
        <v>74</v>
      </c>
      <c r="AT231" s="1" t="s">
        <v>2291</v>
      </c>
      <c r="AU231" s="1">
        <v>2025.0</v>
      </c>
      <c r="AV231" s="1">
        <v>16.0</v>
      </c>
      <c r="AW231" s="1">
        <v>6.0</v>
      </c>
      <c r="AX231" s="1" t="s">
        <v>74</v>
      </c>
      <c r="AY231" s="1" t="s">
        <v>74</v>
      </c>
      <c r="AZ231" s="1" t="s">
        <v>74</v>
      </c>
      <c r="BA231" s="1" t="s">
        <v>74</v>
      </c>
      <c r="BB231" s="1" t="s">
        <v>74</v>
      </c>
      <c r="BC231" s="1" t="s">
        <v>74</v>
      </c>
      <c r="BD231" s="1">
        <v>489.0</v>
      </c>
      <c r="BE231" s="1" t="s">
        <v>2292</v>
      </c>
      <c r="BF231" s="2" t="str">
        <f>HYPERLINK("http://dx.doi.org/10.3390/info16060489","http://dx.doi.org/10.3390/info16060489")</f>
        <v>http://dx.doi.org/10.3390/info16060489</v>
      </c>
      <c r="BG231" s="1" t="s">
        <v>74</v>
      </c>
      <c r="BH231" s="1" t="s">
        <v>74</v>
      </c>
      <c r="BI231" s="1" t="s">
        <v>74</v>
      </c>
      <c r="BJ231" s="1" t="s">
        <v>74</v>
      </c>
      <c r="BK231" s="1" t="s">
        <v>74</v>
      </c>
      <c r="BL231" s="1" t="s">
        <v>174</v>
      </c>
      <c r="BM231" s="1" t="s">
        <v>74</v>
      </c>
      <c r="BN231" s="1" t="s">
        <v>74</v>
      </c>
      <c r="BO231" s="1" t="s">
        <v>163</v>
      </c>
      <c r="BP231" s="1" t="s">
        <v>74</v>
      </c>
      <c r="BQ231" s="1" t="s">
        <v>74</v>
      </c>
      <c r="BR231" s="1" t="s">
        <v>74</v>
      </c>
      <c r="BS231" s="1" t="s">
        <v>2293</v>
      </c>
      <c r="BT231" s="1" t="str">
        <f>HYPERLINK("https%3A%2F%2Fwww.webofscience.com%2Fwos%2Fwoscc%2Ffull-record%2FWOS:001515752000001","View Full Record in Web of Science")</f>
        <v>View Full Record in Web of Science</v>
      </c>
    </row>
    <row r="232" ht="12.75" customHeight="1">
      <c r="A232" s="1" t="s">
        <v>72</v>
      </c>
      <c r="B232" s="1" t="s">
        <v>2294</v>
      </c>
      <c r="C232" s="1" t="s">
        <v>74</v>
      </c>
      <c r="D232" s="1" t="s">
        <v>74</v>
      </c>
      <c r="E232" s="1" t="s">
        <v>74</v>
      </c>
      <c r="F232" s="1" t="s">
        <v>2295</v>
      </c>
      <c r="G232" s="1" t="s">
        <v>74</v>
      </c>
      <c r="H232" s="1" t="s">
        <v>74</v>
      </c>
      <c r="I232" s="1" t="s">
        <v>2296</v>
      </c>
      <c r="J232" s="1" t="s">
        <v>610</v>
      </c>
      <c r="K232" s="1" t="s">
        <v>74</v>
      </c>
      <c r="L232" s="1" t="s">
        <v>74</v>
      </c>
      <c r="M232" s="1" t="s">
        <v>74</v>
      </c>
      <c r="N232" s="1" t="s">
        <v>78</v>
      </c>
      <c r="O232" s="1" t="s">
        <v>74</v>
      </c>
      <c r="P232" s="1" t="s">
        <v>74</v>
      </c>
      <c r="Q232" s="1" t="s">
        <v>74</v>
      </c>
      <c r="R232" s="1" t="s">
        <v>74</v>
      </c>
      <c r="S232" s="1" t="s">
        <v>74</v>
      </c>
      <c r="T232" s="1" t="s">
        <v>2297</v>
      </c>
      <c r="U232" s="1" t="s">
        <v>2298</v>
      </c>
      <c r="V232" s="1" t="s">
        <v>2299</v>
      </c>
      <c r="W232" s="1" t="s">
        <v>74</v>
      </c>
      <c r="X232" s="1" t="s">
        <v>74</v>
      </c>
      <c r="Y232" s="1" t="s">
        <v>74</v>
      </c>
      <c r="Z232" s="1" t="s">
        <v>74</v>
      </c>
      <c r="AA232" s="1" t="s">
        <v>74</v>
      </c>
      <c r="AB232" s="1" t="s">
        <v>74</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613</v>
      </c>
      <c r="AP232" s="1" t="s">
        <v>74</v>
      </c>
      <c r="AQ232" s="1" t="s">
        <v>74</v>
      </c>
      <c r="AR232" s="1" t="s">
        <v>74</v>
      </c>
      <c r="AS232" s="1" t="s">
        <v>74</v>
      </c>
      <c r="AT232" s="1" t="s">
        <v>225</v>
      </c>
      <c r="AU232" s="1">
        <v>2021.0</v>
      </c>
      <c r="AV232" s="1">
        <v>8.0</v>
      </c>
      <c r="AW232" s="1">
        <v>2.0</v>
      </c>
      <c r="AX232" s="1" t="s">
        <v>74</v>
      </c>
      <c r="AY232" s="1" t="s">
        <v>74</v>
      </c>
      <c r="AZ232" s="1" t="s">
        <v>74</v>
      </c>
      <c r="BA232" s="1" t="s">
        <v>74</v>
      </c>
      <c r="BB232" s="1" t="s">
        <v>74</v>
      </c>
      <c r="BC232" s="1" t="s">
        <v>74</v>
      </c>
      <c r="BD232" s="1">
        <v>2.0539517211047736E16</v>
      </c>
      <c r="BE232" s="1" t="s">
        <v>2300</v>
      </c>
      <c r="BF232" s="2" t="str">
        <f>HYPERLINK("http://dx.doi.org/10.1177/20539517211047734","http://dx.doi.org/10.1177/20539517211047734")</f>
        <v>http://dx.doi.org/10.1177/20539517211047734</v>
      </c>
      <c r="BG232" s="1" t="s">
        <v>74</v>
      </c>
      <c r="BH232" s="1" t="s">
        <v>74</v>
      </c>
      <c r="BI232" s="1" t="s">
        <v>74</v>
      </c>
      <c r="BJ232" s="1" t="s">
        <v>74</v>
      </c>
      <c r="BK232" s="1" t="s">
        <v>74</v>
      </c>
      <c r="BL232" s="1" t="s">
        <v>615</v>
      </c>
      <c r="BM232" s="1" t="s">
        <v>74</v>
      </c>
      <c r="BN232" s="1" t="s">
        <v>74</v>
      </c>
      <c r="BO232" s="1" t="s">
        <v>153</v>
      </c>
      <c r="BP232" s="1" t="s">
        <v>74</v>
      </c>
      <c r="BQ232" s="1" t="s">
        <v>74</v>
      </c>
      <c r="BR232" s="1" t="s">
        <v>74</v>
      </c>
      <c r="BS232" s="1" t="s">
        <v>2301</v>
      </c>
      <c r="BT232" s="1" t="str">
        <f>HYPERLINK("https%3A%2F%2Fwww.webofscience.com%2Fwos%2Fwoscc%2Ffull-record%2FWOS:000703777500001","View Full Record in Web of Science")</f>
        <v>View Full Record in Web of Science</v>
      </c>
    </row>
    <row r="233" ht="12.75" customHeight="1">
      <c r="A233" s="1" t="s">
        <v>72</v>
      </c>
      <c r="B233" s="1" t="s">
        <v>2302</v>
      </c>
      <c r="C233" s="1" t="s">
        <v>74</v>
      </c>
      <c r="D233" s="1" t="s">
        <v>74</v>
      </c>
      <c r="E233" s="1" t="s">
        <v>74</v>
      </c>
      <c r="F233" s="1" t="s">
        <v>2303</v>
      </c>
      <c r="G233" s="1" t="s">
        <v>74</v>
      </c>
      <c r="H233" s="1" t="s">
        <v>74</v>
      </c>
      <c r="I233" s="1" t="s">
        <v>2304</v>
      </c>
      <c r="J233" s="1" t="s">
        <v>2305</v>
      </c>
      <c r="K233" s="1" t="s">
        <v>74</v>
      </c>
      <c r="L233" s="1" t="s">
        <v>74</v>
      </c>
      <c r="M233" s="1" t="s">
        <v>74</v>
      </c>
      <c r="N233" s="1" t="s">
        <v>78</v>
      </c>
      <c r="O233" s="1" t="s">
        <v>74</v>
      </c>
      <c r="P233" s="1" t="s">
        <v>74</v>
      </c>
      <c r="Q233" s="1" t="s">
        <v>74</v>
      </c>
      <c r="R233" s="1" t="s">
        <v>74</v>
      </c>
      <c r="S233" s="1" t="s">
        <v>74</v>
      </c>
      <c r="T233" s="1" t="s">
        <v>2306</v>
      </c>
      <c r="U233" s="1" t="s">
        <v>74</v>
      </c>
      <c r="V233" s="1" t="s">
        <v>2307</v>
      </c>
      <c r="W233" s="1" t="s">
        <v>74</v>
      </c>
      <c r="X233" s="1" t="s">
        <v>74</v>
      </c>
      <c r="Y233" s="1" t="s">
        <v>74</v>
      </c>
      <c r="Z233" s="1" t="s">
        <v>74</v>
      </c>
      <c r="AA233" s="1" t="s">
        <v>74</v>
      </c>
      <c r="AB233" s="1" t="s">
        <v>74</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2308</v>
      </c>
      <c r="AP233" s="1" t="s">
        <v>2309</v>
      </c>
      <c r="AQ233" s="1" t="s">
        <v>74</v>
      </c>
      <c r="AR233" s="1" t="s">
        <v>74</v>
      </c>
      <c r="AS233" s="1" t="s">
        <v>74</v>
      </c>
      <c r="AT233" s="1" t="s">
        <v>200</v>
      </c>
      <c r="AU233" s="1">
        <v>2024.0</v>
      </c>
      <c r="AV233" s="1">
        <v>62.0</v>
      </c>
      <c r="AW233" s="1">
        <v>6.0</v>
      </c>
      <c r="AX233" s="1" t="s">
        <v>74</v>
      </c>
      <c r="AY233" s="1" t="s">
        <v>74</v>
      </c>
      <c r="AZ233" s="1" t="s">
        <v>74</v>
      </c>
      <c r="BA233" s="1" t="s">
        <v>74</v>
      </c>
      <c r="BB233" s="1">
        <v>1607.0</v>
      </c>
      <c r="BC233" s="1">
        <v>1629.0</v>
      </c>
      <c r="BD233" s="1" t="s">
        <v>74</v>
      </c>
      <c r="BE233" s="1" t="s">
        <v>2310</v>
      </c>
      <c r="BF233" s="2" t="str">
        <f>HYPERLINK("http://dx.doi.org/10.1007/s10844-024-00898-1","http://dx.doi.org/10.1007/s10844-024-00898-1")</f>
        <v>http://dx.doi.org/10.1007/s10844-024-00898-1</v>
      </c>
      <c r="BG233" s="1" t="s">
        <v>74</v>
      </c>
      <c r="BH233" s="1" t="s">
        <v>1747</v>
      </c>
      <c r="BI233" s="1" t="s">
        <v>74</v>
      </c>
      <c r="BJ233" s="1" t="s">
        <v>74</v>
      </c>
      <c r="BK233" s="1" t="s">
        <v>74</v>
      </c>
      <c r="BL233" s="1" t="s">
        <v>174</v>
      </c>
      <c r="BM233" s="1" t="s">
        <v>74</v>
      </c>
      <c r="BN233" s="1" t="s">
        <v>74</v>
      </c>
      <c r="BO233" s="1" t="s">
        <v>576</v>
      </c>
      <c r="BP233" s="1" t="s">
        <v>74</v>
      </c>
      <c r="BQ233" s="1" t="s">
        <v>74</v>
      </c>
      <c r="BR233" s="1" t="s">
        <v>74</v>
      </c>
      <c r="BS233" s="1" t="s">
        <v>2311</v>
      </c>
      <c r="BT233" s="1" t="str">
        <f>HYPERLINK("https%3A%2F%2Fwww.webofscience.com%2Fwos%2Fwoscc%2Ffull-record%2FWOS:001326005300003","View Full Record in Web of Science")</f>
        <v>View Full Record in Web of Science</v>
      </c>
    </row>
    <row r="234" ht="12.75" customHeight="1">
      <c r="A234" s="1" t="s">
        <v>72</v>
      </c>
      <c r="B234" s="1" t="s">
        <v>2312</v>
      </c>
      <c r="C234" s="1" t="s">
        <v>74</v>
      </c>
      <c r="D234" s="1" t="s">
        <v>74</v>
      </c>
      <c r="E234" s="1" t="s">
        <v>74</v>
      </c>
      <c r="F234" s="1" t="s">
        <v>2313</v>
      </c>
      <c r="G234" s="1" t="s">
        <v>74</v>
      </c>
      <c r="H234" s="1" t="s">
        <v>74</v>
      </c>
      <c r="I234" s="1" t="s">
        <v>2314</v>
      </c>
      <c r="J234" s="1" t="s">
        <v>1199</v>
      </c>
      <c r="K234" s="1" t="s">
        <v>74</v>
      </c>
      <c r="L234" s="1" t="s">
        <v>74</v>
      </c>
      <c r="M234" s="1" t="s">
        <v>74</v>
      </c>
      <c r="N234" s="1" t="s">
        <v>158</v>
      </c>
      <c r="O234" s="1" t="s">
        <v>74</v>
      </c>
      <c r="P234" s="1" t="s">
        <v>74</v>
      </c>
      <c r="Q234" s="1" t="s">
        <v>74</v>
      </c>
      <c r="R234" s="1" t="s">
        <v>74</v>
      </c>
      <c r="S234" s="1" t="s">
        <v>74</v>
      </c>
      <c r="T234" s="1" t="s">
        <v>2315</v>
      </c>
      <c r="U234" s="1" t="s">
        <v>74</v>
      </c>
      <c r="V234" s="1" t="s">
        <v>2316</v>
      </c>
      <c r="W234" s="1" t="s">
        <v>74</v>
      </c>
      <c r="X234" s="1" t="s">
        <v>74</v>
      </c>
      <c r="Y234" s="1" t="s">
        <v>74</v>
      </c>
      <c r="Z234" s="1" t="s">
        <v>74</v>
      </c>
      <c r="AA234" s="1" t="s">
        <v>74</v>
      </c>
      <c r="AB234" s="1" t="s">
        <v>74</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74</v>
      </c>
      <c r="AP234" s="1" t="s">
        <v>1202</v>
      </c>
      <c r="AQ234" s="1" t="s">
        <v>74</v>
      </c>
      <c r="AR234" s="1" t="s">
        <v>74</v>
      </c>
      <c r="AS234" s="1" t="s">
        <v>74</v>
      </c>
      <c r="AT234" s="1" t="s">
        <v>2317</v>
      </c>
      <c r="AU234" s="1">
        <v>2025.0</v>
      </c>
      <c r="AV234" s="1">
        <v>18.0</v>
      </c>
      <c r="AW234" s="1">
        <v>8.0</v>
      </c>
      <c r="AX234" s="1" t="s">
        <v>74</v>
      </c>
      <c r="AY234" s="1" t="s">
        <v>74</v>
      </c>
      <c r="AZ234" s="1" t="s">
        <v>74</v>
      </c>
      <c r="BA234" s="1" t="s">
        <v>74</v>
      </c>
      <c r="BB234" s="1" t="s">
        <v>74</v>
      </c>
      <c r="BC234" s="1" t="s">
        <v>74</v>
      </c>
      <c r="BD234" s="1">
        <v>499.0</v>
      </c>
      <c r="BE234" s="1" t="s">
        <v>2318</v>
      </c>
      <c r="BF234" s="2" t="str">
        <f>HYPERLINK("http://dx.doi.org/10.3390/a18080499","http://dx.doi.org/10.3390/a18080499")</f>
        <v>http://dx.doi.org/10.3390/a18080499</v>
      </c>
      <c r="BG234" s="1" t="s">
        <v>74</v>
      </c>
      <c r="BH234" s="1" t="s">
        <v>74</v>
      </c>
      <c r="BI234" s="1" t="s">
        <v>74</v>
      </c>
      <c r="BJ234" s="1" t="s">
        <v>74</v>
      </c>
      <c r="BK234" s="1" t="s">
        <v>74</v>
      </c>
      <c r="BL234" s="1" t="s">
        <v>174</v>
      </c>
      <c r="BM234" s="1" t="s">
        <v>74</v>
      </c>
      <c r="BN234" s="1" t="s">
        <v>74</v>
      </c>
      <c r="BO234" s="1" t="s">
        <v>163</v>
      </c>
      <c r="BP234" s="1" t="s">
        <v>74</v>
      </c>
      <c r="BQ234" s="1" t="s">
        <v>74</v>
      </c>
      <c r="BR234" s="1" t="s">
        <v>74</v>
      </c>
      <c r="BS234" s="1" t="s">
        <v>2319</v>
      </c>
      <c r="BT234" s="1" t="str">
        <f>HYPERLINK("https%3A%2F%2Fwww.webofscience.com%2Fwos%2Fwoscc%2Ffull-record%2FWOS:001557176700001","View Full Record in Web of Science")</f>
        <v>View Full Record in Web of Science</v>
      </c>
    </row>
    <row r="235" ht="12.75" customHeight="1">
      <c r="A235" s="1" t="s">
        <v>72</v>
      </c>
      <c r="B235" s="1" t="s">
        <v>2320</v>
      </c>
      <c r="C235" s="1" t="s">
        <v>74</v>
      </c>
      <c r="D235" s="1" t="s">
        <v>74</v>
      </c>
      <c r="E235" s="1" t="s">
        <v>74</v>
      </c>
      <c r="F235" s="1" t="s">
        <v>2321</v>
      </c>
      <c r="G235" s="1" t="s">
        <v>74</v>
      </c>
      <c r="H235" s="1" t="s">
        <v>74</v>
      </c>
      <c r="I235" s="1" t="s">
        <v>2322</v>
      </c>
      <c r="J235" s="1" t="s">
        <v>307</v>
      </c>
      <c r="K235" s="1" t="s">
        <v>74</v>
      </c>
      <c r="L235" s="1" t="s">
        <v>74</v>
      </c>
      <c r="M235" s="1" t="s">
        <v>74</v>
      </c>
      <c r="N235" s="1" t="s">
        <v>78</v>
      </c>
      <c r="O235" s="1" t="s">
        <v>74</v>
      </c>
      <c r="P235" s="1" t="s">
        <v>74</v>
      </c>
      <c r="Q235" s="1" t="s">
        <v>74</v>
      </c>
      <c r="R235" s="1" t="s">
        <v>74</v>
      </c>
      <c r="S235" s="1" t="s">
        <v>74</v>
      </c>
      <c r="T235" s="1" t="s">
        <v>2323</v>
      </c>
      <c r="U235" s="1" t="s">
        <v>2324</v>
      </c>
      <c r="V235" s="1" t="s">
        <v>2325</v>
      </c>
      <c r="W235" s="1" t="s">
        <v>74</v>
      </c>
      <c r="X235" s="1" t="s">
        <v>74</v>
      </c>
      <c r="Y235" s="1" t="s">
        <v>74</v>
      </c>
      <c r="Z235" s="1" t="s">
        <v>74</v>
      </c>
      <c r="AA235" s="1" t="s">
        <v>74</v>
      </c>
      <c r="AB235" s="1" t="s">
        <v>74</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311</v>
      </c>
      <c r="AP235" s="1" t="s">
        <v>312</v>
      </c>
      <c r="AQ235" s="1" t="s">
        <v>74</v>
      </c>
      <c r="AR235" s="1" t="s">
        <v>74</v>
      </c>
      <c r="AS235" s="1" t="s">
        <v>74</v>
      </c>
      <c r="AT235" s="1" t="s">
        <v>225</v>
      </c>
      <c r="AU235" s="1">
        <v>2024.0</v>
      </c>
      <c r="AV235" s="1">
        <v>222.0</v>
      </c>
      <c r="AW235" s="1" t="s">
        <v>74</v>
      </c>
      <c r="AX235" s="1" t="s">
        <v>74</v>
      </c>
      <c r="AY235" s="1" t="s">
        <v>74</v>
      </c>
      <c r="AZ235" s="1" t="s">
        <v>74</v>
      </c>
      <c r="BA235" s="1" t="s">
        <v>74</v>
      </c>
      <c r="BB235" s="1" t="s">
        <v>74</v>
      </c>
      <c r="BC235" s="1" t="s">
        <v>74</v>
      </c>
      <c r="BD235" s="1">
        <v>109045.0</v>
      </c>
      <c r="BE235" s="1" t="s">
        <v>2326</v>
      </c>
      <c r="BF235" s="2" t="str">
        <f>HYPERLINK("http://dx.doi.org/10.1016/j.compag.2024.109045","http://dx.doi.org/10.1016/j.compag.2024.109045")</f>
        <v>http://dx.doi.org/10.1016/j.compag.2024.109045</v>
      </c>
      <c r="BG235" s="1" t="s">
        <v>74</v>
      </c>
      <c r="BH235" s="1" t="s">
        <v>466</v>
      </c>
      <c r="BI235" s="1" t="s">
        <v>74</v>
      </c>
      <c r="BJ235" s="1" t="s">
        <v>74</v>
      </c>
      <c r="BK235" s="1" t="s">
        <v>74</v>
      </c>
      <c r="BL235" s="1" t="s">
        <v>315</v>
      </c>
      <c r="BM235" s="1" t="s">
        <v>74</v>
      </c>
      <c r="BN235" s="1" t="s">
        <v>74</v>
      </c>
      <c r="BO235" s="1" t="s">
        <v>74</v>
      </c>
      <c r="BP235" s="1" t="s">
        <v>74</v>
      </c>
      <c r="BQ235" s="1" t="s">
        <v>74</v>
      </c>
      <c r="BR235" s="1" t="s">
        <v>74</v>
      </c>
      <c r="BS235" s="1" t="s">
        <v>2327</v>
      </c>
      <c r="BT235" s="1" t="str">
        <f>HYPERLINK("https%3A%2F%2Fwww.webofscience.com%2Fwos%2Fwoscc%2Ffull-record%2FWOS:001292290700001","View Full Record in Web of Science")</f>
        <v>View Full Record in Web of Science</v>
      </c>
    </row>
    <row r="236" ht="12.75" customHeight="1">
      <c r="A236" s="1" t="s">
        <v>72</v>
      </c>
      <c r="B236" s="1" t="s">
        <v>2328</v>
      </c>
      <c r="C236" s="1" t="s">
        <v>74</v>
      </c>
      <c r="D236" s="1" t="s">
        <v>74</v>
      </c>
      <c r="E236" s="1" t="s">
        <v>74</v>
      </c>
      <c r="F236" s="1" t="s">
        <v>2329</v>
      </c>
      <c r="G236" s="1" t="s">
        <v>74</v>
      </c>
      <c r="H236" s="1" t="s">
        <v>74</v>
      </c>
      <c r="I236" s="1" t="s">
        <v>2330</v>
      </c>
      <c r="J236" s="1" t="s">
        <v>2331</v>
      </c>
      <c r="K236" s="1" t="s">
        <v>74</v>
      </c>
      <c r="L236" s="1" t="s">
        <v>74</v>
      </c>
      <c r="M236" s="1" t="s">
        <v>74</v>
      </c>
      <c r="N236" s="1" t="s">
        <v>78</v>
      </c>
      <c r="O236" s="1" t="s">
        <v>74</v>
      </c>
      <c r="P236" s="1" t="s">
        <v>74</v>
      </c>
      <c r="Q236" s="1" t="s">
        <v>74</v>
      </c>
      <c r="R236" s="1" t="s">
        <v>74</v>
      </c>
      <c r="S236" s="1" t="s">
        <v>74</v>
      </c>
      <c r="T236" s="1" t="s">
        <v>2332</v>
      </c>
      <c r="U236" s="1" t="s">
        <v>74</v>
      </c>
      <c r="V236" s="1" t="s">
        <v>2333</v>
      </c>
      <c r="W236" s="1" t="s">
        <v>74</v>
      </c>
      <c r="X236" s="1" t="s">
        <v>74</v>
      </c>
      <c r="Y236" s="1" t="s">
        <v>74</v>
      </c>
      <c r="Z236" s="1" t="s">
        <v>74</v>
      </c>
      <c r="AA236" s="1" t="s">
        <v>74</v>
      </c>
      <c r="AB236" s="1" t="s">
        <v>74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2334</v>
      </c>
      <c r="AP236" s="1" t="s">
        <v>2335</v>
      </c>
      <c r="AQ236" s="1" t="s">
        <v>74</v>
      </c>
      <c r="AR236" s="1" t="s">
        <v>74</v>
      </c>
      <c r="AS236" s="1" t="s">
        <v>74</v>
      </c>
      <c r="AT236" s="1" t="s">
        <v>335</v>
      </c>
      <c r="AU236" s="1">
        <v>2025.0</v>
      </c>
      <c r="AV236" s="1">
        <v>91.0</v>
      </c>
      <c r="AW236" s="1" t="s">
        <v>74</v>
      </c>
      <c r="AX236" s="1" t="s">
        <v>74</v>
      </c>
      <c r="AY236" s="1" t="s">
        <v>74</v>
      </c>
      <c r="AZ236" s="1" t="s">
        <v>74</v>
      </c>
      <c r="BA236" s="1" t="s">
        <v>74</v>
      </c>
      <c r="BB236" s="1" t="s">
        <v>74</v>
      </c>
      <c r="BC236" s="1" t="s">
        <v>74</v>
      </c>
      <c r="BD236" s="1">
        <v>101352.0</v>
      </c>
      <c r="BE236" s="1" t="s">
        <v>2336</v>
      </c>
      <c r="BF236" s="2" t="str">
        <f>HYPERLINK("http://dx.doi.org/10.1016/j.cogsys.2025.101352","http://dx.doi.org/10.1016/j.cogsys.2025.101352")</f>
        <v>http://dx.doi.org/10.1016/j.cogsys.2025.101352</v>
      </c>
      <c r="BG236" s="1" t="s">
        <v>74</v>
      </c>
      <c r="BH236" s="1" t="s">
        <v>526</v>
      </c>
      <c r="BI236" s="1" t="s">
        <v>74</v>
      </c>
      <c r="BJ236" s="1" t="s">
        <v>74</v>
      </c>
      <c r="BK236" s="1" t="s">
        <v>74</v>
      </c>
      <c r="BL236" s="1" t="s">
        <v>2337</v>
      </c>
      <c r="BM236" s="1" t="s">
        <v>74</v>
      </c>
      <c r="BN236" s="1" t="s">
        <v>74</v>
      </c>
      <c r="BO236" s="1" t="s">
        <v>74</v>
      </c>
      <c r="BP236" s="1" t="s">
        <v>74</v>
      </c>
      <c r="BQ236" s="1" t="s">
        <v>74</v>
      </c>
      <c r="BR236" s="1" t="s">
        <v>74</v>
      </c>
      <c r="BS236" s="1" t="s">
        <v>2338</v>
      </c>
      <c r="BT236" s="1" t="str">
        <f>HYPERLINK("https%3A%2F%2Fwww.webofscience.com%2Fwos%2Fwoscc%2Ffull-record%2FWOS:001463263300001","View Full Record in Web of Science")</f>
        <v>View Full Record in Web of Science</v>
      </c>
    </row>
    <row r="237" ht="12.75" customHeight="1">
      <c r="A237" s="1" t="s">
        <v>72</v>
      </c>
      <c r="B237" s="1" t="s">
        <v>2339</v>
      </c>
      <c r="C237" s="1" t="s">
        <v>74</v>
      </c>
      <c r="D237" s="1" t="s">
        <v>74</v>
      </c>
      <c r="E237" s="1" t="s">
        <v>74</v>
      </c>
      <c r="F237" s="1" t="s">
        <v>2340</v>
      </c>
      <c r="G237" s="1" t="s">
        <v>74</v>
      </c>
      <c r="H237" s="1" t="s">
        <v>74</v>
      </c>
      <c r="I237" s="1" t="s">
        <v>2341</v>
      </c>
      <c r="J237" s="1" t="s">
        <v>2342</v>
      </c>
      <c r="K237" s="1" t="s">
        <v>74</v>
      </c>
      <c r="L237" s="1" t="s">
        <v>74</v>
      </c>
      <c r="M237" s="1" t="s">
        <v>74</v>
      </c>
      <c r="N237" s="1" t="s">
        <v>78</v>
      </c>
      <c r="O237" s="1" t="s">
        <v>74</v>
      </c>
      <c r="P237" s="1" t="s">
        <v>74</v>
      </c>
      <c r="Q237" s="1" t="s">
        <v>74</v>
      </c>
      <c r="R237" s="1" t="s">
        <v>74</v>
      </c>
      <c r="S237" s="1" t="s">
        <v>74</v>
      </c>
      <c r="T237" s="1" t="s">
        <v>2343</v>
      </c>
      <c r="U237" s="1" t="s">
        <v>2344</v>
      </c>
      <c r="V237" s="1" t="s">
        <v>2345</v>
      </c>
      <c r="W237" s="1" t="s">
        <v>74</v>
      </c>
      <c r="X237" s="1" t="s">
        <v>74</v>
      </c>
      <c r="Y237" s="1" t="s">
        <v>74</v>
      </c>
      <c r="Z237" s="1" t="s">
        <v>74</v>
      </c>
      <c r="AA237" s="1" t="s">
        <v>74</v>
      </c>
      <c r="AB237" s="1" t="s">
        <v>74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2346</v>
      </c>
      <c r="AP237" s="1" t="s">
        <v>2347</v>
      </c>
      <c r="AQ237" s="1" t="s">
        <v>74</v>
      </c>
      <c r="AR237" s="1" t="s">
        <v>74</v>
      </c>
      <c r="AS237" s="1" t="s">
        <v>74</v>
      </c>
      <c r="AT237" s="1" t="s">
        <v>262</v>
      </c>
      <c r="AU237" s="1">
        <v>2025.0</v>
      </c>
      <c r="AV237" s="1">
        <v>199.0</v>
      </c>
      <c r="AW237" s="1" t="s">
        <v>74</v>
      </c>
      <c r="AX237" s="1" t="s">
        <v>74</v>
      </c>
      <c r="AY237" s="1" t="s">
        <v>74</v>
      </c>
      <c r="AZ237" s="1" t="s">
        <v>74</v>
      </c>
      <c r="BA237" s="1" t="s">
        <v>74</v>
      </c>
      <c r="BB237" s="1" t="s">
        <v>74</v>
      </c>
      <c r="BC237" s="1" t="s">
        <v>74</v>
      </c>
      <c r="BD237" s="1">
        <v>104542.0</v>
      </c>
      <c r="BE237" s="1" t="s">
        <v>2348</v>
      </c>
      <c r="BF237" s="2" t="str">
        <f>HYPERLINK("http://dx.doi.org/10.1016/j.tra.2025.104542","http://dx.doi.org/10.1016/j.tra.2025.104542")</f>
        <v>http://dx.doi.org/10.1016/j.tra.2025.104542</v>
      </c>
      <c r="BG237" s="1" t="s">
        <v>74</v>
      </c>
      <c r="BH237" s="1" t="s">
        <v>112</v>
      </c>
      <c r="BI237" s="1" t="s">
        <v>74</v>
      </c>
      <c r="BJ237" s="1" t="s">
        <v>74</v>
      </c>
      <c r="BK237" s="1" t="s">
        <v>74</v>
      </c>
      <c r="BL237" s="1" t="s">
        <v>87</v>
      </c>
      <c r="BM237" s="1" t="s">
        <v>74</v>
      </c>
      <c r="BN237" s="1" t="s">
        <v>74</v>
      </c>
      <c r="BO237" s="1" t="s">
        <v>114</v>
      </c>
      <c r="BP237" s="1" t="s">
        <v>74</v>
      </c>
      <c r="BQ237" s="1" t="s">
        <v>74</v>
      </c>
      <c r="BR237" s="1" t="s">
        <v>74</v>
      </c>
      <c r="BS237" s="1" t="s">
        <v>2349</v>
      </c>
      <c r="BT237" s="1" t="str">
        <f>HYPERLINK("https%3A%2F%2Fwww.webofscience.com%2Fwos%2Fwoscc%2Ffull-record%2FWOS:001509846600001","View Full Record in Web of Science")</f>
        <v>View Full Record in Web of Science</v>
      </c>
    </row>
    <row r="238" ht="12.75" customHeight="1">
      <c r="A238" s="1" t="s">
        <v>72</v>
      </c>
      <c r="B238" s="1" t="s">
        <v>2350</v>
      </c>
      <c r="C238" s="1" t="s">
        <v>74</v>
      </c>
      <c r="D238" s="1" t="s">
        <v>74</v>
      </c>
      <c r="E238" s="1" t="s">
        <v>74</v>
      </c>
      <c r="F238" s="1" t="s">
        <v>2351</v>
      </c>
      <c r="G238" s="1" t="s">
        <v>74</v>
      </c>
      <c r="H238" s="1" t="s">
        <v>74</v>
      </c>
      <c r="I238" s="1" t="s">
        <v>2352</v>
      </c>
      <c r="J238" s="1" t="s">
        <v>2353</v>
      </c>
      <c r="K238" s="1" t="s">
        <v>74</v>
      </c>
      <c r="L238" s="1" t="s">
        <v>74</v>
      </c>
      <c r="M238" s="1" t="s">
        <v>74</v>
      </c>
      <c r="N238" s="1" t="s">
        <v>78</v>
      </c>
      <c r="O238" s="1" t="s">
        <v>74</v>
      </c>
      <c r="P238" s="1" t="s">
        <v>74</v>
      </c>
      <c r="Q238" s="1" t="s">
        <v>74</v>
      </c>
      <c r="R238" s="1" t="s">
        <v>74</v>
      </c>
      <c r="S238" s="1" t="s">
        <v>74</v>
      </c>
      <c r="T238" s="1" t="s">
        <v>2354</v>
      </c>
      <c r="U238" s="1" t="s">
        <v>74</v>
      </c>
      <c r="V238" s="1" t="s">
        <v>2355</v>
      </c>
      <c r="W238" s="1" t="s">
        <v>74</v>
      </c>
      <c r="X238" s="1" t="s">
        <v>74</v>
      </c>
      <c r="Y238" s="1" t="s">
        <v>74</v>
      </c>
      <c r="Z238" s="1" t="s">
        <v>74</v>
      </c>
      <c r="AA238" s="1" t="s">
        <v>74</v>
      </c>
      <c r="AB238" s="1" t="s">
        <v>74</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2356</v>
      </c>
      <c r="AP238" s="1" t="s">
        <v>2357</v>
      </c>
      <c r="AQ238" s="1" t="s">
        <v>74</v>
      </c>
      <c r="AR238" s="1" t="s">
        <v>74</v>
      </c>
      <c r="AS238" s="1" t="s">
        <v>74</v>
      </c>
      <c r="AT238" s="1" t="s">
        <v>74</v>
      </c>
      <c r="AU238" s="1">
        <v>2023.0</v>
      </c>
      <c r="AV238" s="1">
        <v>22.0</v>
      </c>
      <c r="AW238" s="1">
        <v>8.0</v>
      </c>
      <c r="AX238" s="1" t="s">
        <v>74</v>
      </c>
      <c r="AY238" s="1" t="s">
        <v>74</v>
      </c>
      <c r="AZ238" s="1" t="s">
        <v>74</v>
      </c>
      <c r="BA238" s="1" t="s">
        <v>74</v>
      </c>
      <c r="BB238" s="1">
        <v>1187.0</v>
      </c>
      <c r="BC238" s="1">
        <v>1206.0</v>
      </c>
      <c r="BD238" s="1" t="s">
        <v>74</v>
      </c>
      <c r="BE238" s="1" t="s">
        <v>2358</v>
      </c>
      <c r="BF238" s="2" t="str">
        <f>HYPERLINK("http://dx.doi.org/10.13052/jwe1540-9589.2285","http://dx.doi.org/10.13052/jwe1540-9589.2285")</f>
        <v>http://dx.doi.org/10.13052/jwe1540-9589.2285</v>
      </c>
      <c r="BG238" s="1" t="s">
        <v>74</v>
      </c>
      <c r="BH238" s="1" t="s">
        <v>74</v>
      </c>
      <c r="BI238" s="1" t="s">
        <v>74</v>
      </c>
      <c r="BJ238" s="1" t="s">
        <v>74</v>
      </c>
      <c r="BK238" s="1" t="s">
        <v>74</v>
      </c>
      <c r="BL238" s="1" t="s">
        <v>174</v>
      </c>
      <c r="BM238" s="1" t="s">
        <v>74</v>
      </c>
      <c r="BN238" s="1" t="s">
        <v>74</v>
      </c>
      <c r="BO238" s="1" t="s">
        <v>163</v>
      </c>
      <c r="BP238" s="1" t="s">
        <v>74</v>
      </c>
      <c r="BQ238" s="1" t="s">
        <v>74</v>
      </c>
      <c r="BR238" s="1" t="s">
        <v>74</v>
      </c>
      <c r="BS238" s="1" t="s">
        <v>2359</v>
      </c>
      <c r="BT238" s="1" t="str">
        <f>HYPERLINK("https%3A%2F%2Fwww.webofscience.com%2Fwos%2Fwoscc%2Ffull-record%2FWOS:001183552300005","View Full Record in Web of Science")</f>
        <v>View Full Record in Web of Science</v>
      </c>
    </row>
    <row r="239" ht="12.75" customHeight="1">
      <c r="A239" s="1" t="s">
        <v>72</v>
      </c>
      <c r="B239" s="1" t="s">
        <v>2360</v>
      </c>
      <c r="C239" s="1" t="s">
        <v>74</v>
      </c>
      <c r="D239" s="1" t="s">
        <v>74</v>
      </c>
      <c r="E239" s="1" t="s">
        <v>74</v>
      </c>
      <c r="F239" s="1" t="s">
        <v>2361</v>
      </c>
      <c r="G239" s="1" t="s">
        <v>74</v>
      </c>
      <c r="H239" s="1" t="s">
        <v>74</v>
      </c>
      <c r="I239" s="1" t="s">
        <v>2362</v>
      </c>
      <c r="J239" s="1" t="s">
        <v>296</v>
      </c>
      <c r="K239" s="1" t="s">
        <v>74</v>
      </c>
      <c r="L239" s="1" t="s">
        <v>74</v>
      </c>
      <c r="M239" s="1" t="s">
        <v>74</v>
      </c>
      <c r="N239" s="1" t="s">
        <v>158</v>
      </c>
      <c r="O239" s="1" t="s">
        <v>74</v>
      </c>
      <c r="P239" s="1" t="s">
        <v>74</v>
      </c>
      <c r="Q239" s="1" t="s">
        <v>74</v>
      </c>
      <c r="R239" s="1" t="s">
        <v>74</v>
      </c>
      <c r="S239" s="1" t="s">
        <v>74</v>
      </c>
      <c r="T239" s="1" t="s">
        <v>2363</v>
      </c>
      <c r="U239" s="1" t="s">
        <v>2364</v>
      </c>
      <c r="V239" s="1" t="s">
        <v>2365</v>
      </c>
      <c r="W239" s="1" t="s">
        <v>74</v>
      </c>
      <c r="X239" s="1" t="s">
        <v>74</v>
      </c>
      <c r="Y239" s="1" t="s">
        <v>74</v>
      </c>
      <c r="Z239" s="1" t="s">
        <v>74</v>
      </c>
      <c r="AA239" s="1" t="s">
        <v>74</v>
      </c>
      <c r="AB239" s="1" t="s">
        <v>74</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299</v>
      </c>
      <c r="AP239" s="1" t="s">
        <v>300</v>
      </c>
      <c r="AQ239" s="1" t="s">
        <v>74</v>
      </c>
      <c r="AR239" s="1" t="s">
        <v>74</v>
      </c>
      <c r="AS239" s="1" t="s">
        <v>74</v>
      </c>
      <c r="AT239" s="1" t="s">
        <v>74</v>
      </c>
      <c r="AU239" s="1">
        <v>2026.0</v>
      </c>
      <c r="AV239" s="1">
        <v>86.0</v>
      </c>
      <c r="AW239" s="1">
        <v>2.0</v>
      </c>
      <c r="AX239" s="1" t="s">
        <v>74</v>
      </c>
      <c r="AY239" s="1" t="s">
        <v>74</v>
      </c>
      <c r="AZ239" s="1" t="s">
        <v>74</v>
      </c>
      <c r="BA239" s="1" t="s">
        <v>74</v>
      </c>
      <c r="BB239" s="1" t="s">
        <v>74</v>
      </c>
      <c r="BC239" s="1" t="s">
        <v>74</v>
      </c>
      <c r="BD239" s="1">
        <v>70507.0</v>
      </c>
      <c r="BE239" s="1" t="s">
        <v>2366</v>
      </c>
      <c r="BF239" s="2" t="str">
        <f>HYPERLINK("http://dx.doi.org/10.32604/cmc.2025.070507","http://dx.doi.org/10.32604/cmc.2025.070507")</f>
        <v>http://dx.doi.org/10.32604/cmc.2025.070507</v>
      </c>
      <c r="BG239" s="1" t="s">
        <v>74</v>
      </c>
      <c r="BH239" s="1" t="s">
        <v>74</v>
      </c>
      <c r="BI239" s="1" t="s">
        <v>74</v>
      </c>
      <c r="BJ239" s="1" t="s">
        <v>74</v>
      </c>
      <c r="BK239" s="1" t="s">
        <v>74</v>
      </c>
      <c r="BL239" s="1" t="s">
        <v>302</v>
      </c>
      <c r="BM239" s="1" t="s">
        <v>74</v>
      </c>
      <c r="BN239" s="1" t="s">
        <v>74</v>
      </c>
      <c r="BO239" s="1" t="s">
        <v>163</v>
      </c>
      <c r="BP239" s="1" t="s">
        <v>74</v>
      </c>
      <c r="BQ239" s="1" t="s">
        <v>74</v>
      </c>
      <c r="BR239" s="1" t="s">
        <v>74</v>
      </c>
      <c r="BS239" s="1" t="s">
        <v>2367</v>
      </c>
      <c r="BT239" s="1" t="str">
        <f>HYPERLINK("https%3A%2F%2Fwww.webofscience.com%2Fwos%2Fwoscc%2Ffull-record%2FWOS:001643045300001","View Full Record in Web of Science")</f>
        <v>View Full Record in Web of Science</v>
      </c>
    </row>
    <row r="240" ht="12.75" customHeight="1">
      <c r="A240" s="1" t="s">
        <v>72</v>
      </c>
      <c r="B240" s="1" t="s">
        <v>2368</v>
      </c>
      <c r="C240" s="1" t="s">
        <v>74</v>
      </c>
      <c r="D240" s="1" t="s">
        <v>74</v>
      </c>
      <c r="E240" s="1" t="s">
        <v>74</v>
      </c>
      <c r="F240" s="1" t="s">
        <v>2369</v>
      </c>
      <c r="G240" s="1" t="s">
        <v>74</v>
      </c>
      <c r="H240" s="1" t="s">
        <v>74</v>
      </c>
      <c r="I240" s="1" t="s">
        <v>2370</v>
      </c>
      <c r="J240" s="1" t="s">
        <v>92</v>
      </c>
      <c r="K240" s="1" t="s">
        <v>74</v>
      </c>
      <c r="L240" s="1" t="s">
        <v>74</v>
      </c>
      <c r="M240" s="1" t="s">
        <v>74</v>
      </c>
      <c r="N240" s="1" t="s">
        <v>78</v>
      </c>
      <c r="O240" s="1" t="s">
        <v>74</v>
      </c>
      <c r="P240" s="1" t="s">
        <v>74</v>
      </c>
      <c r="Q240" s="1" t="s">
        <v>74</v>
      </c>
      <c r="R240" s="1" t="s">
        <v>74</v>
      </c>
      <c r="S240" s="1" t="s">
        <v>74</v>
      </c>
      <c r="T240" s="1" t="s">
        <v>2371</v>
      </c>
      <c r="U240" s="1" t="s">
        <v>74</v>
      </c>
      <c r="V240" s="1" t="s">
        <v>2372</v>
      </c>
      <c r="W240" s="1" t="s">
        <v>74</v>
      </c>
      <c r="X240" s="1" t="s">
        <v>74</v>
      </c>
      <c r="Y240" s="1" t="s">
        <v>74</v>
      </c>
      <c r="Z240" s="1" t="s">
        <v>74</v>
      </c>
      <c r="AA240" s="1" t="s">
        <v>74</v>
      </c>
      <c r="AB240" s="1" t="s">
        <v>74</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95</v>
      </c>
      <c r="AP240" s="1" t="s">
        <v>96</v>
      </c>
      <c r="AQ240" s="1" t="s">
        <v>74</v>
      </c>
      <c r="AR240" s="1" t="s">
        <v>74</v>
      </c>
      <c r="AS240" s="1" t="s">
        <v>74</v>
      </c>
      <c r="AT240" s="1" t="s">
        <v>464</v>
      </c>
      <c r="AU240" s="1">
        <v>2025.0</v>
      </c>
      <c r="AV240" s="1">
        <v>37.0</v>
      </c>
      <c r="AW240" s="1">
        <v>8.0</v>
      </c>
      <c r="AX240" s="1" t="s">
        <v>74</v>
      </c>
      <c r="AY240" s="1" t="s">
        <v>74</v>
      </c>
      <c r="AZ240" s="1" t="s">
        <v>74</v>
      </c>
      <c r="BA240" s="1" t="s">
        <v>74</v>
      </c>
      <c r="BB240" s="1">
        <v>4846.0</v>
      </c>
      <c r="BC240" s="1">
        <v>4859.0</v>
      </c>
      <c r="BD240" s="1" t="s">
        <v>74</v>
      </c>
      <c r="BE240" s="1" t="s">
        <v>2373</v>
      </c>
      <c r="BF240" s="2" t="str">
        <f>HYPERLINK("http://dx.doi.org/10.1109/TKDE.2025.3570705","http://dx.doi.org/10.1109/TKDE.2025.3570705")</f>
        <v>http://dx.doi.org/10.1109/TKDE.2025.3570705</v>
      </c>
      <c r="BG240" s="1" t="s">
        <v>74</v>
      </c>
      <c r="BH240" s="1" t="s">
        <v>74</v>
      </c>
      <c r="BI240" s="1" t="s">
        <v>74</v>
      </c>
      <c r="BJ240" s="1" t="s">
        <v>74</v>
      </c>
      <c r="BK240" s="1" t="s">
        <v>74</v>
      </c>
      <c r="BL240" s="1" t="s">
        <v>98</v>
      </c>
      <c r="BM240" s="1" t="s">
        <v>74</v>
      </c>
      <c r="BN240" s="1" t="s">
        <v>74</v>
      </c>
      <c r="BO240" s="1" t="s">
        <v>74</v>
      </c>
      <c r="BP240" s="1" t="s">
        <v>74</v>
      </c>
      <c r="BQ240" s="1" t="s">
        <v>74</v>
      </c>
      <c r="BR240" s="1" t="s">
        <v>74</v>
      </c>
      <c r="BS240" s="1" t="s">
        <v>2374</v>
      </c>
      <c r="BT240" s="1" t="str">
        <f>HYPERLINK("https%3A%2F%2Fwww.webofscience.com%2Fwos%2Fwoscc%2Ffull-record%2FWOS:001525525600026","View Full Record in Web of Science")</f>
        <v>View Full Record in Web of Science</v>
      </c>
    </row>
    <row r="241" ht="12.75" customHeight="1">
      <c r="A241" s="1" t="s">
        <v>72</v>
      </c>
      <c r="B241" s="1" t="s">
        <v>2375</v>
      </c>
      <c r="C241" s="1" t="s">
        <v>74</v>
      </c>
      <c r="D241" s="1" t="s">
        <v>74</v>
      </c>
      <c r="E241" s="1" t="s">
        <v>74</v>
      </c>
      <c r="F241" s="1" t="s">
        <v>2376</v>
      </c>
      <c r="G241" s="1" t="s">
        <v>74</v>
      </c>
      <c r="H241" s="1" t="s">
        <v>74</v>
      </c>
      <c r="I241" s="1" t="s">
        <v>2377</v>
      </c>
      <c r="J241" s="1" t="s">
        <v>2378</v>
      </c>
      <c r="K241" s="1" t="s">
        <v>74</v>
      </c>
      <c r="L241" s="1" t="s">
        <v>74</v>
      </c>
      <c r="M241" s="1" t="s">
        <v>74</v>
      </c>
      <c r="N241" s="1" t="s">
        <v>158</v>
      </c>
      <c r="O241" s="1" t="s">
        <v>74</v>
      </c>
      <c r="P241" s="1" t="s">
        <v>74</v>
      </c>
      <c r="Q241" s="1" t="s">
        <v>74</v>
      </c>
      <c r="R241" s="1" t="s">
        <v>74</v>
      </c>
      <c r="S241" s="1" t="s">
        <v>74</v>
      </c>
      <c r="T241" s="1" t="s">
        <v>2379</v>
      </c>
      <c r="U241" s="1" t="s">
        <v>2380</v>
      </c>
      <c r="V241" s="1" t="s">
        <v>2381</v>
      </c>
      <c r="W241" s="1" t="s">
        <v>74</v>
      </c>
      <c r="X241" s="1" t="s">
        <v>74</v>
      </c>
      <c r="Y241" s="1" t="s">
        <v>74</v>
      </c>
      <c r="Z241" s="1" t="s">
        <v>74</v>
      </c>
      <c r="AA241" s="1" t="s">
        <v>74</v>
      </c>
      <c r="AB241" s="1" t="s">
        <v>74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2382</v>
      </c>
      <c r="AP241" s="1" t="s">
        <v>2383</v>
      </c>
      <c r="AQ241" s="1" t="s">
        <v>74</v>
      </c>
      <c r="AR241" s="1" t="s">
        <v>74</v>
      </c>
      <c r="AS241" s="1" t="s">
        <v>74</v>
      </c>
      <c r="AT241" s="1" t="s">
        <v>2384</v>
      </c>
      <c r="AU241" s="1">
        <v>2025.0</v>
      </c>
      <c r="AV241" s="1">
        <v>37.0</v>
      </c>
      <c r="AW241" s="1">
        <v>7.0</v>
      </c>
      <c r="AX241" s="1" t="s">
        <v>74</v>
      </c>
      <c r="AY241" s="1" t="s">
        <v>74</v>
      </c>
      <c r="AZ241" s="1" t="s">
        <v>74</v>
      </c>
      <c r="BA241" s="1" t="s">
        <v>74</v>
      </c>
      <c r="BB241" s="1" t="s">
        <v>74</v>
      </c>
      <c r="BC241" s="1" t="s">
        <v>74</v>
      </c>
      <c r="BD241" s="1">
        <v>198.0</v>
      </c>
      <c r="BE241" s="1" t="s">
        <v>2385</v>
      </c>
      <c r="BF241" s="2" t="str">
        <f>HYPERLINK("http://dx.doi.org/10.1007/s44443-025-00216-x","http://dx.doi.org/10.1007/s44443-025-00216-x")</f>
        <v>http://dx.doi.org/10.1007/s44443-025-00216-x</v>
      </c>
      <c r="BG241" s="1" t="s">
        <v>74</v>
      </c>
      <c r="BH241" s="1" t="s">
        <v>74</v>
      </c>
      <c r="BI241" s="1" t="s">
        <v>74</v>
      </c>
      <c r="BJ241" s="1" t="s">
        <v>74</v>
      </c>
      <c r="BK241" s="1" t="s">
        <v>74</v>
      </c>
      <c r="BL241" s="1" t="s">
        <v>174</v>
      </c>
      <c r="BM241" s="1" t="s">
        <v>74</v>
      </c>
      <c r="BN241" s="1" t="s">
        <v>74</v>
      </c>
      <c r="BO241" s="1" t="s">
        <v>163</v>
      </c>
      <c r="BP241" s="1" t="s">
        <v>74</v>
      </c>
      <c r="BQ241" s="1" t="s">
        <v>74</v>
      </c>
      <c r="BR241" s="1" t="s">
        <v>74</v>
      </c>
      <c r="BS241" s="1" t="s">
        <v>2386</v>
      </c>
      <c r="BT241" s="1" t="str">
        <f>HYPERLINK("https%3A%2F%2Fwww.webofscience.com%2Fwos%2Fwoscc%2Ffull-record%2FWOS:001556650200002","View Full Record in Web of Science")</f>
        <v>View Full Record in Web of Science</v>
      </c>
    </row>
    <row r="242" ht="12.75" customHeight="1">
      <c r="A242" s="1" t="s">
        <v>72</v>
      </c>
      <c r="B242" s="1" t="s">
        <v>2387</v>
      </c>
      <c r="C242" s="1" t="s">
        <v>74</v>
      </c>
      <c r="D242" s="1" t="s">
        <v>74</v>
      </c>
      <c r="E242" s="1" t="s">
        <v>74</v>
      </c>
      <c r="F242" s="1" t="s">
        <v>2388</v>
      </c>
      <c r="G242" s="1" t="s">
        <v>74</v>
      </c>
      <c r="H242" s="1" t="s">
        <v>74</v>
      </c>
      <c r="I242" s="1" t="s">
        <v>2389</v>
      </c>
      <c r="J242" s="1" t="s">
        <v>1730</v>
      </c>
      <c r="K242" s="1" t="s">
        <v>74</v>
      </c>
      <c r="L242" s="1" t="s">
        <v>74</v>
      </c>
      <c r="M242" s="1" t="s">
        <v>74</v>
      </c>
      <c r="N242" s="1" t="s">
        <v>78</v>
      </c>
      <c r="O242" s="1" t="s">
        <v>74</v>
      </c>
      <c r="P242" s="1" t="s">
        <v>74</v>
      </c>
      <c r="Q242" s="1" t="s">
        <v>74</v>
      </c>
      <c r="R242" s="1" t="s">
        <v>74</v>
      </c>
      <c r="S242" s="1" t="s">
        <v>74</v>
      </c>
      <c r="T242" s="1" t="s">
        <v>2390</v>
      </c>
      <c r="U242" s="1" t="s">
        <v>2391</v>
      </c>
      <c r="V242" s="1" t="s">
        <v>2392</v>
      </c>
      <c r="W242" s="1" t="s">
        <v>74</v>
      </c>
      <c r="X242" s="1" t="s">
        <v>74</v>
      </c>
      <c r="Y242" s="1" t="s">
        <v>74</v>
      </c>
      <c r="Z242" s="1" t="s">
        <v>74</v>
      </c>
      <c r="AA242" s="1" t="s">
        <v>74</v>
      </c>
      <c r="AB242" s="1" t="s">
        <v>74</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1733</v>
      </c>
      <c r="AP242" s="1" t="s">
        <v>74</v>
      </c>
      <c r="AQ242" s="1" t="s">
        <v>74</v>
      </c>
      <c r="AR242" s="1" t="s">
        <v>74</v>
      </c>
      <c r="AS242" s="1" t="s">
        <v>74</v>
      </c>
      <c r="AT242" s="1" t="s">
        <v>2393</v>
      </c>
      <c r="AU242" s="1">
        <v>2025.0</v>
      </c>
      <c r="AV242" s="1">
        <v>20.0</v>
      </c>
      <c r="AW242" s="1">
        <v>2.0</v>
      </c>
      <c r="AX242" s="1" t="s">
        <v>74</v>
      </c>
      <c r="AY242" s="1" t="s">
        <v>74</v>
      </c>
      <c r="AZ242" s="1" t="s">
        <v>74</v>
      </c>
      <c r="BA242" s="1" t="s">
        <v>74</v>
      </c>
      <c r="BB242" s="1" t="s">
        <v>74</v>
      </c>
      <c r="BC242" s="1" t="s">
        <v>74</v>
      </c>
      <c r="BD242" s="1">
        <v>93.0</v>
      </c>
      <c r="BE242" s="1" t="s">
        <v>2394</v>
      </c>
      <c r="BF242" s="2" t="str">
        <f>HYPERLINK("http://dx.doi.org/10.3390/jtaer20020093","http://dx.doi.org/10.3390/jtaer20020093")</f>
        <v>http://dx.doi.org/10.3390/jtaer20020093</v>
      </c>
      <c r="BG242" s="1" t="s">
        <v>74</v>
      </c>
      <c r="BH242" s="1" t="s">
        <v>74</v>
      </c>
      <c r="BI242" s="1" t="s">
        <v>74</v>
      </c>
      <c r="BJ242" s="1" t="s">
        <v>74</v>
      </c>
      <c r="BK242" s="1" t="s">
        <v>74</v>
      </c>
      <c r="BL242" s="1" t="s">
        <v>214</v>
      </c>
      <c r="BM242" s="1" t="s">
        <v>74</v>
      </c>
      <c r="BN242" s="1" t="s">
        <v>74</v>
      </c>
      <c r="BO242" s="1" t="s">
        <v>163</v>
      </c>
      <c r="BP242" s="1" t="s">
        <v>74</v>
      </c>
      <c r="BQ242" s="1" t="s">
        <v>74</v>
      </c>
      <c r="BR242" s="1" t="s">
        <v>74</v>
      </c>
      <c r="BS242" s="1" t="s">
        <v>2395</v>
      </c>
      <c r="BT242" s="1" t="str">
        <f>HYPERLINK("https%3A%2F%2Fwww.webofscience.com%2Fwos%2Fwoscc%2Ffull-record%2FWOS:001516772000001","View Full Record in Web of Science")</f>
        <v>View Full Record in Web of Science</v>
      </c>
    </row>
    <row r="243" ht="12.75" customHeight="1">
      <c r="A243" s="1" t="s">
        <v>72</v>
      </c>
      <c r="B243" s="1" t="s">
        <v>2396</v>
      </c>
      <c r="C243" s="1" t="s">
        <v>74</v>
      </c>
      <c r="D243" s="1" t="s">
        <v>74</v>
      </c>
      <c r="E243" s="1" t="s">
        <v>74</v>
      </c>
      <c r="F243" s="1" t="s">
        <v>2397</v>
      </c>
      <c r="G243" s="1" t="s">
        <v>74</v>
      </c>
      <c r="H243" s="1" t="s">
        <v>74</v>
      </c>
      <c r="I243" s="1" t="s">
        <v>2398</v>
      </c>
      <c r="J243" s="1" t="s">
        <v>2399</v>
      </c>
      <c r="K243" s="1" t="s">
        <v>74</v>
      </c>
      <c r="L243" s="1" t="s">
        <v>74</v>
      </c>
      <c r="M243" s="1" t="s">
        <v>74</v>
      </c>
      <c r="N243" s="1" t="s">
        <v>78</v>
      </c>
      <c r="O243" s="1" t="s">
        <v>74</v>
      </c>
      <c r="P243" s="1" t="s">
        <v>74</v>
      </c>
      <c r="Q243" s="1" t="s">
        <v>74</v>
      </c>
      <c r="R243" s="1" t="s">
        <v>74</v>
      </c>
      <c r="S243" s="1" t="s">
        <v>74</v>
      </c>
      <c r="T243" s="1" t="s">
        <v>2400</v>
      </c>
      <c r="U243" s="1" t="s">
        <v>74</v>
      </c>
      <c r="V243" s="1" t="s">
        <v>2401</v>
      </c>
      <c r="W243" s="1" t="s">
        <v>74</v>
      </c>
      <c r="X243" s="1" t="s">
        <v>74</v>
      </c>
      <c r="Y243" s="1" t="s">
        <v>74</v>
      </c>
      <c r="Z243" s="1" t="s">
        <v>74</v>
      </c>
      <c r="AA243" s="1" t="s">
        <v>74</v>
      </c>
      <c r="AB243" s="1" t="s">
        <v>74</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2402</v>
      </c>
      <c r="AP243" s="1" t="s">
        <v>74</v>
      </c>
      <c r="AQ243" s="1" t="s">
        <v>74</v>
      </c>
      <c r="AR243" s="1" t="s">
        <v>74</v>
      </c>
      <c r="AS243" s="1" t="s">
        <v>74</v>
      </c>
      <c r="AT243" s="1" t="s">
        <v>335</v>
      </c>
      <c r="AU243" s="1">
        <v>2024.0</v>
      </c>
      <c r="AV243" s="1">
        <v>6.0</v>
      </c>
      <c r="AW243" s="1" t="s">
        <v>74</v>
      </c>
      <c r="AX243" s="1" t="s">
        <v>74</v>
      </c>
      <c r="AY243" s="1" t="s">
        <v>74</v>
      </c>
      <c r="AZ243" s="1" t="s">
        <v>74</v>
      </c>
      <c r="BA243" s="1" t="s">
        <v>74</v>
      </c>
      <c r="BB243" s="1" t="s">
        <v>74</v>
      </c>
      <c r="BC243" s="1" t="s">
        <v>74</v>
      </c>
      <c r="BD243" s="1">
        <v>100234.0</v>
      </c>
      <c r="BE243" s="1" t="s">
        <v>2403</v>
      </c>
      <c r="BF243" s="2" t="str">
        <f>HYPERLINK("http://dx.doi.org/10.1016/j.caeai.2024.100234","http://dx.doi.org/10.1016/j.caeai.2024.100234")</f>
        <v>http://dx.doi.org/10.1016/j.caeai.2024.100234</v>
      </c>
      <c r="BG243" s="1" t="s">
        <v>74</v>
      </c>
      <c r="BH243" s="1" t="s">
        <v>74</v>
      </c>
      <c r="BI243" s="1" t="s">
        <v>74</v>
      </c>
      <c r="BJ243" s="1" t="s">
        <v>74</v>
      </c>
      <c r="BK243" s="1" t="s">
        <v>74</v>
      </c>
      <c r="BL243" s="1" t="s">
        <v>2404</v>
      </c>
      <c r="BM243" s="1" t="s">
        <v>74</v>
      </c>
      <c r="BN243" s="1" t="s">
        <v>74</v>
      </c>
      <c r="BO243" s="1" t="s">
        <v>153</v>
      </c>
      <c r="BP243" s="1" t="s">
        <v>74</v>
      </c>
      <c r="BQ243" s="1" t="s">
        <v>74</v>
      </c>
      <c r="BR243" s="1" t="s">
        <v>74</v>
      </c>
      <c r="BS243" s="1" t="s">
        <v>2405</v>
      </c>
      <c r="BT243" s="1" t="str">
        <f>HYPERLINK("https%3A%2F%2Fwww.webofscience.com%2Fwos%2Fwoscc%2Ffull-record%2FWOS:001651770700024","View Full Record in Web of Science")</f>
        <v>View Full Record in Web of Science</v>
      </c>
    </row>
    <row r="244" ht="12.75" customHeight="1">
      <c r="A244" s="1" t="s">
        <v>72</v>
      </c>
      <c r="B244" s="1" t="s">
        <v>2406</v>
      </c>
      <c r="C244" s="1" t="s">
        <v>74</v>
      </c>
      <c r="D244" s="1" t="s">
        <v>74</v>
      </c>
      <c r="E244" s="1" t="s">
        <v>74</v>
      </c>
      <c r="F244" s="1" t="s">
        <v>2407</v>
      </c>
      <c r="G244" s="1" t="s">
        <v>74</v>
      </c>
      <c r="H244" s="1" t="s">
        <v>74</v>
      </c>
      <c r="I244" s="1" t="s">
        <v>2408</v>
      </c>
      <c r="J244" s="1" t="s">
        <v>2409</v>
      </c>
      <c r="K244" s="1" t="s">
        <v>74</v>
      </c>
      <c r="L244" s="1" t="s">
        <v>74</v>
      </c>
      <c r="M244" s="1" t="s">
        <v>74</v>
      </c>
      <c r="N244" s="1" t="s">
        <v>78</v>
      </c>
      <c r="O244" s="1" t="s">
        <v>74</v>
      </c>
      <c r="P244" s="1" t="s">
        <v>74</v>
      </c>
      <c r="Q244" s="1" t="s">
        <v>74</v>
      </c>
      <c r="R244" s="1" t="s">
        <v>74</v>
      </c>
      <c r="S244" s="1" t="s">
        <v>74</v>
      </c>
      <c r="T244" s="1" t="s">
        <v>2410</v>
      </c>
      <c r="U244" s="1" t="s">
        <v>74</v>
      </c>
      <c r="V244" s="1" t="s">
        <v>2411</v>
      </c>
      <c r="W244" s="1" t="s">
        <v>74</v>
      </c>
      <c r="X244" s="1" t="s">
        <v>74</v>
      </c>
      <c r="Y244" s="1" t="s">
        <v>74</v>
      </c>
      <c r="Z244" s="1" t="s">
        <v>74</v>
      </c>
      <c r="AA244" s="1" t="s">
        <v>74</v>
      </c>
      <c r="AB244" s="1" t="s">
        <v>74</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74</v>
      </c>
      <c r="AP244" s="1" t="s">
        <v>2412</v>
      </c>
      <c r="AQ244" s="1" t="s">
        <v>74</v>
      </c>
      <c r="AR244" s="1" t="s">
        <v>74</v>
      </c>
      <c r="AS244" s="1" t="s">
        <v>74</v>
      </c>
      <c r="AT244" s="1" t="s">
        <v>2413</v>
      </c>
      <c r="AU244" s="1">
        <v>2025.0</v>
      </c>
      <c r="AV244" s="1">
        <v>5.0</v>
      </c>
      <c r="AW244" s="1">
        <v>3.0</v>
      </c>
      <c r="AX244" s="1" t="s">
        <v>74</v>
      </c>
      <c r="AY244" s="1" t="s">
        <v>74</v>
      </c>
      <c r="AZ244" s="1" t="s">
        <v>74</v>
      </c>
      <c r="BA244" s="1" t="s">
        <v>74</v>
      </c>
      <c r="BB244" s="1" t="s">
        <v>74</v>
      </c>
      <c r="BC244" s="1" t="s">
        <v>74</v>
      </c>
      <c r="BD244" s="1">
        <v>71.0</v>
      </c>
      <c r="BE244" s="1" t="s">
        <v>2414</v>
      </c>
      <c r="BF244" s="2" t="str">
        <f>HYPERLINK("http://dx.doi.org/10.3390/jcp5030071","http://dx.doi.org/10.3390/jcp5030071")</f>
        <v>http://dx.doi.org/10.3390/jcp5030071</v>
      </c>
      <c r="BG244" s="1" t="s">
        <v>74</v>
      </c>
      <c r="BH244" s="1" t="s">
        <v>74</v>
      </c>
      <c r="BI244" s="1" t="s">
        <v>74</v>
      </c>
      <c r="BJ244" s="1" t="s">
        <v>74</v>
      </c>
      <c r="BK244" s="1" t="s">
        <v>74</v>
      </c>
      <c r="BL244" s="1" t="s">
        <v>174</v>
      </c>
      <c r="BM244" s="1" t="s">
        <v>74</v>
      </c>
      <c r="BN244" s="1" t="s">
        <v>74</v>
      </c>
      <c r="BO244" s="1" t="s">
        <v>163</v>
      </c>
      <c r="BP244" s="1" t="s">
        <v>74</v>
      </c>
      <c r="BQ244" s="1" t="s">
        <v>74</v>
      </c>
      <c r="BR244" s="1" t="s">
        <v>74</v>
      </c>
      <c r="BS244" s="1" t="s">
        <v>2415</v>
      </c>
      <c r="BT244" s="1" t="str">
        <f>HYPERLINK("https%3A%2F%2Fwww.webofscience.com%2Fwos%2Fwoscc%2Ffull-record%2FWOS:001580184900001","View Full Record in Web of Science")</f>
        <v>View Full Record in Web of Science</v>
      </c>
    </row>
    <row r="245" ht="12.75" customHeight="1">
      <c r="A245" s="1" t="s">
        <v>72</v>
      </c>
      <c r="B245" s="1" t="s">
        <v>2416</v>
      </c>
      <c r="C245" s="1" t="s">
        <v>74</v>
      </c>
      <c r="D245" s="1" t="s">
        <v>74</v>
      </c>
      <c r="E245" s="1" t="s">
        <v>74</v>
      </c>
      <c r="F245" s="1" t="s">
        <v>2417</v>
      </c>
      <c r="G245" s="1" t="s">
        <v>74</v>
      </c>
      <c r="H245" s="1" t="s">
        <v>74</v>
      </c>
      <c r="I245" s="1" t="s">
        <v>2418</v>
      </c>
      <c r="J245" s="1" t="s">
        <v>1580</v>
      </c>
      <c r="K245" s="1" t="s">
        <v>74</v>
      </c>
      <c r="L245" s="1" t="s">
        <v>74</v>
      </c>
      <c r="M245" s="1" t="s">
        <v>74</v>
      </c>
      <c r="N245" s="1" t="s">
        <v>78</v>
      </c>
      <c r="O245" s="1" t="s">
        <v>74</v>
      </c>
      <c r="P245" s="1" t="s">
        <v>74</v>
      </c>
      <c r="Q245" s="1" t="s">
        <v>74</v>
      </c>
      <c r="R245" s="1" t="s">
        <v>74</v>
      </c>
      <c r="S245" s="1" t="s">
        <v>74</v>
      </c>
      <c r="T245" s="1" t="s">
        <v>2419</v>
      </c>
      <c r="U245" s="1" t="s">
        <v>2420</v>
      </c>
      <c r="V245" s="1" t="s">
        <v>2421</v>
      </c>
      <c r="W245" s="1" t="s">
        <v>74</v>
      </c>
      <c r="X245" s="1" t="s">
        <v>74</v>
      </c>
      <c r="Y245" s="1" t="s">
        <v>74</v>
      </c>
      <c r="Z245" s="1" t="s">
        <v>74</v>
      </c>
      <c r="AA245" s="1" t="s">
        <v>74</v>
      </c>
      <c r="AB245" s="1" t="s">
        <v>74</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1583</v>
      </c>
      <c r="AP245" s="1" t="s">
        <v>1584</v>
      </c>
      <c r="AQ245" s="1" t="s">
        <v>74</v>
      </c>
      <c r="AR245" s="1" t="s">
        <v>74</v>
      </c>
      <c r="AS245" s="1" t="s">
        <v>74</v>
      </c>
      <c r="AT245" s="1" t="s">
        <v>736</v>
      </c>
      <c r="AU245" s="1">
        <v>2026.0</v>
      </c>
      <c r="AV245" s="1">
        <v>186.0</v>
      </c>
      <c r="AW245" s="1" t="s">
        <v>74</v>
      </c>
      <c r="AX245" s="1" t="s">
        <v>1927</v>
      </c>
      <c r="AY245" s="1" t="s">
        <v>74</v>
      </c>
      <c r="AZ245" s="1" t="s">
        <v>74</v>
      </c>
      <c r="BA245" s="1" t="s">
        <v>74</v>
      </c>
      <c r="BB245" s="1" t="s">
        <v>74</v>
      </c>
      <c r="BC245" s="1" t="s">
        <v>74</v>
      </c>
      <c r="BD245" s="1">
        <v>114255.0</v>
      </c>
      <c r="BE245" s="1" t="s">
        <v>2422</v>
      </c>
      <c r="BF245" s="2" t="str">
        <f>HYPERLINK("http://dx.doi.org/10.1016/j.asoc.2025.114255","http://dx.doi.org/10.1016/j.asoc.2025.114255")</f>
        <v>http://dx.doi.org/10.1016/j.asoc.2025.114255</v>
      </c>
      <c r="BG245" s="1" t="s">
        <v>74</v>
      </c>
      <c r="BH245" s="1" t="s">
        <v>255</v>
      </c>
      <c r="BI245" s="1" t="s">
        <v>74</v>
      </c>
      <c r="BJ245" s="1" t="s">
        <v>74</v>
      </c>
      <c r="BK245" s="1" t="s">
        <v>74</v>
      </c>
      <c r="BL245" s="1" t="s">
        <v>174</v>
      </c>
      <c r="BM245" s="1" t="s">
        <v>74</v>
      </c>
      <c r="BN245" s="1" t="s">
        <v>74</v>
      </c>
      <c r="BO245" s="1" t="s">
        <v>74</v>
      </c>
      <c r="BP245" s="1" t="s">
        <v>74</v>
      </c>
      <c r="BQ245" s="1" t="s">
        <v>74</v>
      </c>
      <c r="BR245" s="1" t="s">
        <v>74</v>
      </c>
      <c r="BS245" s="1" t="s">
        <v>2423</v>
      </c>
      <c r="BT245" s="1" t="str">
        <f>HYPERLINK("https%3A%2F%2Fwww.webofscience.com%2Fwos%2Fwoscc%2Ffull-record%2FWOS:001622623900002","View Full Record in Web of Science")</f>
        <v>View Full Record in Web of Science</v>
      </c>
    </row>
    <row r="246" ht="12.75" customHeight="1">
      <c r="A246" s="1" t="s">
        <v>72</v>
      </c>
      <c r="B246" s="1" t="s">
        <v>2424</v>
      </c>
      <c r="C246" s="1" t="s">
        <v>74</v>
      </c>
      <c r="D246" s="1" t="s">
        <v>74</v>
      </c>
      <c r="E246" s="1" t="s">
        <v>74</v>
      </c>
      <c r="F246" s="1" t="s">
        <v>2425</v>
      </c>
      <c r="G246" s="1" t="s">
        <v>74</v>
      </c>
      <c r="H246" s="1" t="s">
        <v>74</v>
      </c>
      <c r="I246" s="1" t="s">
        <v>2426</v>
      </c>
      <c r="J246" s="1" t="s">
        <v>239</v>
      </c>
      <c r="K246" s="1" t="s">
        <v>74</v>
      </c>
      <c r="L246" s="1" t="s">
        <v>74</v>
      </c>
      <c r="M246" s="1" t="s">
        <v>74</v>
      </c>
      <c r="N246" s="1" t="s">
        <v>78</v>
      </c>
      <c r="O246" s="1" t="s">
        <v>74</v>
      </c>
      <c r="P246" s="1" t="s">
        <v>74</v>
      </c>
      <c r="Q246" s="1" t="s">
        <v>74</v>
      </c>
      <c r="R246" s="1" t="s">
        <v>74</v>
      </c>
      <c r="S246" s="1" t="s">
        <v>74</v>
      </c>
      <c r="T246" s="1" t="s">
        <v>2427</v>
      </c>
      <c r="U246" s="1" t="s">
        <v>74</v>
      </c>
      <c r="V246" s="1" t="s">
        <v>2428</v>
      </c>
      <c r="W246" s="1" t="s">
        <v>74</v>
      </c>
      <c r="X246" s="1" t="s">
        <v>74</v>
      </c>
      <c r="Y246" s="1" t="s">
        <v>74</v>
      </c>
      <c r="Z246" s="1" t="s">
        <v>74</v>
      </c>
      <c r="AA246" s="1" t="s">
        <v>74</v>
      </c>
      <c r="AB246" s="1" t="s">
        <v>74</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242</v>
      </c>
      <c r="AP246" s="1" t="s">
        <v>74</v>
      </c>
      <c r="AQ246" s="1" t="s">
        <v>74</v>
      </c>
      <c r="AR246" s="1" t="s">
        <v>74</v>
      </c>
      <c r="AS246" s="1" t="s">
        <v>74</v>
      </c>
      <c r="AT246" s="1" t="s">
        <v>274</v>
      </c>
      <c r="AU246" s="1">
        <v>2025.0</v>
      </c>
      <c r="AV246" s="1">
        <v>14.0</v>
      </c>
      <c r="AW246" s="1">
        <v>21.0</v>
      </c>
      <c r="AX246" s="1" t="s">
        <v>74</v>
      </c>
      <c r="AY246" s="1" t="s">
        <v>74</v>
      </c>
      <c r="AZ246" s="1" t="s">
        <v>74</v>
      </c>
      <c r="BA246" s="1" t="s">
        <v>74</v>
      </c>
      <c r="BB246" s="1" t="s">
        <v>74</v>
      </c>
      <c r="BC246" s="1" t="s">
        <v>74</v>
      </c>
      <c r="BD246" s="1">
        <v>4312.0</v>
      </c>
      <c r="BE246" s="1" t="s">
        <v>2429</v>
      </c>
      <c r="BF246" s="2" t="str">
        <f>HYPERLINK("http://dx.doi.org/10.3390/electronics14214312","http://dx.doi.org/10.3390/electronics14214312")</f>
        <v>http://dx.doi.org/10.3390/electronics14214312</v>
      </c>
      <c r="BG246" s="1" t="s">
        <v>74</v>
      </c>
      <c r="BH246" s="1" t="s">
        <v>74</v>
      </c>
      <c r="BI246" s="1" t="s">
        <v>74</v>
      </c>
      <c r="BJ246" s="1" t="s">
        <v>74</v>
      </c>
      <c r="BK246" s="1" t="s">
        <v>74</v>
      </c>
      <c r="BL246" s="1" t="s">
        <v>244</v>
      </c>
      <c r="BM246" s="1" t="s">
        <v>74</v>
      </c>
      <c r="BN246" s="1" t="s">
        <v>74</v>
      </c>
      <c r="BO246" s="1" t="s">
        <v>163</v>
      </c>
      <c r="BP246" s="1" t="s">
        <v>74</v>
      </c>
      <c r="BQ246" s="1" t="s">
        <v>74</v>
      </c>
      <c r="BR246" s="1" t="s">
        <v>74</v>
      </c>
      <c r="BS246" s="1" t="s">
        <v>2430</v>
      </c>
      <c r="BT246" s="1" t="str">
        <f>HYPERLINK("https%3A%2F%2Fwww.webofscience.com%2Fwos%2Fwoscc%2Ffull-record%2FWOS:001612499800001","View Full Record in Web of Science")</f>
        <v>View Full Record in Web of Science</v>
      </c>
    </row>
    <row r="247" ht="12.75" customHeight="1">
      <c r="A247" s="1" t="s">
        <v>72</v>
      </c>
      <c r="B247" s="1" t="s">
        <v>2431</v>
      </c>
      <c r="C247" s="1" t="s">
        <v>74</v>
      </c>
      <c r="D247" s="1" t="s">
        <v>74</v>
      </c>
      <c r="E247" s="1" t="s">
        <v>74</v>
      </c>
      <c r="F247" s="1" t="s">
        <v>2432</v>
      </c>
      <c r="G247" s="1" t="s">
        <v>74</v>
      </c>
      <c r="H247" s="1" t="s">
        <v>74</v>
      </c>
      <c r="I247" s="1" t="s">
        <v>2433</v>
      </c>
      <c r="J247" s="1" t="s">
        <v>147</v>
      </c>
      <c r="K247" s="1" t="s">
        <v>74</v>
      </c>
      <c r="L247" s="1" t="s">
        <v>74</v>
      </c>
      <c r="M247" s="1" t="s">
        <v>74</v>
      </c>
      <c r="N247" s="1" t="s">
        <v>78</v>
      </c>
      <c r="O247" s="1" t="s">
        <v>74</v>
      </c>
      <c r="P247" s="1" t="s">
        <v>74</v>
      </c>
      <c r="Q247" s="1" t="s">
        <v>74</v>
      </c>
      <c r="R247" s="1" t="s">
        <v>74</v>
      </c>
      <c r="S247" s="1" t="s">
        <v>74</v>
      </c>
      <c r="T247" s="1" t="s">
        <v>2434</v>
      </c>
      <c r="U247" s="1" t="s">
        <v>74</v>
      </c>
      <c r="V247" s="1" t="s">
        <v>2435</v>
      </c>
      <c r="W247" s="1" t="s">
        <v>74</v>
      </c>
      <c r="X247" s="1" t="s">
        <v>74</v>
      </c>
      <c r="Y247" s="1" t="s">
        <v>74</v>
      </c>
      <c r="Z247" s="1" t="s">
        <v>74</v>
      </c>
      <c r="AA247" s="1" t="s">
        <v>74</v>
      </c>
      <c r="AB247" s="1" t="s">
        <v>74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150</v>
      </c>
      <c r="AP247" s="1" t="s">
        <v>74</v>
      </c>
      <c r="AQ247" s="1" t="s">
        <v>74</v>
      </c>
      <c r="AR247" s="1" t="s">
        <v>74</v>
      </c>
      <c r="AS247" s="1" t="s">
        <v>74</v>
      </c>
      <c r="AT247" s="1" t="s">
        <v>74</v>
      </c>
      <c r="AU247" s="1">
        <v>2025.0</v>
      </c>
      <c r="AV247" s="1">
        <v>13.0</v>
      </c>
      <c r="AW247" s="1" t="s">
        <v>74</v>
      </c>
      <c r="AX247" s="1" t="s">
        <v>74</v>
      </c>
      <c r="AY247" s="1" t="s">
        <v>74</v>
      </c>
      <c r="AZ247" s="1" t="s">
        <v>74</v>
      </c>
      <c r="BA247" s="1" t="s">
        <v>74</v>
      </c>
      <c r="BB247" s="1">
        <v>121290.0</v>
      </c>
      <c r="BC247" s="1">
        <v>121299.0</v>
      </c>
      <c r="BD247" s="1" t="s">
        <v>74</v>
      </c>
      <c r="BE247" s="1" t="s">
        <v>2436</v>
      </c>
      <c r="BF247" s="2" t="str">
        <f>HYPERLINK("http://dx.doi.org/10.1109/ACCESS.2025.3588121","http://dx.doi.org/10.1109/ACCESS.2025.3588121")</f>
        <v>http://dx.doi.org/10.1109/ACCESS.2025.3588121</v>
      </c>
      <c r="BG247" s="1" t="s">
        <v>74</v>
      </c>
      <c r="BH247" s="1" t="s">
        <v>74</v>
      </c>
      <c r="BI247" s="1" t="s">
        <v>74</v>
      </c>
      <c r="BJ247" s="1" t="s">
        <v>74</v>
      </c>
      <c r="BK247" s="1" t="s">
        <v>74</v>
      </c>
      <c r="BL247" s="1" t="s">
        <v>152</v>
      </c>
      <c r="BM247" s="1" t="s">
        <v>74</v>
      </c>
      <c r="BN247" s="1" t="s">
        <v>74</v>
      </c>
      <c r="BO247" s="1" t="s">
        <v>153</v>
      </c>
      <c r="BP247" s="1" t="s">
        <v>74</v>
      </c>
      <c r="BQ247" s="1" t="s">
        <v>74</v>
      </c>
      <c r="BR247" s="1" t="s">
        <v>74</v>
      </c>
      <c r="BS247" s="1" t="s">
        <v>2437</v>
      </c>
      <c r="BT247" s="1" t="str">
        <f>HYPERLINK("https%3A%2F%2Fwww.webofscience.com%2Fwos%2Fwoscc%2Ffull-record%2FWOS:001531861100046","View Full Record in Web of Science")</f>
        <v>View Full Record in Web of Science</v>
      </c>
    </row>
    <row r="248" ht="12.75" customHeight="1">
      <c r="A248" s="1" t="s">
        <v>72</v>
      </c>
      <c r="B248" s="1" t="s">
        <v>2438</v>
      </c>
      <c r="C248" s="1" t="s">
        <v>74</v>
      </c>
      <c r="D248" s="1" t="s">
        <v>74</v>
      </c>
      <c r="E248" s="1" t="s">
        <v>74</v>
      </c>
      <c r="F248" s="1" t="s">
        <v>2439</v>
      </c>
      <c r="G248" s="1" t="s">
        <v>74</v>
      </c>
      <c r="H248" s="1" t="s">
        <v>74</v>
      </c>
      <c r="I248" s="1" t="s">
        <v>2440</v>
      </c>
      <c r="J248" s="1" t="s">
        <v>2441</v>
      </c>
      <c r="K248" s="1" t="s">
        <v>74</v>
      </c>
      <c r="L248" s="1" t="s">
        <v>74</v>
      </c>
      <c r="M248" s="1" t="s">
        <v>74</v>
      </c>
      <c r="N248" s="1" t="s">
        <v>78</v>
      </c>
      <c r="O248" s="1" t="s">
        <v>74</v>
      </c>
      <c r="P248" s="1" t="s">
        <v>74</v>
      </c>
      <c r="Q248" s="1" t="s">
        <v>74</v>
      </c>
      <c r="R248" s="1" t="s">
        <v>74</v>
      </c>
      <c r="S248" s="1" t="s">
        <v>74</v>
      </c>
      <c r="T248" s="1" t="s">
        <v>2442</v>
      </c>
      <c r="U248" s="1" t="s">
        <v>2443</v>
      </c>
      <c r="V248" s="1" t="s">
        <v>2444</v>
      </c>
      <c r="W248" s="1" t="s">
        <v>74</v>
      </c>
      <c r="X248" s="1" t="s">
        <v>74</v>
      </c>
      <c r="Y248" s="1" t="s">
        <v>74</v>
      </c>
      <c r="Z248" s="1" t="s">
        <v>74</v>
      </c>
      <c r="AA248" s="1" t="s">
        <v>74</v>
      </c>
      <c r="AB248" s="1" t="s">
        <v>74</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74</v>
      </c>
      <c r="AP248" s="1" t="s">
        <v>2445</v>
      </c>
      <c r="AQ248" s="1" t="s">
        <v>74</v>
      </c>
      <c r="AR248" s="1" t="s">
        <v>74</v>
      </c>
      <c r="AS248" s="1" t="s">
        <v>74</v>
      </c>
      <c r="AT248" s="1" t="s">
        <v>688</v>
      </c>
      <c r="AU248" s="1">
        <v>2024.0</v>
      </c>
      <c r="AV248" s="1">
        <v>8.0</v>
      </c>
      <c r="AW248" s="1">
        <v>1.0</v>
      </c>
      <c r="AX248" s="1" t="s">
        <v>74</v>
      </c>
      <c r="AY248" s="1" t="s">
        <v>74</v>
      </c>
      <c r="AZ248" s="1" t="s">
        <v>74</v>
      </c>
      <c r="BA248" s="1" t="s">
        <v>74</v>
      </c>
      <c r="BB248" s="1" t="s">
        <v>74</v>
      </c>
      <c r="BC248" s="1" t="s">
        <v>74</v>
      </c>
      <c r="BD248" s="1">
        <v>10.0</v>
      </c>
      <c r="BE248" s="1" t="s">
        <v>2446</v>
      </c>
      <c r="BF248" s="2" t="str">
        <f>HYPERLINK("http://dx.doi.org/10.1145/3643514","http://dx.doi.org/10.1145/3643514")</f>
        <v>http://dx.doi.org/10.1145/3643514</v>
      </c>
      <c r="BG248" s="1" t="s">
        <v>74</v>
      </c>
      <c r="BH248" s="1" t="s">
        <v>74</v>
      </c>
      <c r="BI248" s="1" t="s">
        <v>74</v>
      </c>
      <c r="BJ248" s="1" t="s">
        <v>74</v>
      </c>
      <c r="BK248" s="1" t="s">
        <v>74</v>
      </c>
      <c r="BL248" s="1" t="s">
        <v>152</v>
      </c>
      <c r="BM248" s="1" t="s">
        <v>74</v>
      </c>
      <c r="BN248" s="1" t="s">
        <v>74</v>
      </c>
      <c r="BO248" s="1" t="s">
        <v>74</v>
      </c>
      <c r="BP248" s="1" t="s">
        <v>74</v>
      </c>
      <c r="BQ248" s="1" t="s">
        <v>74</v>
      </c>
      <c r="BR248" s="1" t="s">
        <v>74</v>
      </c>
      <c r="BS248" s="1" t="s">
        <v>2447</v>
      </c>
      <c r="BT248" s="1" t="str">
        <f>HYPERLINK("https%3A%2F%2Fwww.webofscience.com%2Fwos%2Fwoscc%2Ffull-record%2FWOS:001207594200010","View Full Record in Web of Science")</f>
        <v>View Full Record in Web of Science</v>
      </c>
    </row>
    <row r="249" ht="12.75" customHeight="1">
      <c r="A249" s="1" t="s">
        <v>72</v>
      </c>
      <c r="B249" s="1" t="s">
        <v>2448</v>
      </c>
      <c r="C249" s="1" t="s">
        <v>74</v>
      </c>
      <c r="D249" s="1" t="s">
        <v>74</v>
      </c>
      <c r="E249" s="1" t="s">
        <v>74</v>
      </c>
      <c r="F249" s="1" t="s">
        <v>2449</v>
      </c>
      <c r="G249" s="1" t="s">
        <v>74</v>
      </c>
      <c r="H249" s="1" t="s">
        <v>74</v>
      </c>
      <c r="I249" s="1" t="s">
        <v>2450</v>
      </c>
      <c r="J249" s="1" t="s">
        <v>2451</v>
      </c>
      <c r="K249" s="1" t="s">
        <v>74</v>
      </c>
      <c r="L249" s="1" t="s">
        <v>74</v>
      </c>
      <c r="M249" s="1" t="s">
        <v>74</v>
      </c>
      <c r="N249" s="1" t="s">
        <v>158</v>
      </c>
      <c r="O249" s="1" t="s">
        <v>74</v>
      </c>
      <c r="P249" s="1" t="s">
        <v>74</v>
      </c>
      <c r="Q249" s="1" t="s">
        <v>74</v>
      </c>
      <c r="R249" s="1" t="s">
        <v>74</v>
      </c>
      <c r="S249" s="1" t="s">
        <v>74</v>
      </c>
      <c r="T249" s="1" t="s">
        <v>2452</v>
      </c>
      <c r="U249" s="1" t="s">
        <v>74</v>
      </c>
      <c r="V249" s="1" t="s">
        <v>2453</v>
      </c>
      <c r="W249" s="1" t="s">
        <v>74</v>
      </c>
      <c r="X249" s="1" t="s">
        <v>74</v>
      </c>
      <c r="Y249" s="1" t="s">
        <v>74</v>
      </c>
      <c r="Z249" s="1" t="s">
        <v>74</v>
      </c>
      <c r="AA249" s="1" t="s">
        <v>74</v>
      </c>
      <c r="AB249" s="1" t="s">
        <v>74</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2454</v>
      </c>
      <c r="AP249" s="1" t="s">
        <v>2455</v>
      </c>
      <c r="AQ249" s="1" t="s">
        <v>74</v>
      </c>
      <c r="AR249" s="1" t="s">
        <v>74</v>
      </c>
      <c r="AS249" s="1" t="s">
        <v>74</v>
      </c>
      <c r="AT249" s="1" t="s">
        <v>335</v>
      </c>
      <c r="AU249" s="1">
        <v>2025.0</v>
      </c>
      <c r="AV249" s="1">
        <v>14.0</v>
      </c>
      <c r="AW249" s="1">
        <v>2.0</v>
      </c>
      <c r="AX249" s="1" t="s">
        <v>74</v>
      </c>
      <c r="AY249" s="1" t="s">
        <v>74</v>
      </c>
      <c r="AZ249" s="1" t="s">
        <v>74</v>
      </c>
      <c r="BA249" s="1" t="s">
        <v>74</v>
      </c>
      <c r="BB249" s="1">
        <v>117.0</v>
      </c>
      <c r="BC249" s="1">
        <v>164.0</v>
      </c>
      <c r="BD249" s="1" t="s">
        <v>74</v>
      </c>
      <c r="BE249" s="1" t="s">
        <v>2456</v>
      </c>
      <c r="BF249" s="2" t="str">
        <f>HYPERLINK("http://dx.doi.org/10.1007/s13748-024-00359-4","http://dx.doi.org/10.1007/s13748-024-00359-4")</f>
        <v>http://dx.doi.org/10.1007/s13748-024-00359-4</v>
      </c>
      <c r="BG249" s="1" t="s">
        <v>74</v>
      </c>
      <c r="BH249" s="1" t="s">
        <v>1080</v>
      </c>
      <c r="BI249" s="1" t="s">
        <v>74</v>
      </c>
      <c r="BJ249" s="1" t="s">
        <v>74</v>
      </c>
      <c r="BK249" s="1" t="s">
        <v>74</v>
      </c>
      <c r="BL249" s="1" t="s">
        <v>174</v>
      </c>
      <c r="BM249" s="1" t="s">
        <v>74</v>
      </c>
      <c r="BN249" s="1" t="s">
        <v>74</v>
      </c>
      <c r="BO249" s="1" t="s">
        <v>74</v>
      </c>
      <c r="BP249" s="1" t="s">
        <v>74</v>
      </c>
      <c r="BQ249" s="1" t="s">
        <v>74</v>
      </c>
      <c r="BR249" s="1" t="s">
        <v>74</v>
      </c>
      <c r="BS249" s="1" t="s">
        <v>2457</v>
      </c>
      <c r="BT249" s="1" t="str">
        <f>HYPERLINK("https%3A%2F%2Fwww.webofscience.com%2Fwos%2Fwoscc%2Ffull-record%2FWOS:001380024300001","View Full Record in Web of Science")</f>
        <v>View Full Record in Web of Science</v>
      </c>
    </row>
    <row r="250" ht="12.75" customHeight="1">
      <c r="A250" s="1" t="s">
        <v>72</v>
      </c>
      <c r="B250" s="1" t="s">
        <v>2458</v>
      </c>
      <c r="C250" s="1" t="s">
        <v>74</v>
      </c>
      <c r="D250" s="1" t="s">
        <v>74</v>
      </c>
      <c r="E250" s="1" t="s">
        <v>74</v>
      </c>
      <c r="F250" s="1" t="s">
        <v>2459</v>
      </c>
      <c r="G250" s="1" t="s">
        <v>74</v>
      </c>
      <c r="H250" s="1" t="s">
        <v>74</v>
      </c>
      <c r="I250" s="1" t="s">
        <v>2460</v>
      </c>
      <c r="J250" s="1" t="s">
        <v>793</v>
      </c>
      <c r="K250" s="1" t="s">
        <v>74</v>
      </c>
      <c r="L250" s="1" t="s">
        <v>74</v>
      </c>
      <c r="M250" s="1" t="s">
        <v>74</v>
      </c>
      <c r="N250" s="1" t="s">
        <v>78</v>
      </c>
      <c r="O250" s="1" t="s">
        <v>74</v>
      </c>
      <c r="P250" s="1" t="s">
        <v>74</v>
      </c>
      <c r="Q250" s="1" t="s">
        <v>74</v>
      </c>
      <c r="R250" s="1" t="s">
        <v>74</v>
      </c>
      <c r="S250" s="1" t="s">
        <v>74</v>
      </c>
      <c r="T250" s="1" t="s">
        <v>2461</v>
      </c>
      <c r="U250" s="1" t="s">
        <v>74</v>
      </c>
      <c r="V250" s="1" t="s">
        <v>2462</v>
      </c>
      <c r="W250" s="1" t="s">
        <v>74</v>
      </c>
      <c r="X250" s="1" t="s">
        <v>74</v>
      </c>
      <c r="Y250" s="1" t="s">
        <v>74</v>
      </c>
      <c r="Z250" s="1" t="s">
        <v>74</v>
      </c>
      <c r="AA250" s="1" t="s">
        <v>74</v>
      </c>
      <c r="AB250" s="1" t="s">
        <v>74</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797</v>
      </c>
      <c r="AP250" s="1" t="s">
        <v>74</v>
      </c>
      <c r="AQ250" s="1" t="s">
        <v>74</v>
      </c>
      <c r="AR250" s="1" t="s">
        <v>74</v>
      </c>
      <c r="AS250" s="1" t="s">
        <v>74</v>
      </c>
      <c r="AT250" s="1" t="s">
        <v>2463</v>
      </c>
      <c r="AU250" s="1">
        <v>2025.0</v>
      </c>
      <c r="AV250" s="1">
        <v>17.0</v>
      </c>
      <c r="AW250" s="1">
        <v>6.0</v>
      </c>
      <c r="AX250" s="1" t="s">
        <v>74</v>
      </c>
      <c r="AY250" s="1" t="s">
        <v>74</v>
      </c>
      <c r="AZ250" s="1" t="s">
        <v>74</v>
      </c>
      <c r="BA250" s="1" t="s">
        <v>74</v>
      </c>
      <c r="BB250" s="1" t="s">
        <v>74</v>
      </c>
      <c r="BC250" s="1" t="s">
        <v>74</v>
      </c>
      <c r="BD250" s="1">
        <v>265.0</v>
      </c>
      <c r="BE250" s="1" t="s">
        <v>2464</v>
      </c>
      <c r="BF250" s="2" t="str">
        <f>HYPERLINK("http://dx.doi.org/10.3390/fi17060265","http://dx.doi.org/10.3390/fi17060265")</f>
        <v>http://dx.doi.org/10.3390/fi17060265</v>
      </c>
      <c r="BG250" s="1" t="s">
        <v>74</v>
      </c>
      <c r="BH250" s="1" t="s">
        <v>74</v>
      </c>
      <c r="BI250" s="1" t="s">
        <v>74</v>
      </c>
      <c r="BJ250" s="1" t="s">
        <v>74</v>
      </c>
      <c r="BK250" s="1" t="s">
        <v>74</v>
      </c>
      <c r="BL250" s="1" t="s">
        <v>174</v>
      </c>
      <c r="BM250" s="1" t="s">
        <v>74</v>
      </c>
      <c r="BN250" s="1" t="s">
        <v>74</v>
      </c>
      <c r="BO250" s="1" t="s">
        <v>163</v>
      </c>
      <c r="BP250" s="1" t="s">
        <v>74</v>
      </c>
      <c r="BQ250" s="1" t="s">
        <v>74</v>
      </c>
      <c r="BR250" s="1" t="s">
        <v>74</v>
      </c>
      <c r="BS250" s="1" t="s">
        <v>2465</v>
      </c>
      <c r="BT250" s="1" t="str">
        <f>HYPERLINK("https%3A%2F%2Fwww.webofscience.com%2Fwos%2Fwoscc%2Ffull-record%2FWOS:001515585700001","View Full Record in Web of Science")</f>
        <v>View Full Record in Web of Science</v>
      </c>
    </row>
    <row r="251" ht="12.75" customHeight="1">
      <c r="A251" s="1" t="s">
        <v>72</v>
      </c>
      <c r="B251" s="1" t="s">
        <v>2466</v>
      </c>
      <c r="C251" s="1" t="s">
        <v>74</v>
      </c>
      <c r="D251" s="1" t="s">
        <v>74</v>
      </c>
      <c r="E251" s="1" t="s">
        <v>74</v>
      </c>
      <c r="F251" s="1" t="s">
        <v>2467</v>
      </c>
      <c r="G251" s="1" t="s">
        <v>74</v>
      </c>
      <c r="H251" s="1" t="s">
        <v>74</v>
      </c>
      <c r="I251" s="1" t="s">
        <v>2468</v>
      </c>
      <c r="J251" s="1" t="s">
        <v>2469</v>
      </c>
      <c r="K251" s="1" t="s">
        <v>74</v>
      </c>
      <c r="L251" s="1" t="s">
        <v>74</v>
      </c>
      <c r="M251" s="1" t="s">
        <v>74</v>
      </c>
      <c r="N251" s="1" t="s">
        <v>78</v>
      </c>
      <c r="O251" s="1" t="s">
        <v>74</v>
      </c>
      <c r="P251" s="1" t="s">
        <v>74</v>
      </c>
      <c r="Q251" s="1" t="s">
        <v>74</v>
      </c>
      <c r="R251" s="1" t="s">
        <v>74</v>
      </c>
      <c r="S251" s="1" t="s">
        <v>74</v>
      </c>
      <c r="T251" s="1" t="s">
        <v>2470</v>
      </c>
      <c r="U251" s="1" t="s">
        <v>74</v>
      </c>
      <c r="V251" s="1" t="s">
        <v>2471</v>
      </c>
      <c r="W251" s="1" t="s">
        <v>74</v>
      </c>
      <c r="X251" s="1" t="s">
        <v>74</v>
      </c>
      <c r="Y251" s="1" t="s">
        <v>74</v>
      </c>
      <c r="Z251" s="1" t="s">
        <v>74</v>
      </c>
      <c r="AA251" s="1" t="s">
        <v>74</v>
      </c>
      <c r="AB251" s="1" t="s">
        <v>74</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74</v>
      </c>
      <c r="AP251" s="1" t="s">
        <v>2472</v>
      </c>
      <c r="AQ251" s="1" t="s">
        <v>74</v>
      </c>
      <c r="AR251" s="1" t="s">
        <v>74</v>
      </c>
      <c r="AS251" s="1" t="s">
        <v>74</v>
      </c>
      <c r="AT251" s="1" t="s">
        <v>74</v>
      </c>
      <c r="AU251" s="1">
        <v>2024.0</v>
      </c>
      <c r="AV251" s="1">
        <v>6.0</v>
      </c>
      <c r="AW251" s="1">
        <v>3.0</v>
      </c>
      <c r="AX251" s="1" t="s">
        <v>74</v>
      </c>
      <c r="AY251" s="1" t="s">
        <v>74</v>
      </c>
      <c r="AZ251" s="1" t="s">
        <v>74</v>
      </c>
      <c r="BA251" s="1" t="s">
        <v>74</v>
      </c>
      <c r="BB251" s="1">
        <v>80.0</v>
      </c>
      <c r="BC251" s="1">
        <v>101.0</v>
      </c>
      <c r="BD251" s="1" t="s">
        <v>74</v>
      </c>
      <c r="BE251" s="1" t="s">
        <v>2473</v>
      </c>
      <c r="BF251" s="2" t="str">
        <f>HYPERLINK("http://dx.doi.org/10.5204/lthj.3623","http://dx.doi.org/10.5204/lthj.3623")</f>
        <v>http://dx.doi.org/10.5204/lthj.3623</v>
      </c>
      <c r="BG251" s="1" t="s">
        <v>74</v>
      </c>
      <c r="BH251" s="1" t="s">
        <v>74</v>
      </c>
      <c r="BI251" s="1" t="s">
        <v>74</v>
      </c>
      <c r="BJ251" s="1" t="s">
        <v>74</v>
      </c>
      <c r="BK251" s="1" t="s">
        <v>74</v>
      </c>
      <c r="BL251" s="1" t="s">
        <v>2474</v>
      </c>
      <c r="BM251" s="1" t="s">
        <v>74</v>
      </c>
      <c r="BN251" s="1" t="s">
        <v>74</v>
      </c>
      <c r="BO251" s="1" t="s">
        <v>153</v>
      </c>
      <c r="BP251" s="1" t="s">
        <v>74</v>
      </c>
      <c r="BQ251" s="1" t="s">
        <v>74</v>
      </c>
      <c r="BR251" s="1" t="s">
        <v>74</v>
      </c>
      <c r="BS251" s="1" t="s">
        <v>2475</v>
      </c>
      <c r="BT251" s="1" t="str">
        <f>HYPERLINK("https%3A%2F%2Fwww.webofscience.com%2Fwos%2Fwoscc%2Ffull-record%2FWOS:001367732400001","View Full Record in Web of Science")</f>
        <v>View Full Record in Web of Science</v>
      </c>
    </row>
    <row r="252" ht="12.75" customHeight="1">
      <c r="A252" s="1" t="s">
        <v>72</v>
      </c>
      <c r="B252" s="1" t="s">
        <v>2476</v>
      </c>
      <c r="C252" s="1" t="s">
        <v>74</v>
      </c>
      <c r="D252" s="1" t="s">
        <v>74</v>
      </c>
      <c r="E252" s="1" t="s">
        <v>74</v>
      </c>
      <c r="F252" s="1" t="s">
        <v>2477</v>
      </c>
      <c r="G252" s="1" t="s">
        <v>74</v>
      </c>
      <c r="H252" s="1" t="s">
        <v>74</v>
      </c>
      <c r="I252" s="1" t="s">
        <v>2478</v>
      </c>
      <c r="J252" s="1" t="s">
        <v>2479</v>
      </c>
      <c r="K252" s="1" t="s">
        <v>74</v>
      </c>
      <c r="L252" s="1" t="s">
        <v>74</v>
      </c>
      <c r="M252" s="1" t="s">
        <v>74</v>
      </c>
      <c r="N252" s="1" t="s">
        <v>78</v>
      </c>
      <c r="O252" s="1" t="s">
        <v>74</v>
      </c>
      <c r="P252" s="1" t="s">
        <v>74</v>
      </c>
      <c r="Q252" s="1" t="s">
        <v>74</v>
      </c>
      <c r="R252" s="1" t="s">
        <v>74</v>
      </c>
      <c r="S252" s="1" t="s">
        <v>74</v>
      </c>
      <c r="T252" s="1" t="s">
        <v>2480</v>
      </c>
      <c r="U252" s="1" t="s">
        <v>2481</v>
      </c>
      <c r="V252" s="1" t="s">
        <v>2482</v>
      </c>
      <c r="W252" s="1" t="s">
        <v>74</v>
      </c>
      <c r="X252" s="1" t="s">
        <v>74</v>
      </c>
      <c r="Y252" s="1" t="s">
        <v>74</v>
      </c>
      <c r="Z252" s="1" t="s">
        <v>74</v>
      </c>
      <c r="AA252" s="1" t="s">
        <v>74</v>
      </c>
      <c r="AB252" s="1" t="s">
        <v>74</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2483</v>
      </c>
      <c r="AP252" s="1" t="s">
        <v>2484</v>
      </c>
      <c r="AQ252" s="1" t="s">
        <v>74</v>
      </c>
      <c r="AR252" s="1" t="s">
        <v>74</v>
      </c>
      <c r="AS252" s="1" t="s">
        <v>74</v>
      </c>
      <c r="AT252" s="1" t="s">
        <v>84</v>
      </c>
      <c r="AU252" s="1">
        <v>2025.0</v>
      </c>
      <c r="AV252" s="1">
        <v>43.0</v>
      </c>
      <c r="AW252" s="1">
        <v>4.0</v>
      </c>
      <c r="AX252" s="1" t="s">
        <v>74</v>
      </c>
      <c r="AY252" s="1" t="s">
        <v>74</v>
      </c>
      <c r="AZ252" s="1" t="s">
        <v>74</v>
      </c>
      <c r="BA252" s="1" t="s">
        <v>74</v>
      </c>
      <c r="BB252" s="1" t="s">
        <v>74</v>
      </c>
      <c r="BC252" s="1" t="s">
        <v>74</v>
      </c>
      <c r="BD252" s="1">
        <v>91.0</v>
      </c>
      <c r="BE252" s="1" t="s">
        <v>2485</v>
      </c>
      <c r="BF252" s="2" t="str">
        <f>HYPERLINK("http://dx.doi.org/10.1145/3719344","http://dx.doi.org/10.1145/3719344")</f>
        <v>http://dx.doi.org/10.1145/3719344</v>
      </c>
      <c r="BG252" s="1" t="s">
        <v>74</v>
      </c>
      <c r="BH252" s="1" t="s">
        <v>74</v>
      </c>
      <c r="BI252" s="1" t="s">
        <v>74</v>
      </c>
      <c r="BJ252" s="1" t="s">
        <v>74</v>
      </c>
      <c r="BK252" s="1" t="s">
        <v>74</v>
      </c>
      <c r="BL252" s="1" t="s">
        <v>174</v>
      </c>
      <c r="BM252" s="1" t="s">
        <v>74</v>
      </c>
      <c r="BN252" s="1" t="s">
        <v>74</v>
      </c>
      <c r="BO252" s="1" t="s">
        <v>114</v>
      </c>
      <c r="BP252" s="1" t="s">
        <v>74</v>
      </c>
      <c r="BQ252" s="1" t="s">
        <v>74</v>
      </c>
      <c r="BR252" s="1" t="s">
        <v>74</v>
      </c>
      <c r="BS252" s="1" t="s">
        <v>2486</v>
      </c>
      <c r="BT252" s="1" t="str">
        <f>HYPERLINK("https%3A%2F%2Fwww.webofscience.com%2Fwos%2Fwoscc%2Ffull-record%2FWOS:001536379700002","View Full Record in Web of Science")</f>
        <v>View Full Record in Web of Science</v>
      </c>
    </row>
    <row r="253" ht="12.75" customHeight="1">
      <c r="A253" s="1" t="s">
        <v>72</v>
      </c>
      <c r="B253" s="1" t="s">
        <v>2487</v>
      </c>
      <c r="C253" s="1" t="s">
        <v>74</v>
      </c>
      <c r="D253" s="1" t="s">
        <v>74</v>
      </c>
      <c r="E253" s="1" t="s">
        <v>74</v>
      </c>
      <c r="F253" s="1" t="s">
        <v>2488</v>
      </c>
      <c r="G253" s="1" t="s">
        <v>74</v>
      </c>
      <c r="H253" s="1" t="s">
        <v>74</v>
      </c>
      <c r="I253" s="1" t="s">
        <v>2489</v>
      </c>
      <c r="J253" s="1" t="s">
        <v>2490</v>
      </c>
      <c r="K253" s="1" t="s">
        <v>74</v>
      </c>
      <c r="L253" s="1" t="s">
        <v>74</v>
      </c>
      <c r="M253" s="1" t="s">
        <v>74</v>
      </c>
      <c r="N253" s="1" t="s">
        <v>78</v>
      </c>
      <c r="O253" s="1" t="s">
        <v>74</v>
      </c>
      <c r="P253" s="1" t="s">
        <v>74</v>
      </c>
      <c r="Q253" s="1" t="s">
        <v>74</v>
      </c>
      <c r="R253" s="1" t="s">
        <v>74</v>
      </c>
      <c r="S253" s="1" t="s">
        <v>74</v>
      </c>
      <c r="T253" s="1" t="s">
        <v>2491</v>
      </c>
      <c r="U253" s="1" t="s">
        <v>2492</v>
      </c>
      <c r="V253" s="1" t="s">
        <v>2493</v>
      </c>
      <c r="W253" s="1" t="s">
        <v>74</v>
      </c>
      <c r="X253" s="1" t="s">
        <v>74</v>
      </c>
      <c r="Y253" s="1" t="s">
        <v>74</v>
      </c>
      <c r="Z253" s="1" t="s">
        <v>74</v>
      </c>
      <c r="AA253" s="1" t="s">
        <v>74</v>
      </c>
      <c r="AB253" s="1" t="s">
        <v>74</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2494</v>
      </c>
      <c r="AP253" s="1" t="s">
        <v>2495</v>
      </c>
      <c r="AQ253" s="1" t="s">
        <v>74</v>
      </c>
      <c r="AR253" s="1" t="s">
        <v>74</v>
      </c>
      <c r="AS253" s="1" t="s">
        <v>74</v>
      </c>
      <c r="AT253" s="1" t="s">
        <v>736</v>
      </c>
      <c r="AU253" s="1">
        <v>2026.0</v>
      </c>
      <c r="AV253" s="1">
        <v>222.0</v>
      </c>
      <c r="AW253" s="1" t="s">
        <v>74</v>
      </c>
      <c r="AX253" s="1" t="s">
        <v>74</v>
      </c>
      <c r="AY253" s="1" t="s">
        <v>74</v>
      </c>
      <c r="AZ253" s="1" t="s">
        <v>74</v>
      </c>
      <c r="BA253" s="1" t="s">
        <v>74</v>
      </c>
      <c r="BB253" s="1" t="s">
        <v>74</v>
      </c>
      <c r="BC253" s="1" t="s">
        <v>74</v>
      </c>
      <c r="BD253" s="1">
        <v>124370.0</v>
      </c>
      <c r="BE253" s="1" t="s">
        <v>2496</v>
      </c>
      <c r="BF253" s="2" t="str">
        <f>HYPERLINK("http://dx.doi.org/10.1016/j.techfore.2025.124370","http://dx.doi.org/10.1016/j.techfore.2025.124370")</f>
        <v>http://dx.doi.org/10.1016/j.techfore.2025.124370</v>
      </c>
      <c r="BG253" s="1" t="s">
        <v>74</v>
      </c>
      <c r="BH253" s="1" t="s">
        <v>811</v>
      </c>
      <c r="BI253" s="1" t="s">
        <v>74</v>
      </c>
      <c r="BJ253" s="1" t="s">
        <v>74</v>
      </c>
      <c r="BK253" s="1" t="s">
        <v>74</v>
      </c>
      <c r="BL253" s="1" t="s">
        <v>2497</v>
      </c>
      <c r="BM253" s="1" t="s">
        <v>74</v>
      </c>
      <c r="BN253" s="1" t="s">
        <v>74</v>
      </c>
      <c r="BO253" s="1" t="s">
        <v>74</v>
      </c>
      <c r="BP253" s="1" t="s">
        <v>74</v>
      </c>
      <c r="BQ253" s="1" t="s">
        <v>74</v>
      </c>
      <c r="BR253" s="1" t="s">
        <v>74</v>
      </c>
      <c r="BS253" s="1" t="s">
        <v>2498</v>
      </c>
      <c r="BT253" s="1" t="str">
        <f>HYPERLINK("https%3A%2F%2Fwww.webofscience.com%2Fwos%2Fwoscc%2Ffull-record%2FWOS:001597792800001","View Full Record in Web of Science")</f>
        <v>View Full Record in Web of Science</v>
      </c>
    </row>
    <row r="254" ht="12.75" customHeight="1">
      <c r="A254" s="1" t="s">
        <v>72</v>
      </c>
      <c r="B254" s="1" t="s">
        <v>2499</v>
      </c>
      <c r="C254" s="1" t="s">
        <v>74</v>
      </c>
      <c r="D254" s="1" t="s">
        <v>74</v>
      </c>
      <c r="E254" s="1" t="s">
        <v>74</v>
      </c>
      <c r="F254" s="1" t="s">
        <v>2500</v>
      </c>
      <c r="G254" s="1" t="s">
        <v>74</v>
      </c>
      <c r="H254" s="1" t="s">
        <v>74</v>
      </c>
      <c r="I254" s="1" t="s">
        <v>2501</v>
      </c>
      <c r="J254" s="1" t="s">
        <v>296</v>
      </c>
      <c r="K254" s="1" t="s">
        <v>74</v>
      </c>
      <c r="L254" s="1" t="s">
        <v>74</v>
      </c>
      <c r="M254" s="1" t="s">
        <v>74</v>
      </c>
      <c r="N254" s="1" t="s">
        <v>78</v>
      </c>
      <c r="O254" s="1" t="s">
        <v>74</v>
      </c>
      <c r="P254" s="1" t="s">
        <v>74</v>
      </c>
      <c r="Q254" s="1" t="s">
        <v>74</v>
      </c>
      <c r="R254" s="1" t="s">
        <v>74</v>
      </c>
      <c r="S254" s="1" t="s">
        <v>74</v>
      </c>
      <c r="T254" s="1" t="s">
        <v>2502</v>
      </c>
      <c r="U254" s="1" t="s">
        <v>74</v>
      </c>
      <c r="V254" s="1" t="s">
        <v>2503</v>
      </c>
      <c r="W254" s="1" t="s">
        <v>74</v>
      </c>
      <c r="X254" s="1" t="s">
        <v>74</v>
      </c>
      <c r="Y254" s="1" t="s">
        <v>74</v>
      </c>
      <c r="Z254" s="1" t="s">
        <v>74</v>
      </c>
      <c r="AA254" s="1" t="s">
        <v>74</v>
      </c>
      <c r="AB254" s="1" t="s">
        <v>74</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299</v>
      </c>
      <c r="AP254" s="1" t="s">
        <v>300</v>
      </c>
      <c r="AQ254" s="1" t="s">
        <v>74</v>
      </c>
      <c r="AR254" s="1" t="s">
        <v>74</v>
      </c>
      <c r="AS254" s="1" t="s">
        <v>74</v>
      </c>
      <c r="AT254" s="1" t="s">
        <v>74</v>
      </c>
      <c r="AU254" s="1">
        <v>2026.0</v>
      </c>
      <c r="AV254" s="1">
        <v>86.0</v>
      </c>
      <c r="AW254" s="1">
        <v>1.0</v>
      </c>
      <c r="AX254" s="1" t="s">
        <v>74</v>
      </c>
      <c r="AY254" s="1" t="s">
        <v>74</v>
      </c>
      <c r="AZ254" s="1" t="s">
        <v>74</v>
      </c>
      <c r="BA254" s="1" t="s">
        <v>74</v>
      </c>
      <c r="BB254" s="1" t="s">
        <v>74</v>
      </c>
      <c r="BC254" s="1" t="s">
        <v>74</v>
      </c>
      <c r="BD254" s="1">
        <v>68225.0</v>
      </c>
      <c r="BE254" s="1" t="s">
        <v>2504</v>
      </c>
      <c r="BF254" s="2" t="str">
        <f>HYPERLINK("http://dx.doi.org/10.32604/cmc.2025.068225","http://dx.doi.org/10.32604/cmc.2025.068225")</f>
        <v>http://dx.doi.org/10.32604/cmc.2025.068225</v>
      </c>
      <c r="BG254" s="1" t="s">
        <v>74</v>
      </c>
      <c r="BH254" s="1" t="s">
        <v>74</v>
      </c>
      <c r="BI254" s="1" t="s">
        <v>74</v>
      </c>
      <c r="BJ254" s="1" t="s">
        <v>74</v>
      </c>
      <c r="BK254" s="1" t="s">
        <v>74</v>
      </c>
      <c r="BL254" s="1" t="s">
        <v>302</v>
      </c>
      <c r="BM254" s="1" t="s">
        <v>74</v>
      </c>
      <c r="BN254" s="1" t="s">
        <v>74</v>
      </c>
      <c r="BO254" s="1" t="s">
        <v>163</v>
      </c>
      <c r="BP254" s="1" t="s">
        <v>74</v>
      </c>
      <c r="BQ254" s="1" t="s">
        <v>74</v>
      </c>
      <c r="BR254" s="1" t="s">
        <v>74</v>
      </c>
      <c r="BS254" s="1" t="s">
        <v>2505</v>
      </c>
      <c r="BT254" s="1" t="str">
        <f>HYPERLINK("https%3A%2F%2Fwww.webofscience.com%2Fwos%2Fwoscc%2Ffull-record%2FWOS:001621370900001","View Full Record in Web of Science")</f>
        <v>View Full Record in Web of Science</v>
      </c>
    </row>
    <row r="255" ht="12.75" customHeight="1">
      <c r="A255" s="1" t="s">
        <v>72</v>
      </c>
      <c r="B255" s="1" t="s">
        <v>2506</v>
      </c>
      <c r="C255" s="1" t="s">
        <v>74</v>
      </c>
      <c r="D255" s="1" t="s">
        <v>74</v>
      </c>
      <c r="E255" s="1" t="s">
        <v>74</v>
      </c>
      <c r="F255" s="1" t="s">
        <v>2507</v>
      </c>
      <c r="G255" s="1" t="s">
        <v>74</v>
      </c>
      <c r="H255" s="1" t="s">
        <v>74</v>
      </c>
      <c r="I255" s="1" t="s">
        <v>2508</v>
      </c>
      <c r="J255" s="1" t="s">
        <v>2509</v>
      </c>
      <c r="K255" s="1" t="s">
        <v>74</v>
      </c>
      <c r="L255" s="1" t="s">
        <v>74</v>
      </c>
      <c r="M255" s="1" t="s">
        <v>74</v>
      </c>
      <c r="N255" s="1" t="s">
        <v>78</v>
      </c>
      <c r="O255" s="1" t="s">
        <v>74</v>
      </c>
      <c r="P255" s="1" t="s">
        <v>74</v>
      </c>
      <c r="Q255" s="1" t="s">
        <v>74</v>
      </c>
      <c r="R255" s="1" t="s">
        <v>74</v>
      </c>
      <c r="S255" s="1" t="s">
        <v>74</v>
      </c>
      <c r="T255" s="1" t="s">
        <v>2510</v>
      </c>
      <c r="U255" s="1" t="s">
        <v>74</v>
      </c>
      <c r="V255" s="1" t="s">
        <v>2511</v>
      </c>
      <c r="W255" s="1" t="s">
        <v>74</v>
      </c>
      <c r="X255" s="1" t="s">
        <v>74</v>
      </c>
      <c r="Y255" s="1" t="s">
        <v>74</v>
      </c>
      <c r="Z255" s="1" t="s">
        <v>74</v>
      </c>
      <c r="AA255" s="1" t="s">
        <v>74</v>
      </c>
      <c r="AB255" s="1" t="s">
        <v>74</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74</v>
      </c>
      <c r="AP255" s="1" t="s">
        <v>2512</v>
      </c>
      <c r="AQ255" s="1" t="s">
        <v>74</v>
      </c>
      <c r="AR255" s="1" t="s">
        <v>74</v>
      </c>
      <c r="AS255" s="1" t="s">
        <v>74</v>
      </c>
      <c r="AT255" s="1" t="s">
        <v>2513</v>
      </c>
      <c r="AU255" s="1">
        <v>2025.0</v>
      </c>
      <c r="AV255" s="1">
        <v>14.0</v>
      </c>
      <c r="AW255" s="1">
        <v>7.0</v>
      </c>
      <c r="AX255" s="1" t="s">
        <v>74</v>
      </c>
      <c r="AY255" s="1" t="s">
        <v>74</v>
      </c>
      <c r="AZ255" s="1" t="s">
        <v>74</v>
      </c>
      <c r="BA255" s="1" t="s">
        <v>74</v>
      </c>
      <c r="BB255" s="1" t="s">
        <v>74</v>
      </c>
      <c r="BC255" s="1" t="s">
        <v>74</v>
      </c>
      <c r="BD255" s="1">
        <v>256.0</v>
      </c>
      <c r="BE255" s="1" t="s">
        <v>2514</v>
      </c>
      <c r="BF255" s="2" t="str">
        <f>HYPERLINK("http://dx.doi.org/10.3390/ijgi14070256","http://dx.doi.org/10.3390/ijgi14070256")</f>
        <v>http://dx.doi.org/10.3390/ijgi14070256</v>
      </c>
      <c r="BG255" s="1" t="s">
        <v>74</v>
      </c>
      <c r="BH255" s="1" t="s">
        <v>74</v>
      </c>
      <c r="BI255" s="1" t="s">
        <v>74</v>
      </c>
      <c r="BJ255" s="1" t="s">
        <v>74</v>
      </c>
      <c r="BK255" s="1" t="s">
        <v>74</v>
      </c>
      <c r="BL255" s="1" t="s">
        <v>2515</v>
      </c>
      <c r="BM255" s="1" t="s">
        <v>74</v>
      </c>
      <c r="BN255" s="1" t="s">
        <v>74</v>
      </c>
      <c r="BO255" s="1" t="s">
        <v>163</v>
      </c>
      <c r="BP255" s="1" t="s">
        <v>74</v>
      </c>
      <c r="BQ255" s="1" t="s">
        <v>74</v>
      </c>
      <c r="BR255" s="1" t="s">
        <v>74</v>
      </c>
      <c r="BS255" s="1" t="s">
        <v>2516</v>
      </c>
      <c r="BT255" s="1" t="str">
        <f>HYPERLINK("https%3A%2F%2Fwww.webofscience.com%2Fwos%2Fwoscc%2Ffull-record%2FWOS:001535353600001","View Full Record in Web of Science")</f>
        <v>View Full Record in Web of Science</v>
      </c>
    </row>
    <row r="256" ht="12.75" customHeight="1">
      <c r="A256" s="1" t="s">
        <v>72</v>
      </c>
      <c r="B256" s="1" t="s">
        <v>2517</v>
      </c>
      <c r="C256" s="1" t="s">
        <v>74</v>
      </c>
      <c r="D256" s="1" t="s">
        <v>74</v>
      </c>
      <c r="E256" s="1" t="s">
        <v>74</v>
      </c>
      <c r="F256" s="1" t="s">
        <v>2518</v>
      </c>
      <c r="G256" s="1" t="s">
        <v>74</v>
      </c>
      <c r="H256" s="1" t="s">
        <v>74</v>
      </c>
      <c r="I256" s="1" t="s">
        <v>2519</v>
      </c>
      <c r="J256" s="1" t="s">
        <v>239</v>
      </c>
      <c r="K256" s="1" t="s">
        <v>74</v>
      </c>
      <c r="L256" s="1" t="s">
        <v>74</v>
      </c>
      <c r="M256" s="1" t="s">
        <v>74</v>
      </c>
      <c r="N256" s="1" t="s">
        <v>78</v>
      </c>
      <c r="O256" s="1" t="s">
        <v>74</v>
      </c>
      <c r="P256" s="1" t="s">
        <v>74</v>
      </c>
      <c r="Q256" s="1" t="s">
        <v>74</v>
      </c>
      <c r="R256" s="1" t="s">
        <v>74</v>
      </c>
      <c r="S256" s="1" t="s">
        <v>74</v>
      </c>
      <c r="T256" s="1" t="s">
        <v>2520</v>
      </c>
      <c r="U256" s="1" t="s">
        <v>2521</v>
      </c>
      <c r="V256" s="1" t="s">
        <v>2522</v>
      </c>
      <c r="W256" s="1" t="s">
        <v>74</v>
      </c>
      <c r="X256" s="1" t="s">
        <v>74</v>
      </c>
      <c r="Y256" s="1" t="s">
        <v>74</v>
      </c>
      <c r="Z256" s="1" t="s">
        <v>74</v>
      </c>
      <c r="AA256" s="1" t="s">
        <v>74</v>
      </c>
      <c r="AB256" s="1" t="s">
        <v>74</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242</v>
      </c>
      <c r="AP256" s="1" t="s">
        <v>74</v>
      </c>
      <c r="AQ256" s="1" t="s">
        <v>74</v>
      </c>
      <c r="AR256" s="1" t="s">
        <v>74</v>
      </c>
      <c r="AS256" s="1" t="s">
        <v>74</v>
      </c>
      <c r="AT256" s="1" t="s">
        <v>2463</v>
      </c>
      <c r="AU256" s="1">
        <v>2025.0</v>
      </c>
      <c r="AV256" s="1">
        <v>14.0</v>
      </c>
      <c r="AW256" s="1">
        <v>12.0</v>
      </c>
      <c r="AX256" s="1" t="s">
        <v>74</v>
      </c>
      <c r="AY256" s="1" t="s">
        <v>74</v>
      </c>
      <c r="AZ256" s="1" t="s">
        <v>74</v>
      </c>
      <c r="BA256" s="1" t="s">
        <v>74</v>
      </c>
      <c r="BB256" s="1" t="s">
        <v>74</v>
      </c>
      <c r="BC256" s="1" t="s">
        <v>74</v>
      </c>
      <c r="BD256" s="1">
        <v>2478.0</v>
      </c>
      <c r="BE256" s="1" t="s">
        <v>2523</v>
      </c>
      <c r="BF256" s="2" t="str">
        <f>HYPERLINK("http://dx.doi.org/10.3390/electronics14122478","http://dx.doi.org/10.3390/electronics14122478")</f>
        <v>http://dx.doi.org/10.3390/electronics14122478</v>
      </c>
      <c r="BG256" s="1" t="s">
        <v>74</v>
      </c>
      <c r="BH256" s="1" t="s">
        <v>74</v>
      </c>
      <c r="BI256" s="1" t="s">
        <v>74</v>
      </c>
      <c r="BJ256" s="1" t="s">
        <v>74</v>
      </c>
      <c r="BK256" s="1" t="s">
        <v>74</v>
      </c>
      <c r="BL256" s="1" t="s">
        <v>244</v>
      </c>
      <c r="BM256" s="1" t="s">
        <v>74</v>
      </c>
      <c r="BN256" s="1" t="s">
        <v>74</v>
      </c>
      <c r="BO256" s="1" t="s">
        <v>163</v>
      </c>
      <c r="BP256" s="1" t="s">
        <v>74</v>
      </c>
      <c r="BQ256" s="1" t="s">
        <v>74</v>
      </c>
      <c r="BR256" s="1" t="s">
        <v>74</v>
      </c>
      <c r="BS256" s="1" t="s">
        <v>2524</v>
      </c>
      <c r="BT256" s="1" t="str">
        <f>HYPERLINK("https%3A%2F%2Fwww.webofscience.com%2Fwos%2Fwoscc%2Ffull-record%2FWOS:001515491200001","View Full Record in Web of Science")</f>
        <v>View Full Record in Web of Science</v>
      </c>
    </row>
    <row r="257" ht="12.75" customHeight="1">
      <c r="A257" s="1" t="s">
        <v>72</v>
      </c>
      <c r="B257" s="1" t="s">
        <v>2525</v>
      </c>
      <c r="C257" s="1" t="s">
        <v>74</v>
      </c>
      <c r="D257" s="1" t="s">
        <v>74</v>
      </c>
      <c r="E257" s="1" t="s">
        <v>74</v>
      </c>
      <c r="F257" s="1" t="s">
        <v>2526</v>
      </c>
      <c r="G257" s="1" t="s">
        <v>74</v>
      </c>
      <c r="H257" s="1" t="s">
        <v>74</v>
      </c>
      <c r="I257" s="1" t="s">
        <v>2527</v>
      </c>
      <c r="J257" s="1" t="s">
        <v>2528</v>
      </c>
      <c r="K257" s="1" t="s">
        <v>74</v>
      </c>
      <c r="L257" s="1" t="s">
        <v>74</v>
      </c>
      <c r="M257" s="1" t="s">
        <v>74</v>
      </c>
      <c r="N257" s="1" t="s">
        <v>78</v>
      </c>
      <c r="O257" s="1" t="s">
        <v>74</v>
      </c>
      <c r="P257" s="1" t="s">
        <v>74</v>
      </c>
      <c r="Q257" s="1" t="s">
        <v>74</v>
      </c>
      <c r="R257" s="1" t="s">
        <v>74</v>
      </c>
      <c r="S257" s="1" t="s">
        <v>74</v>
      </c>
      <c r="T257" s="1" t="s">
        <v>2529</v>
      </c>
      <c r="U257" s="1" t="s">
        <v>74</v>
      </c>
      <c r="V257" s="1" t="s">
        <v>2530</v>
      </c>
      <c r="W257" s="1" t="s">
        <v>74</v>
      </c>
      <c r="X257" s="1" t="s">
        <v>74</v>
      </c>
      <c r="Y257" s="1" t="s">
        <v>74</v>
      </c>
      <c r="Z257" s="1" t="s">
        <v>74</v>
      </c>
      <c r="AA257" s="1" t="s">
        <v>74</v>
      </c>
      <c r="AB257" s="1" t="s">
        <v>74</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2531</v>
      </c>
      <c r="AP257" s="1" t="s">
        <v>2532</v>
      </c>
      <c r="AQ257" s="1" t="s">
        <v>74</v>
      </c>
      <c r="AR257" s="1" t="s">
        <v>74</v>
      </c>
      <c r="AS257" s="1" t="s">
        <v>74</v>
      </c>
      <c r="AT257" s="1" t="s">
        <v>357</v>
      </c>
      <c r="AU257" s="1">
        <v>2025.0</v>
      </c>
      <c r="AV257" s="1">
        <v>121.0</v>
      </c>
      <c r="AW257" s="1" t="s">
        <v>74</v>
      </c>
      <c r="AX257" s="1" t="s">
        <v>74</v>
      </c>
      <c r="AY257" s="1" t="s">
        <v>74</v>
      </c>
      <c r="AZ257" s="1" t="s">
        <v>74</v>
      </c>
      <c r="BA257" s="1" t="s">
        <v>74</v>
      </c>
      <c r="BB257" s="1" t="s">
        <v>74</v>
      </c>
      <c r="BC257" s="1" t="s">
        <v>74</v>
      </c>
      <c r="BD257" s="1">
        <v>102332.0</v>
      </c>
      <c r="BE257" s="1" t="s">
        <v>2533</v>
      </c>
      <c r="BF257" s="2" t="str">
        <f>HYPERLINK("http://dx.doi.org/10.1016/j.compenvurbsys.2025.102332","http://dx.doi.org/10.1016/j.compenvurbsys.2025.102332")</f>
        <v>http://dx.doi.org/10.1016/j.compenvurbsys.2025.102332</v>
      </c>
      <c r="BG257" s="1" t="s">
        <v>74</v>
      </c>
      <c r="BH257" s="1" t="s">
        <v>276</v>
      </c>
      <c r="BI257" s="1" t="s">
        <v>74</v>
      </c>
      <c r="BJ257" s="1" t="s">
        <v>74</v>
      </c>
      <c r="BK257" s="1" t="s">
        <v>74</v>
      </c>
      <c r="BL257" s="1" t="s">
        <v>2534</v>
      </c>
      <c r="BM257" s="1" t="s">
        <v>74</v>
      </c>
      <c r="BN257" s="1" t="s">
        <v>74</v>
      </c>
      <c r="BO257" s="1" t="s">
        <v>74</v>
      </c>
      <c r="BP257" s="1" t="s">
        <v>74</v>
      </c>
      <c r="BQ257" s="1" t="s">
        <v>74</v>
      </c>
      <c r="BR257" s="1" t="s">
        <v>74</v>
      </c>
      <c r="BS257" s="1" t="s">
        <v>2535</v>
      </c>
      <c r="BT257" s="1" t="str">
        <f>HYPERLINK("https%3A%2F%2Fwww.webofscience.com%2Fwos%2Fwoscc%2Ffull-record%2FWOS:001544850500001","View Full Record in Web of Science")</f>
        <v>View Full Record in Web of Science</v>
      </c>
    </row>
    <row r="258" ht="12.75" customHeight="1">
      <c r="A258" s="1" t="s">
        <v>72</v>
      </c>
      <c r="B258" s="1" t="s">
        <v>2536</v>
      </c>
      <c r="C258" s="1" t="s">
        <v>74</v>
      </c>
      <c r="D258" s="1" t="s">
        <v>74</v>
      </c>
      <c r="E258" s="1" t="s">
        <v>74</v>
      </c>
      <c r="F258" s="1" t="s">
        <v>2537</v>
      </c>
      <c r="G258" s="1" t="s">
        <v>74</v>
      </c>
      <c r="H258" s="1" t="s">
        <v>74</v>
      </c>
      <c r="I258" s="1" t="s">
        <v>2538</v>
      </c>
      <c r="J258" s="1" t="s">
        <v>431</v>
      </c>
      <c r="K258" s="1" t="s">
        <v>74</v>
      </c>
      <c r="L258" s="1" t="s">
        <v>74</v>
      </c>
      <c r="M258" s="1" t="s">
        <v>74</v>
      </c>
      <c r="N258" s="1" t="s">
        <v>158</v>
      </c>
      <c r="O258" s="1" t="s">
        <v>74</v>
      </c>
      <c r="P258" s="1" t="s">
        <v>74</v>
      </c>
      <c r="Q258" s="1" t="s">
        <v>74</v>
      </c>
      <c r="R258" s="1" t="s">
        <v>74</v>
      </c>
      <c r="S258" s="1" t="s">
        <v>74</v>
      </c>
      <c r="T258" s="1" t="s">
        <v>2539</v>
      </c>
      <c r="U258" s="1" t="s">
        <v>2540</v>
      </c>
      <c r="V258" s="1" t="s">
        <v>2541</v>
      </c>
      <c r="W258" s="1" t="s">
        <v>74</v>
      </c>
      <c r="X258" s="1" t="s">
        <v>74</v>
      </c>
      <c r="Y258" s="1" t="s">
        <v>74</v>
      </c>
      <c r="Z258" s="1" t="s">
        <v>74</v>
      </c>
      <c r="AA258" s="1" t="s">
        <v>74</v>
      </c>
      <c r="AB258" s="1" t="s">
        <v>74</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74</v>
      </c>
      <c r="AP258" s="1" t="s">
        <v>434</v>
      </c>
      <c r="AQ258" s="1" t="s">
        <v>74</v>
      </c>
      <c r="AR258" s="1" t="s">
        <v>74</v>
      </c>
      <c r="AS258" s="1" t="s">
        <v>74</v>
      </c>
      <c r="AT258" s="1" t="s">
        <v>2542</v>
      </c>
      <c r="AU258" s="1">
        <v>2025.0</v>
      </c>
      <c r="AV258" s="1">
        <v>7.0</v>
      </c>
      <c r="AW258" s="1" t="s">
        <v>74</v>
      </c>
      <c r="AX258" s="1" t="s">
        <v>74</v>
      </c>
      <c r="AY258" s="1" t="s">
        <v>74</v>
      </c>
      <c r="AZ258" s="1" t="s">
        <v>74</v>
      </c>
      <c r="BA258" s="1" t="s">
        <v>74</v>
      </c>
      <c r="BB258" s="1" t="s">
        <v>74</v>
      </c>
      <c r="BC258" s="1" t="s">
        <v>74</v>
      </c>
      <c r="BD258" s="1">
        <v>1538277.0</v>
      </c>
      <c r="BE258" s="1" t="s">
        <v>2543</v>
      </c>
      <c r="BF258" s="2" t="str">
        <f>HYPERLINK("http://dx.doi.org/10.3389/fcomp.2025.1538277","http://dx.doi.org/10.3389/fcomp.2025.1538277")</f>
        <v>http://dx.doi.org/10.3389/fcomp.2025.1538277</v>
      </c>
      <c r="BG258" s="1" t="s">
        <v>74</v>
      </c>
      <c r="BH258" s="1" t="s">
        <v>74</v>
      </c>
      <c r="BI258" s="1" t="s">
        <v>74</v>
      </c>
      <c r="BJ258" s="1" t="s">
        <v>74</v>
      </c>
      <c r="BK258" s="1" t="s">
        <v>74</v>
      </c>
      <c r="BL258" s="1" t="s">
        <v>174</v>
      </c>
      <c r="BM258" s="1" t="s">
        <v>74</v>
      </c>
      <c r="BN258" s="1" t="s">
        <v>74</v>
      </c>
      <c r="BO258" s="1" t="s">
        <v>163</v>
      </c>
      <c r="BP258" s="1" t="s">
        <v>74</v>
      </c>
      <c r="BQ258" s="1" t="s">
        <v>74</v>
      </c>
      <c r="BR258" s="1" t="s">
        <v>74</v>
      </c>
      <c r="BS258" s="1" t="s">
        <v>2544</v>
      </c>
      <c r="BT258" s="1" t="str">
        <f>HYPERLINK("https%3A%2F%2Fwww.webofscience.com%2Fwos%2Fwoscc%2Ffull-record%2FWOS:001497179600001","View Full Record in Web of Science")</f>
        <v>View Full Record in Web of Science</v>
      </c>
    </row>
    <row r="259" ht="12.75" customHeight="1">
      <c r="A259" s="1" t="s">
        <v>72</v>
      </c>
      <c r="B259" s="1" t="s">
        <v>2545</v>
      </c>
      <c r="C259" s="1" t="s">
        <v>74</v>
      </c>
      <c r="D259" s="1" t="s">
        <v>74</v>
      </c>
      <c r="E259" s="1" t="s">
        <v>74</v>
      </c>
      <c r="F259" s="1" t="s">
        <v>2546</v>
      </c>
      <c r="G259" s="1" t="s">
        <v>74</v>
      </c>
      <c r="H259" s="1" t="s">
        <v>74</v>
      </c>
      <c r="I259" s="1" t="s">
        <v>2547</v>
      </c>
      <c r="J259" s="1" t="s">
        <v>1813</v>
      </c>
      <c r="K259" s="1" t="s">
        <v>74</v>
      </c>
      <c r="L259" s="1" t="s">
        <v>74</v>
      </c>
      <c r="M259" s="1" t="s">
        <v>74</v>
      </c>
      <c r="N259" s="1" t="s">
        <v>78</v>
      </c>
      <c r="O259" s="1" t="s">
        <v>74</v>
      </c>
      <c r="P259" s="1" t="s">
        <v>74</v>
      </c>
      <c r="Q259" s="1" t="s">
        <v>74</v>
      </c>
      <c r="R259" s="1" t="s">
        <v>74</v>
      </c>
      <c r="S259" s="1" t="s">
        <v>74</v>
      </c>
      <c r="T259" s="1" t="s">
        <v>2548</v>
      </c>
      <c r="U259" s="1" t="s">
        <v>74</v>
      </c>
      <c r="V259" s="1" t="s">
        <v>2549</v>
      </c>
      <c r="W259" s="1" t="s">
        <v>74</v>
      </c>
      <c r="X259" s="1" t="s">
        <v>74</v>
      </c>
      <c r="Y259" s="1" t="s">
        <v>74</v>
      </c>
      <c r="Z259" s="1" t="s">
        <v>74</v>
      </c>
      <c r="AA259" s="1" t="s">
        <v>74</v>
      </c>
      <c r="AB259" s="1" t="s">
        <v>74</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74</v>
      </c>
      <c r="AP259" s="1" t="s">
        <v>1816</v>
      </c>
      <c r="AQ259" s="1" t="s">
        <v>74</v>
      </c>
      <c r="AR259" s="1" t="s">
        <v>74</v>
      </c>
      <c r="AS259" s="1" t="s">
        <v>74</v>
      </c>
      <c r="AT259" s="1" t="s">
        <v>200</v>
      </c>
      <c r="AU259" s="1">
        <v>2024.0</v>
      </c>
      <c r="AV259" s="1">
        <v>6.0</v>
      </c>
      <c r="AW259" s="1">
        <v>4.0</v>
      </c>
      <c r="AX259" s="1" t="s">
        <v>74</v>
      </c>
      <c r="AY259" s="1" t="s">
        <v>74</v>
      </c>
      <c r="AZ259" s="1" t="s">
        <v>74</v>
      </c>
      <c r="BA259" s="1" t="s">
        <v>74</v>
      </c>
      <c r="BB259" s="1">
        <v>2738.0</v>
      </c>
      <c r="BC259" s="1">
        <v>2752.0</v>
      </c>
      <c r="BD259" s="1" t="s">
        <v>74</v>
      </c>
      <c r="BE259" s="1" t="s">
        <v>2550</v>
      </c>
      <c r="BF259" s="2" t="str">
        <f>HYPERLINK("http://dx.doi.org/10.3390/make6040131","http://dx.doi.org/10.3390/make6040131")</f>
        <v>http://dx.doi.org/10.3390/make6040131</v>
      </c>
      <c r="BG259" s="1" t="s">
        <v>74</v>
      </c>
      <c r="BH259" s="1" t="s">
        <v>74</v>
      </c>
      <c r="BI259" s="1" t="s">
        <v>74</v>
      </c>
      <c r="BJ259" s="1" t="s">
        <v>74</v>
      </c>
      <c r="BK259" s="1" t="s">
        <v>74</v>
      </c>
      <c r="BL259" s="1" t="s">
        <v>98</v>
      </c>
      <c r="BM259" s="1" t="s">
        <v>74</v>
      </c>
      <c r="BN259" s="1" t="s">
        <v>74</v>
      </c>
      <c r="BO259" s="1" t="s">
        <v>163</v>
      </c>
      <c r="BP259" s="1" t="s">
        <v>74</v>
      </c>
      <c r="BQ259" s="1" t="s">
        <v>74</v>
      </c>
      <c r="BR259" s="1" t="s">
        <v>74</v>
      </c>
      <c r="BS259" s="1" t="s">
        <v>2551</v>
      </c>
      <c r="BT259" s="1" t="str">
        <f>HYPERLINK("https%3A%2F%2Fwww.webofscience.com%2Fwos%2Fwoscc%2Ffull-record%2FWOS:001384634900001","View Full Record in Web of Science")</f>
        <v>View Full Record in Web of Science</v>
      </c>
    </row>
    <row r="260" ht="12.75" customHeight="1">
      <c r="A260" s="1" t="s">
        <v>72</v>
      </c>
      <c r="B260" s="1" t="s">
        <v>2552</v>
      </c>
      <c r="C260" s="1" t="s">
        <v>74</v>
      </c>
      <c r="D260" s="1" t="s">
        <v>74</v>
      </c>
      <c r="E260" s="1" t="s">
        <v>74</v>
      </c>
      <c r="F260" s="1" t="s">
        <v>2553</v>
      </c>
      <c r="G260" s="1" t="s">
        <v>74</v>
      </c>
      <c r="H260" s="1" t="s">
        <v>74</v>
      </c>
      <c r="I260" s="1" t="s">
        <v>2554</v>
      </c>
      <c r="J260" s="1" t="s">
        <v>147</v>
      </c>
      <c r="K260" s="1" t="s">
        <v>74</v>
      </c>
      <c r="L260" s="1" t="s">
        <v>74</v>
      </c>
      <c r="M260" s="1" t="s">
        <v>74</v>
      </c>
      <c r="N260" s="1" t="s">
        <v>78</v>
      </c>
      <c r="O260" s="1" t="s">
        <v>74</v>
      </c>
      <c r="P260" s="1" t="s">
        <v>74</v>
      </c>
      <c r="Q260" s="1" t="s">
        <v>74</v>
      </c>
      <c r="R260" s="1" t="s">
        <v>74</v>
      </c>
      <c r="S260" s="1" t="s">
        <v>74</v>
      </c>
      <c r="T260" s="1" t="s">
        <v>2555</v>
      </c>
      <c r="U260" s="1" t="s">
        <v>74</v>
      </c>
      <c r="V260" s="1" t="s">
        <v>2556</v>
      </c>
      <c r="W260" s="1" t="s">
        <v>74</v>
      </c>
      <c r="X260" s="1" t="s">
        <v>74</v>
      </c>
      <c r="Y260" s="1" t="s">
        <v>74</v>
      </c>
      <c r="Z260" s="1" t="s">
        <v>74</v>
      </c>
      <c r="AA260" s="1" t="s">
        <v>74</v>
      </c>
      <c r="AB260" s="1" t="s">
        <v>74</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150</v>
      </c>
      <c r="AP260" s="1" t="s">
        <v>74</v>
      </c>
      <c r="AQ260" s="1" t="s">
        <v>74</v>
      </c>
      <c r="AR260" s="1" t="s">
        <v>74</v>
      </c>
      <c r="AS260" s="1" t="s">
        <v>74</v>
      </c>
      <c r="AT260" s="1" t="s">
        <v>74</v>
      </c>
      <c r="AU260" s="1">
        <v>2025.0</v>
      </c>
      <c r="AV260" s="1">
        <v>13.0</v>
      </c>
      <c r="AW260" s="1" t="s">
        <v>74</v>
      </c>
      <c r="AX260" s="1" t="s">
        <v>74</v>
      </c>
      <c r="AY260" s="1" t="s">
        <v>74</v>
      </c>
      <c r="AZ260" s="1" t="s">
        <v>74</v>
      </c>
      <c r="BA260" s="1" t="s">
        <v>74</v>
      </c>
      <c r="BB260" s="1">
        <v>173600.0</v>
      </c>
      <c r="BC260" s="1">
        <v>173613.0</v>
      </c>
      <c r="BD260" s="1" t="s">
        <v>74</v>
      </c>
      <c r="BE260" s="1" t="s">
        <v>2557</v>
      </c>
      <c r="BF260" s="2" t="str">
        <f>HYPERLINK("http://dx.doi.org/10.1109/ACCESS.2025.3618094","http://dx.doi.org/10.1109/ACCESS.2025.3618094")</f>
        <v>http://dx.doi.org/10.1109/ACCESS.2025.3618094</v>
      </c>
      <c r="BG260" s="1" t="s">
        <v>74</v>
      </c>
      <c r="BH260" s="1" t="s">
        <v>74</v>
      </c>
      <c r="BI260" s="1" t="s">
        <v>74</v>
      </c>
      <c r="BJ260" s="1" t="s">
        <v>74</v>
      </c>
      <c r="BK260" s="1" t="s">
        <v>74</v>
      </c>
      <c r="BL260" s="1" t="s">
        <v>152</v>
      </c>
      <c r="BM260" s="1" t="s">
        <v>74</v>
      </c>
      <c r="BN260" s="1" t="s">
        <v>74</v>
      </c>
      <c r="BO260" s="1" t="s">
        <v>153</v>
      </c>
      <c r="BP260" s="1" t="s">
        <v>74</v>
      </c>
      <c r="BQ260" s="1" t="s">
        <v>74</v>
      </c>
      <c r="BR260" s="1" t="s">
        <v>74</v>
      </c>
      <c r="BS260" s="1" t="s">
        <v>2558</v>
      </c>
      <c r="BT260" s="1" t="str">
        <f>HYPERLINK("https%3A%2F%2Fwww.webofscience.com%2Fwos%2Fwoscc%2Ffull-record%2FWOS:001591695900018","View Full Record in Web of Science")</f>
        <v>View Full Record in Web of Science</v>
      </c>
    </row>
    <row r="261" ht="12.75" customHeight="1">
      <c r="A261" s="1" t="s">
        <v>72</v>
      </c>
      <c r="B261" s="1" t="s">
        <v>2559</v>
      </c>
      <c r="C261" s="1" t="s">
        <v>74</v>
      </c>
      <c r="D261" s="1" t="s">
        <v>74</v>
      </c>
      <c r="E261" s="1" t="s">
        <v>74</v>
      </c>
      <c r="F261" s="1" t="s">
        <v>2560</v>
      </c>
      <c r="G261" s="1" t="s">
        <v>74</v>
      </c>
      <c r="H261" s="1" t="s">
        <v>74</v>
      </c>
      <c r="I261" s="1" t="s">
        <v>2561</v>
      </c>
      <c r="J261" s="1" t="s">
        <v>2562</v>
      </c>
      <c r="K261" s="1" t="s">
        <v>74</v>
      </c>
      <c r="L261" s="1" t="s">
        <v>74</v>
      </c>
      <c r="M261" s="1" t="s">
        <v>74</v>
      </c>
      <c r="N261" s="1" t="s">
        <v>78</v>
      </c>
      <c r="O261" s="1" t="s">
        <v>74</v>
      </c>
      <c r="P261" s="1" t="s">
        <v>74</v>
      </c>
      <c r="Q261" s="1" t="s">
        <v>74</v>
      </c>
      <c r="R261" s="1" t="s">
        <v>74</v>
      </c>
      <c r="S261" s="1" t="s">
        <v>74</v>
      </c>
      <c r="T261" s="1" t="s">
        <v>2563</v>
      </c>
      <c r="U261" s="1" t="s">
        <v>2564</v>
      </c>
      <c r="V261" s="1" t="s">
        <v>2565</v>
      </c>
      <c r="W261" s="1" t="s">
        <v>74</v>
      </c>
      <c r="X261" s="1" t="s">
        <v>74</v>
      </c>
      <c r="Y261" s="1" t="s">
        <v>74</v>
      </c>
      <c r="Z261" s="1" t="s">
        <v>74</v>
      </c>
      <c r="AA261" s="1" t="s">
        <v>74</v>
      </c>
      <c r="AB261" s="1" t="s">
        <v>74</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2566</v>
      </c>
      <c r="AP261" s="1" t="s">
        <v>74</v>
      </c>
      <c r="AQ261" s="1" t="s">
        <v>74</v>
      </c>
      <c r="AR261" s="1" t="s">
        <v>74</v>
      </c>
      <c r="AS261" s="1" t="s">
        <v>74</v>
      </c>
      <c r="AT261" s="1" t="s">
        <v>357</v>
      </c>
      <c r="AU261" s="1">
        <v>2025.0</v>
      </c>
      <c r="AV261" s="1">
        <v>15.0</v>
      </c>
      <c r="AW261" s="1">
        <v>4.0</v>
      </c>
      <c r="AX261" s="1" t="s">
        <v>74</v>
      </c>
      <c r="AY261" s="1" t="s">
        <v>74</v>
      </c>
      <c r="AZ261" s="1" t="s">
        <v>74</v>
      </c>
      <c r="BA261" s="1" t="s">
        <v>74</v>
      </c>
      <c r="BB261" s="1" t="s">
        <v>74</v>
      </c>
      <c r="BC261" s="1" t="s">
        <v>74</v>
      </c>
      <c r="BD261" s="1">
        <v>2.1582440251380136E16</v>
      </c>
      <c r="BE261" s="1" t="s">
        <v>2567</v>
      </c>
      <c r="BF261" s="2" t="str">
        <f>HYPERLINK("http://dx.doi.org/10.1177/21582440251380135","http://dx.doi.org/10.1177/21582440251380135")</f>
        <v>http://dx.doi.org/10.1177/21582440251380135</v>
      </c>
      <c r="BG261" s="1" t="s">
        <v>74</v>
      </c>
      <c r="BH261" s="1" t="s">
        <v>74</v>
      </c>
      <c r="BI261" s="1" t="s">
        <v>74</v>
      </c>
      <c r="BJ261" s="1" t="s">
        <v>74</v>
      </c>
      <c r="BK261" s="1" t="s">
        <v>74</v>
      </c>
      <c r="BL261" s="1" t="s">
        <v>615</v>
      </c>
      <c r="BM261" s="1" t="s">
        <v>74</v>
      </c>
      <c r="BN261" s="1" t="s">
        <v>74</v>
      </c>
      <c r="BO261" s="1" t="s">
        <v>163</v>
      </c>
      <c r="BP261" s="1" t="s">
        <v>74</v>
      </c>
      <c r="BQ261" s="1" t="s">
        <v>74</v>
      </c>
      <c r="BR261" s="1" t="s">
        <v>74</v>
      </c>
      <c r="BS261" s="1" t="s">
        <v>2568</v>
      </c>
      <c r="BT261" s="1" t="str">
        <f>HYPERLINK("https%3A%2F%2Fwww.webofscience.com%2Fwos%2Fwoscc%2Ffull-record%2FWOS:001589315300001","View Full Record in Web of Science")</f>
        <v>View Full Record in Web of Science</v>
      </c>
    </row>
    <row r="262" ht="12.75" customHeight="1">
      <c r="A262" s="1" t="s">
        <v>72</v>
      </c>
      <c r="B262" s="1" t="s">
        <v>2569</v>
      </c>
      <c r="C262" s="1" t="s">
        <v>74</v>
      </c>
      <c r="D262" s="1" t="s">
        <v>74</v>
      </c>
      <c r="E262" s="1" t="s">
        <v>74</v>
      </c>
      <c r="F262" s="1" t="s">
        <v>2570</v>
      </c>
      <c r="G262" s="1" t="s">
        <v>74</v>
      </c>
      <c r="H262" s="1" t="s">
        <v>74</v>
      </c>
      <c r="I262" s="1" t="s">
        <v>2571</v>
      </c>
      <c r="J262" s="1" t="s">
        <v>2572</v>
      </c>
      <c r="K262" s="1" t="s">
        <v>74</v>
      </c>
      <c r="L262" s="1" t="s">
        <v>74</v>
      </c>
      <c r="M262" s="1" t="s">
        <v>74</v>
      </c>
      <c r="N262" s="1" t="s">
        <v>78</v>
      </c>
      <c r="O262" s="1" t="s">
        <v>74</v>
      </c>
      <c r="P262" s="1" t="s">
        <v>74</v>
      </c>
      <c r="Q262" s="1" t="s">
        <v>74</v>
      </c>
      <c r="R262" s="1" t="s">
        <v>74</v>
      </c>
      <c r="S262" s="1" t="s">
        <v>74</v>
      </c>
      <c r="T262" s="1" t="s">
        <v>2573</v>
      </c>
      <c r="U262" s="1" t="s">
        <v>818</v>
      </c>
      <c r="V262" s="1" t="s">
        <v>2574</v>
      </c>
      <c r="W262" s="1" t="s">
        <v>74</v>
      </c>
      <c r="X262" s="1" t="s">
        <v>74</v>
      </c>
      <c r="Y262" s="1" t="s">
        <v>74</v>
      </c>
      <c r="Z262" s="1" t="s">
        <v>74</v>
      </c>
      <c r="AA262" s="1" t="s">
        <v>74</v>
      </c>
      <c r="AB262" s="1" t="s">
        <v>74</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2575</v>
      </c>
      <c r="AP262" s="1" t="s">
        <v>74</v>
      </c>
      <c r="AQ262" s="1" t="s">
        <v>74</v>
      </c>
      <c r="AR262" s="1" t="s">
        <v>74</v>
      </c>
      <c r="AS262" s="1" t="s">
        <v>74</v>
      </c>
      <c r="AT262" s="1" t="s">
        <v>1650</v>
      </c>
      <c r="AU262" s="1">
        <v>2025.0</v>
      </c>
      <c r="AV262" s="1">
        <v>12.0</v>
      </c>
      <c r="AW262" s="1">
        <v>14.0</v>
      </c>
      <c r="AX262" s="1" t="s">
        <v>74</v>
      </c>
      <c r="AY262" s="1" t="s">
        <v>74</v>
      </c>
      <c r="AZ262" s="1" t="s">
        <v>74</v>
      </c>
      <c r="BA262" s="1" t="s">
        <v>74</v>
      </c>
      <c r="BB262" s="1">
        <v>28639.0</v>
      </c>
      <c r="BC262" s="1">
        <v>28646.0</v>
      </c>
      <c r="BD262" s="1" t="s">
        <v>74</v>
      </c>
      <c r="BE262" s="1" t="s">
        <v>2576</v>
      </c>
      <c r="BF262" s="2" t="str">
        <f>HYPERLINK("http://dx.doi.org/10.1109/JIOT.2025.3567634","http://dx.doi.org/10.1109/JIOT.2025.3567634")</f>
        <v>http://dx.doi.org/10.1109/JIOT.2025.3567634</v>
      </c>
      <c r="BG262" s="1" t="s">
        <v>74</v>
      </c>
      <c r="BH262" s="1" t="s">
        <v>74</v>
      </c>
      <c r="BI262" s="1" t="s">
        <v>74</v>
      </c>
      <c r="BJ262" s="1" t="s">
        <v>74</v>
      </c>
      <c r="BK262" s="1" t="s">
        <v>74</v>
      </c>
      <c r="BL262" s="1" t="s">
        <v>152</v>
      </c>
      <c r="BM262" s="1" t="s">
        <v>74</v>
      </c>
      <c r="BN262" s="1" t="s">
        <v>74</v>
      </c>
      <c r="BO262" s="1" t="s">
        <v>74</v>
      </c>
      <c r="BP262" s="1" t="s">
        <v>74</v>
      </c>
      <c r="BQ262" s="1" t="s">
        <v>74</v>
      </c>
      <c r="BR262" s="1" t="s">
        <v>74</v>
      </c>
      <c r="BS262" s="1" t="s">
        <v>2577</v>
      </c>
      <c r="BT262" s="1" t="str">
        <f>HYPERLINK("https%3A%2F%2Fwww.webofscience.com%2Fwos%2Fwoscc%2Ffull-record%2FWOS:001525552000026","View Full Record in Web of Science")</f>
        <v>View Full Record in Web of Science</v>
      </c>
    </row>
    <row r="263" ht="12.75" customHeight="1">
      <c r="A263" s="1" t="s">
        <v>72</v>
      </c>
      <c r="B263" s="1" t="s">
        <v>2578</v>
      </c>
      <c r="C263" s="1" t="s">
        <v>74</v>
      </c>
      <c r="D263" s="1" t="s">
        <v>74</v>
      </c>
      <c r="E263" s="1" t="s">
        <v>74</v>
      </c>
      <c r="F263" s="1" t="s">
        <v>2579</v>
      </c>
      <c r="G263" s="1" t="s">
        <v>74</v>
      </c>
      <c r="H263" s="1" t="s">
        <v>74</v>
      </c>
      <c r="I263" s="1" t="s">
        <v>2580</v>
      </c>
      <c r="J263" s="1" t="s">
        <v>2581</v>
      </c>
      <c r="K263" s="1" t="s">
        <v>74</v>
      </c>
      <c r="L263" s="1" t="s">
        <v>74</v>
      </c>
      <c r="M263" s="1" t="s">
        <v>74</v>
      </c>
      <c r="N263" s="1" t="s">
        <v>78</v>
      </c>
      <c r="O263" s="1" t="s">
        <v>74</v>
      </c>
      <c r="P263" s="1" t="s">
        <v>74</v>
      </c>
      <c r="Q263" s="1" t="s">
        <v>74</v>
      </c>
      <c r="R263" s="1" t="s">
        <v>74</v>
      </c>
      <c r="S263" s="1" t="s">
        <v>74</v>
      </c>
      <c r="T263" s="1" t="s">
        <v>2582</v>
      </c>
      <c r="U263" s="1" t="s">
        <v>2583</v>
      </c>
      <c r="V263" s="1" t="s">
        <v>2584</v>
      </c>
      <c r="W263" s="1" t="s">
        <v>74</v>
      </c>
      <c r="X263" s="1" t="s">
        <v>74</v>
      </c>
      <c r="Y263" s="1" t="s">
        <v>74</v>
      </c>
      <c r="Z263" s="1" t="s">
        <v>74</v>
      </c>
      <c r="AA263" s="1" t="s">
        <v>74</v>
      </c>
      <c r="AB263" s="1" t="s">
        <v>74</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2585</v>
      </c>
      <c r="AP263" s="1" t="s">
        <v>2586</v>
      </c>
      <c r="AQ263" s="1" t="s">
        <v>74</v>
      </c>
      <c r="AR263" s="1" t="s">
        <v>74</v>
      </c>
      <c r="AS263" s="1" t="s">
        <v>74</v>
      </c>
      <c r="AT263" s="1" t="s">
        <v>124</v>
      </c>
      <c r="AU263" s="1">
        <v>2024.0</v>
      </c>
      <c r="AV263" s="1">
        <v>32.0</v>
      </c>
      <c r="AW263" s="1">
        <v>2.0</v>
      </c>
      <c r="AX263" s="1" t="s">
        <v>74</v>
      </c>
      <c r="AY263" s="1" t="s">
        <v>74</v>
      </c>
      <c r="AZ263" s="1" t="s">
        <v>74</v>
      </c>
      <c r="BA263" s="1" t="s">
        <v>74</v>
      </c>
      <c r="BB263" s="1">
        <v>1509.0</v>
      </c>
      <c r="BC263" s="1">
        <v>1523.0</v>
      </c>
      <c r="BD263" s="1" t="s">
        <v>74</v>
      </c>
      <c r="BE263" s="1" t="s">
        <v>2587</v>
      </c>
      <c r="BF263" s="2" t="str">
        <f>HYPERLINK("http://dx.doi.org/10.1109/TNET.2023.3321967","http://dx.doi.org/10.1109/TNET.2023.3321967")</f>
        <v>http://dx.doi.org/10.1109/TNET.2023.3321967</v>
      </c>
      <c r="BG263" s="1" t="s">
        <v>74</v>
      </c>
      <c r="BH263" s="1" t="s">
        <v>360</v>
      </c>
      <c r="BI263" s="1" t="s">
        <v>74</v>
      </c>
      <c r="BJ263" s="1" t="s">
        <v>74</v>
      </c>
      <c r="BK263" s="1" t="s">
        <v>74</v>
      </c>
      <c r="BL263" s="1" t="s">
        <v>152</v>
      </c>
      <c r="BM263" s="1" t="s">
        <v>74</v>
      </c>
      <c r="BN263" s="1" t="s">
        <v>74</v>
      </c>
      <c r="BO263" s="1" t="s">
        <v>74</v>
      </c>
      <c r="BP263" s="1" t="s">
        <v>74</v>
      </c>
      <c r="BQ263" s="1" t="s">
        <v>74</v>
      </c>
      <c r="BR263" s="1" t="s">
        <v>74</v>
      </c>
      <c r="BS263" s="1" t="s">
        <v>2588</v>
      </c>
      <c r="BT263" s="1" t="str">
        <f>HYPERLINK("https%3A%2F%2Fwww.webofscience.com%2Fwos%2Fwoscc%2Ffull-record%2FWOS:001088315700002","View Full Record in Web of Science")</f>
        <v>View Full Record in Web of Science</v>
      </c>
    </row>
    <row r="264" ht="12.75" customHeight="1">
      <c r="A264" s="1" t="s">
        <v>72</v>
      </c>
      <c r="B264" s="1" t="s">
        <v>2589</v>
      </c>
      <c r="C264" s="1" t="s">
        <v>74</v>
      </c>
      <c r="D264" s="1" t="s">
        <v>74</v>
      </c>
      <c r="E264" s="1" t="s">
        <v>74</v>
      </c>
      <c r="F264" s="1" t="s">
        <v>2590</v>
      </c>
      <c r="G264" s="1" t="s">
        <v>74</v>
      </c>
      <c r="H264" s="1" t="s">
        <v>74</v>
      </c>
      <c r="I264" s="1" t="s">
        <v>2591</v>
      </c>
      <c r="J264" s="1" t="s">
        <v>420</v>
      </c>
      <c r="K264" s="1" t="s">
        <v>74</v>
      </c>
      <c r="L264" s="1" t="s">
        <v>74</v>
      </c>
      <c r="M264" s="1" t="s">
        <v>74</v>
      </c>
      <c r="N264" s="1" t="s">
        <v>78</v>
      </c>
      <c r="O264" s="1" t="s">
        <v>74</v>
      </c>
      <c r="P264" s="1" t="s">
        <v>74</v>
      </c>
      <c r="Q264" s="1" t="s">
        <v>74</v>
      </c>
      <c r="R264" s="1" t="s">
        <v>74</v>
      </c>
      <c r="S264" s="1" t="s">
        <v>74</v>
      </c>
      <c r="T264" s="1" t="s">
        <v>2592</v>
      </c>
      <c r="U264" s="1" t="s">
        <v>2593</v>
      </c>
      <c r="V264" s="1" t="s">
        <v>2594</v>
      </c>
      <c r="W264" s="1" t="s">
        <v>74</v>
      </c>
      <c r="X264" s="1" t="s">
        <v>74</v>
      </c>
      <c r="Y264" s="1" t="s">
        <v>74</v>
      </c>
      <c r="Z264" s="1" t="s">
        <v>74</v>
      </c>
      <c r="AA264" s="1" t="s">
        <v>74</v>
      </c>
      <c r="AB264" s="1" t="s">
        <v>74</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423</v>
      </c>
      <c r="AP264" s="1" t="s">
        <v>424</v>
      </c>
      <c r="AQ264" s="1" t="s">
        <v>74</v>
      </c>
      <c r="AR264" s="1" t="s">
        <v>74</v>
      </c>
      <c r="AS264" s="1" t="s">
        <v>74</v>
      </c>
      <c r="AT264" s="1" t="s">
        <v>736</v>
      </c>
      <c r="AU264" s="1">
        <v>2024.0</v>
      </c>
      <c r="AV264" s="1">
        <v>9.0</v>
      </c>
      <c r="AW264" s="1">
        <v>1.0</v>
      </c>
      <c r="AX264" s="1" t="s">
        <v>74</v>
      </c>
      <c r="AY264" s="1" t="s">
        <v>74</v>
      </c>
      <c r="AZ264" s="1" t="s">
        <v>74</v>
      </c>
      <c r="BA264" s="1" t="s">
        <v>74</v>
      </c>
      <c r="BB264" s="1">
        <v>1450.0</v>
      </c>
      <c r="BC264" s="1">
        <v>1464.0</v>
      </c>
      <c r="BD264" s="1" t="s">
        <v>74</v>
      </c>
      <c r="BE264" s="1" t="s">
        <v>2595</v>
      </c>
      <c r="BF264" s="2" t="str">
        <f>HYPERLINK("http://dx.doi.org/10.1109/TIV.2023.3327715","http://dx.doi.org/10.1109/TIV.2023.3327715")</f>
        <v>http://dx.doi.org/10.1109/TIV.2023.3327715</v>
      </c>
      <c r="BG264" s="1" t="s">
        <v>74</v>
      </c>
      <c r="BH264" s="1" t="s">
        <v>74</v>
      </c>
      <c r="BI264" s="1" t="s">
        <v>74</v>
      </c>
      <c r="BJ264" s="1" t="s">
        <v>74</v>
      </c>
      <c r="BK264" s="1" t="s">
        <v>74</v>
      </c>
      <c r="BL264" s="1" t="s">
        <v>426</v>
      </c>
      <c r="BM264" s="1" t="s">
        <v>74</v>
      </c>
      <c r="BN264" s="1" t="s">
        <v>74</v>
      </c>
      <c r="BO264" s="1" t="s">
        <v>74</v>
      </c>
      <c r="BP264" s="1" t="s">
        <v>74</v>
      </c>
      <c r="BQ264" s="1" t="s">
        <v>74</v>
      </c>
      <c r="BR264" s="1" t="s">
        <v>74</v>
      </c>
      <c r="BS264" s="1" t="s">
        <v>2596</v>
      </c>
      <c r="BT264" s="1" t="str">
        <f>HYPERLINK("https%3A%2F%2Fwww.webofscience.com%2Fwos%2Fwoscc%2Ffull-record%2FWOS:001173317800124","View Full Record in Web of Science")</f>
        <v>View Full Record in Web of Science</v>
      </c>
    </row>
    <row r="265" ht="12.75" customHeight="1">
      <c r="A265" s="1" t="s">
        <v>72</v>
      </c>
      <c r="B265" s="1" t="s">
        <v>2597</v>
      </c>
      <c r="C265" s="1" t="s">
        <v>74</v>
      </c>
      <c r="D265" s="1" t="s">
        <v>74</v>
      </c>
      <c r="E265" s="1" t="s">
        <v>74</v>
      </c>
      <c r="F265" s="1" t="s">
        <v>2598</v>
      </c>
      <c r="G265" s="1" t="s">
        <v>74</v>
      </c>
      <c r="H265" s="1" t="s">
        <v>74</v>
      </c>
      <c r="I265" s="1" t="s">
        <v>2599</v>
      </c>
      <c r="J265" s="1" t="s">
        <v>2600</v>
      </c>
      <c r="K265" s="1" t="s">
        <v>74</v>
      </c>
      <c r="L265" s="1" t="s">
        <v>74</v>
      </c>
      <c r="M265" s="1" t="s">
        <v>74</v>
      </c>
      <c r="N265" s="1" t="s">
        <v>78</v>
      </c>
      <c r="O265" s="1" t="s">
        <v>74</v>
      </c>
      <c r="P265" s="1" t="s">
        <v>74</v>
      </c>
      <c r="Q265" s="1" t="s">
        <v>74</v>
      </c>
      <c r="R265" s="1" t="s">
        <v>74</v>
      </c>
      <c r="S265" s="1" t="s">
        <v>74</v>
      </c>
      <c r="T265" s="1" t="s">
        <v>2601</v>
      </c>
      <c r="U265" s="1" t="s">
        <v>74</v>
      </c>
      <c r="V265" s="1" t="s">
        <v>2602</v>
      </c>
      <c r="W265" s="1" t="s">
        <v>74</v>
      </c>
      <c r="X265" s="1" t="s">
        <v>74</v>
      </c>
      <c r="Y265" s="1" t="s">
        <v>74</v>
      </c>
      <c r="Z265" s="1" t="s">
        <v>74</v>
      </c>
      <c r="AA265" s="1" t="s">
        <v>74</v>
      </c>
      <c r="AB265" s="1" t="s">
        <v>74</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2603</v>
      </c>
      <c r="AP265" s="1" t="s">
        <v>2604</v>
      </c>
      <c r="AQ265" s="1" t="s">
        <v>74</v>
      </c>
      <c r="AR265" s="1" t="s">
        <v>74</v>
      </c>
      <c r="AS265" s="1" t="s">
        <v>74</v>
      </c>
      <c r="AT265" s="1" t="s">
        <v>200</v>
      </c>
      <c r="AU265" s="1">
        <v>2020.0</v>
      </c>
      <c r="AV265" s="1">
        <v>15.0</v>
      </c>
      <c r="AW265" s="1">
        <v>6.0</v>
      </c>
      <c r="AX265" s="1" t="s">
        <v>74</v>
      </c>
      <c r="AY265" s="1" t="s">
        <v>74</v>
      </c>
      <c r="AZ265" s="1" t="s">
        <v>74</v>
      </c>
      <c r="BA265" s="1" t="s">
        <v>74</v>
      </c>
      <c r="BB265" s="1" t="s">
        <v>74</v>
      </c>
      <c r="BC265" s="1" t="s">
        <v>74</v>
      </c>
      <c r="BD265" s="1">
        <v>3988.0</v>
      </c>
      <c r="BE265" s="1" t="s">
        <v>2605</v>
      </c>
      <c r="BF265" s="2" t="str">
        <f>HYPERLINK("http://dx.doi.org/10.15837/ijccc.2020.6.3988","http://dx.doi.org/10.15837/ijccc.2020.6.3988")</f>
        <v>http://dx.doi.org/10.15837/ijccc.2020.6.3988</v>
      </c>
      <c r="BG265" s="1" t="s">
        <v>74</v>
      </c>
      <c r="BH265" s="1" t="s">
        <v>74</v>
      </c>
      <c r="BI265" s="1" t="s">
        <v>74</v>
      </c>
      <c r="BJ265" s="1" t="s">
        <v>74</v>
      </c>
      <c r="BK265" s="1" t="s">
        <v>74</v>
      </c>
      <c r="BL265" s="1" t="s">
        <v>780</v>
      </c>
      <c r="BM265" s="1" t="s">
        <v>74</v>
      </c>
      <c r="BN265" s="1" t="s">
        <v>74</v>
      </c>
      <c r="BO265" s="1" t="s">
        <v>163</v>
      </c>
      <c r="BP265" s="1" t="s">
        <v>74</v>
      </c>
      <c r="BQ265" s="1" t="s">
        <v>74</v>
      </c>
      <c r="BR265" s="1" t="s">
        <v>74</v>
      </c>
      <c r="BS265" s="1" t="s">
        <v>2606</v>
      </c>
      <c r="BT265" s="1" t="str">
        <f>HYPERLINK("https%3A%2F%2Fwww.webofscience.com%2Fwos%2Fwoscc%2Ffull-record%2FWOS:000592697100006","View Full Record in Web of Science")</f>
        <v>View Full Record in Web of Science</v>
      </c>
    </row>
    <row r="266" ht="12.75" customHeight="1">
      <c r="A266" s="1" t="s">
        <v>72</v>
      </c>
      <c r="B266" s="1" t="s">
        <v>2607</v>
      </c>
      <c r="C266" s="1" t="s">
        <v>74</v>
      </c>
      <c r="D266" s="1" t="s">
        <v>74</v>
      </c>
      <c r="E266" s="1" t="s">
        <v>74</v>
      </c>
      <c r="F266" s="1" t="s">
        <v>2608</v>
      </c>
      <c r="G266" s="1" t="s">
        <v>74</v>
      </c>
      <c r="H266" s="1" t="s">
        <v>74</v>
      </c>
      <c r="I266" s="1" t="s">
        <v>2609</v>
      </c>
      <c r="J266" s="1" t="s">
        <v>147</v>
      </c>
      <c r="K266" s="1" t="s">
        <v>74</v>
      </c>
      <c r="L266" s="1" t="s">
        <v>74</v>
      </c>
      <c r="M266" s="1" t="s">
        <v>74</v>
      </c>
      <c r="N266" s="1" t="s">
        <v>78</v>
      </c>
      <c r="O266" s="1" t="s">
        <v>74</v>
      </c>
      <c r="P266" s="1" t="s">
        <v>74</v>
      </c>
      <c r="Q266" s="1" t="s">
        <v>74</v>
      </c>
      <c r="R266" s="1" t="s">
        <v>74</v>
      </c>
      <c r="S266" s="1" t="s">
        <v>74</v>
      </c>
      <c r="T266" s="1" t="s">
        <v>2610</v>
      </c>
      <c r="U266" s="1" t="s">
        <v>2611</v>
      </c>
      <c r="V266" s="1" t="s">
        <v>2612</v>
      </c>
      <c r="W266" s="1" t="s">
        <v>74</v>
      </c>
      <c r="X266" s="1" t="s">
        <v>74</v>
      </c>
      <c r="Y266" s="1" t="s">
        <v>74</v>
      </c>
      <c r="Z266" s="1" t="s">
        <v>74</v>
      </c>
      <c r="AA266" s="1" t="s">
        <v>74</v>
      </c>
      <c r="AB266" s="1" t="s">
        <v>74</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150</v>
      </c>
      <c r="AP266" s="1" t="s">
        <v>74</v>
      </c>
      <c r="AQ266" s="1" t="s">
        <v>74</v>
      </c>
      <c r="AR266" s="1" t="s">
        <v>74</v>
      </c>
      <c r="AS266" s="1" t="s">
        <v>74</v>
      </c>
      <c r="AT266" s="1" t="s">
        <v>74</v>
      </c>
      <c r="AU266" s="1">
        <v>2025.0</v>
      </c>
      <c r="AV266" s="1">
        <v>13.0</v>
      </c>
      <c r="AW266" s="1" t="s">
        <v>74</v>
      </c>
      <c r="AX266" s="1" t="s">
        <v>74</v>
      </c>
      <c r="AY266" s="1" t="s">
        <v>74</v>
      </c>
      <c r="AZ266" s="1" t="s">
        <v>74</v>
      </c>
      <c r="BA266" s="1" t="s">
        <v>74</v>
      </c>
      <c r="BB266" s="1">
        <v>30167.0</v>
      </c>
      <c r="BC266" s="1">
        <v>30185.0</v>
      </c>
      <c r="BD266" s="1" t="s">
        <v>74</v>
      </c>
      <c r="BE266" s="1" t="s">
        <v>2613</v>
      </c>
      <c r="BF266" s="2" t="str">
        <f>HYPERLINK("http://dx.doi.org/10.1109/ACCESS.2025.3540939","http://dx.doi.org/10.1109/ACCESS.2025.3540939")</f>
        <v>http://dx.doi.org/10.1109/ACCESS.2025.3540939</v>
      </c>
      <c r="BG266" s="1" t="s">
        <v>74</v>
      </c>
      <c r="BH266" s="1" t="s">
        <v>74</v>
      </c>
      <c r="BI266" s="1" t="s">
        <v>74</v>
      </c>
      <c r="BJ266" s="1" t="s">
        <v>74</v>
      </c>
      <c r="BK266" s="1" t="s">
        <v>74</v>
      </c>
      <c r="BL266" s="1" t="s">
        <v>152</v>
      </c>
      <c r="BM266" s="1" t="s">
        <v>74</v>
      </c>
      <c r="BN266" s="1" t="s">
        <v>74</v>
      </c>
      <c r="BO266" s="1" t="s">
        <v>153</v>
      </c>
      <c r="BP266" s="1" t="s">
        <v>74</v>
      </c>
      <c r="BQ266" s="1" t="s">
        <v>74</v>
      </c>
      <c r="BR266" s="1" t="s">
        <v>74</v>
      </c>
      <c r="BS266" s="1" t="s">
        <v>2614</v>
      </c>
      <c r="BT266" s="1" t="str">
        <f>HYPERLINK("https%3A%2F%2Fwww.webofscience.com%2Fwos%2Fwoscc%2Ffull-record%2FWOS:001425899700001","View Full Record in Web of Science")</f>
        <v>View Full Record in Web of Science</v>
      </c>
    </row>
    <row r="267" ht="12.75" customHeight="1">
      <c r="A267" s="1" t="s">
        <v>72</v>
      </c>
      <c r="B267" s="1" t="s">
        <v>2615</v>
      </c>
      <c r="C267" s="1" t="s">
        <v>74</v>
      </c>
      <c r="D267" s="1" t="s">
        <v>74</v>
      </c>
      <c r="E267" s="1" t="s">
        <v>74</v>
      </c>
      <c r="F267" s="1" t="s">
        <v>2616</v>
      </c>
      <c r="G267" s="1" t="s">
        <v>74</v>
      </c>
      <c r="H267" s="1" t="s">
        <v>74</v>
      </c>
      <c r="I267" s="1" t="s">
        <v>2617</v>
      </c>
      <c r="J267" s="1" t="s">
        <v>281</v>
      </c>
      <c r="K267" s="1" t="s">
        <v>74</v>
      </c>
      <c r="L267" s="1" t="s">
        <v>74</v>
      </c>
      <c r="M267" s="1" t="s">
        <v>74</v>
      </c>
      <c r="N267" s="1" t="s">
        <v>78</v>
      </c>
      <c r="O267" s="1" t="s">
        <v>74</v>
      </c>
      <c r="P267" s="1" t="s">
        <v>74</v>
      </c>
      <c r="Q267" s="1" t="s">
        <v>74</v>
      </c>
      <c r="R267" s="1" t="s">
        <v>74</v>
      </c>
      <c r="S267" s="1" t="s">
        <v>74</v>
      </c>
      <c r="T267" s="1" t="s">
        <v>2618</v>
      </c>
      <c r="U267" s="1" t="s">
        <v>2619</v>
      </c>
      <c r="V267" s="1" t="s">
        <v>2620</v>
      </c>
      <c r="W267" s="1" t="s">
        <v>74</v>
      </c>
      <c r="X267" s="1" t="s">
        <v>74</v>
      </c>
      <c r="Y267" s="1" t="s">
        <v>74</v>
      </c>
      <c r="Z267" s="1" t="s">
        <v>74</v>
      </c>
      <c r="AA267" s="1" t="s">
        <v>74</v>
      </c>
      <c r="AB267" s="1" t="s">
        <v>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285</v>
      </c>
      <c r="AP267" s="1" t="s">
        <v>286</v>
      </c>
      <c r="AQ267" s="1" t="s">
        <v>74</v>
      </c>
      <c r="AR267" s="1" t="s">
        <v>74</v>
      </c>
      <c r="AS267" s="1" t="s">
        <v>74</v>
      </c>
      <c r="AT267" s="1" t="s">
        <v>124</v>
      </c>
      <c r="AU267" s="1">
        <v>2025.0</v>
      </c>
      <c r="AV267" s="1">
        <v>32.0</v>
      </c>
      <c r="AW267" s="1">
        <v>4.0</v>
      </c>
      <c r="AX267" s="1" t="s">
        <v>74</v>
      </c>
      <c r="AY267" s="1" t="s">
        <v>74</v>
      </c>
      <c r="AZ267" s="1" t="s">
        <v>74</v>
      </c>
      <c r="BA267" s="1" t="s">
        <v>74</v>
      </c>
      <c r="BB267" s="1">
        <v>638.0</v>
      </c>
      <c r="BC267" s="1">
        <v>647.0</v>
      </c>
      <c r="BD267" s="1" t="s">
        <v>74</v>
      </c>
      <c r="BE267" s="1" t="s">
        <v>2621</v>
      </c>
      <c r="BF267" s="2" t="str">
        <f>HYPERLINK("http://dx.doi.org/10.1093/jamia/ocae325","http://dx.doi.org/10.1093/jamia/ocae325")</f>
        <v>http://dx.doi.org/10.1093/jamia/ocae325</v>
      </c>
      <c r="BG267" s="1" t="s">
        <v>74</v>
      </c>
      <c r="BH267" s="1" t="s">
        <v>141</v>
      </c>
      <c r="BI267" s="1" t="s">
        <v>74</v>
      </c>
      <c r="BJ267" s="1" t="s">
        <v>74</v>
      </c>
      <c r="BK267" s="1" t="s">
        <v>74</v>
      </c>
      <c r="BL267" s="1" t="s">
        <v>291</v>
      </c>
      <c r="BM267" s="1" t="s">
        <v>74</v>
      </c>
      <c r="BN267" s="1" t="s">
        <v>74</v>
      </c>
      <c r="BO267" s="1" t="s">
        <v>127</v>
      </c>
      <c r="BP267" s="1" t="s">
        <v>74</v>
      </c>
      <c r="BQ267" s="1" t="s">
        <v>74</v>
      </c>
      <c r="BR267" s="1" t="s">
        <v>74</v>
      </c>
      <c r="BS267" s="1" t="s">
        <v>2622</v>
      </c>
      <c r="BT267" s="1" t="str">
        <f>HYPERLINK("https%3A%2F%2Fwww.webofscience.com%2Fwos%2Fwoscc%2Ffull-record%2FWOS:001400909800001","View Full Record in Web of Science")</f>
        <v>View Full Record in Web of Science</v>
      </c>
    </row>
    <row r="268" ht="12.75" customHeight="1">
      <c r="A268" s="1" t="s">
        <v>72</v>
      </c>
      <c r="B268" s="1" t="s">
        <v>2623</v>
      </c>
      <c r="C268" s="1" t="s">
        <v>74</v>
      </c>
      <c r="D268" s="1" t="s">
        <v>74</v>
      </c>
      <c r="E268" s="1" t="s">
        <v>74</v>
      </c>
      <c r="F268" s="1" t="s">
        <v>2624</v>
      </c>
      <c r="G268" s="1" t="s">
        <v>74</v>
      </c>
      <c r="H268" s="1" t="s">
        <v>74</v>
      </c>
      <c r="I268" s="1" t="s">
        <v>2625</v>
      </c>
      <c r="J268" s="1" t="s">
        <v>1482</v>
      </c>
      <c r="K268" s="1" t="s">
        <v>74</v>
      </c>
      <c r="L268" s="1" t="s">
        <v>74</v>
      </c>
      <c r="M268" s="1" t="s">
        <v>74</v>
      </c>
      <c r="N268" s="1" t="s">
        <v>78</v>
      </c>
      <c r="O268" s="1" t="s">
        <v>74</v>
      </c>
      <c r="P268" s="1" t="s">
        <v>74</v>
      </c>
      <c r="Q268" s="1" t="s">
        <v>74</v>
      </c>
      <c r="R268" s="1" t="s">
        <v>74</v>
      </c>
      <c r="S268" s="1" t="s">
        <v>74</v>
      </c>
      <c r="T268" s="1" t="s">
        <v>2626</v>
      </c>
      <c r="U268" s="1" t="s">
        <v>2627</v>
      </c>
      <c r="V268" s="1" t="s">
        <v>2628</v>
      </c>
      <c r="W268" s="1" t="s">
        <v>74</v>
      </c>
      <c r="X268" s="1" t="s">
        <v>74</v>
      </c>
      <c r="Y268" s="1" t="s">
        <v>74</v>
      </c>
      <c r="Z268" s="1" t="s">
        <v>74</v>
      </c>
      <c r="AA268" s="1" t="s">
        <v>74</v>
      </c>
      <c r="AB268" s="1" t="s">
        <v>74</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1486</v>
      </c>
      <c r="AP268" s="1" t="s">
        <v>74</v>
      </c>
      <c r="AQ268" s="1" t="s">
        <v>74</v>
      </c>
      <c r="AR268" s="1" t="s">
        <v>74</v>
      </c>
      <c r="AS268" s="1" t="s">
        <v>74</v>
      </c>
      <c r="AT268" s="1" t="s">
        <v>84</v>
      </c>
      <c r="AU268" s="1">
        <v>2025.0</v>
      </c>
      <c r="AV268" s="1">
        <v>20.0</v>
      </c>
      <c r="AW268" s="1" t="s">
        <v>74</v>
      </c>
      <c r="AX268" s="1" t="s">
        <v>74</v>
      </c>
      <c r="AY268" s="1" t="s">
        <v>74</v>
      </c>
      <c r="AZ268" s="1" t="s">
        <v>74</v>
      </c>
      <c r="BA268" s="1" t="s">
        <v>74</v>
      </c>
      <c r="BB268" s="1" t="s">
        <v>74</v>
      </c>
      <c r="BC268" s="1" t="s">
        <v>74</v>
      </c>
      <c r="BD268" s="1">
        <v>100481.0</v>
      </c>
      <c r="BE268" s="1" t="s">
        <v>2629</v>
      </c>
      <c r="BF268" s="2" t="str">
        <f>HYPERLINK("http://dx.doi.org/10.1016/j.egyai.2025.100481","http://dx.doi.org/10.1016/j.egyai.2025.100481")</f>
        <v>http://dx.doi.org/10.1016/j.egyai.2025.100481</v>
      </c>
      <c r="BG268" s="1" t="s">
        <v>74</v>
      </c>
      <c r="BH268" s="1" t="s">
        <v>314</v>
      </c>
      <c r="BI268" s="1" t="s">
        <v>74</v>
      </c>
      <c r="BJ268" s="1" t="s">
        <v>74</v>
      </c>
      <c r="BK268" s="1" t="s">
        <v>74</v>
      </c>
      <c r="BL268" s="1" t="s">
        <v>1488</v>
      </c>
      <c r="BM268" s="1" t="s">
        <v>74</v>
      </c>
      <c r="BN268" s="1" t="s">
        <v>74</v>
      </c>
      <c r="BO268" s="1" t="s">
        <v>163</v>
      </c>
      <c r="BP268" s="1" t="s">
        <v>74</v>
      </c>
      <c r="BQ268" s="1" t="s">
        <v>74</v>
      </c>
      <c r="BR268" s="1" t="s">
        <v>74</v>
      </c>
      <c r="BS268" s="1" t="s">
        <v>2630</v>
      </c>
      <c r="BT268" s="1" t="str">
        <f>HYPERLINK("https%3A%2F%2Fwww.webofscience.com%2Fwos%2Fwoscc%2Ffull-record%2FWOS:001437342500001","View Full Record in Web of Science")</f>
        <v>View Full Record in Web of Science</v>
      </c>
    </row>
    <row r="269" ht="12.75" customHeight="1">
      <c r="A269" s="1" t="s">
        <v>72</v>
      </c>
      <c r="B269" s="1" t="s">
        <v>2631</v>
      </c>
      <c r="C269" s="1" t="s">
        <v>74</v>
      </c>
      <c r="D269" s="1" t="s">
        <v>74</v>
      </c>
      <c r="E269" s="1" t="s">
        <v>74</v>
      </c>
      <c r="F269" s="1" t="s">
        <v>2632</v>
      </c>
      <c r="G269" s="1" t="s">
        <v>74</v>
      </c>
      <c r="H269" s="1" t="s">
        <v>74</v>
      </c>
      <c r="I269" s="1" t="s">
        <v>2633</v>
      </c>
      <c r="J269" s="1" t="s">
        <v>785</v>
      </c>
      <c r="K269" s="1" t="s">
        <v>74</v>
      </c>
      <c r="L269" s="1" t="s">
        <v>74</v>
      </c>
      <c r="M269" s="1" t="s">
        <v>74</v>
      </c>
      <c r="N269" s="1" t="s">
        <v>78</v>
      </c>
      <c r="O269" s="1" t="s">
        <v>74</v>
      </c>
      <c r="P269" s="1" t="s">
        <v>74</v>
      </c>
      <c r="Q269" s="1" t="s">
        <v>74</v>
      </c>
      <c r="R269" s="1" t="s">
        <v>74</v>
      </c>
      <c r="S269" s="1" t="s">
        <v>74</v>
      </c>
      <c r="T269" s="1" t="s">
        <v>2634</v>
      </c>
      <c r="U269" s="1" t="s">
        <v>74</v>
      </c>
      <c r="V269" s="1" t="s">
        <v>2635</v>
      </c>
      <c r="W269" s="1" t="s">
        <v>74</v>
      </c>
      <c r="X269" s="1" t="s">
        <v>74</v>
      </c>
      <c r="Y269" s="1" t="s">
        <v>74</v>
      </c>
      <c r="Z269" s="1" t="s">
        <v>74</v>
      </c>
      <c r="AA269" s="1" t="s">
        <v>74</v>
      </c>
      <c r="AB269" s="1" t="s">
        <v>74</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74</v>
      </c>
      <c r="AP269" s="1" t="s">
        <v>788</v>
      </c>
      <c r="AQ269" s="1" t="s">
        <v>74</v>
      </c>
      <c r="AR269" s="1" t="s">
        <v>74</v>
      </c>
      <c r="AS269" s="1" t="s">
        <v>74</v>
      </c>
      <c r="AT269" s="1" t="s">
        <v>74</v>
      </c>
      <c r="AU269" s="1">
        <v>2025.0</v>
      </c>
      <c r="AV269" s="1">
        <v>5.0</v>
      </c>
      <c r="AW269" s="1">
        <v>1.0</v>
      </c>
      <c r="AX269" s="1" t="s">
        <v>74</v>
      </c>
      <c r="AY269" s="1" t="s">
        <v>74</v>
      </c>
      <c r="AZ269" s="1" t="s">
        <v>74</v>
      </c>
      <c r="BA269" s="1" t="s">
        <v>74</v>
      </c>
      <c r="BB269" s="1">
        <v>3261.0</v>
      </c>
      <c r="BC269" s="1">
        <v>3275.0</v>
      </c>
      <c r="BD269" s="1" t="s">
        <v>74</v>
      </c>
      <c r="BE269" s="1" t="s">
        <v>74</v>
      </c>
      <c r="BF269" s="1" t="s">
        <v>74</v>
      </c>
      <c r="BG269" s="1" t="s">
        <v>74</v>
      </c>
      <c r="BH269" s="1" t="s">
        <v>74</v>
      </c>
      <c r="BI269" s="1" t="s">
        <v>74</v>
      </c>
      <c r="BJ269" s="1" t="s">
        <v>74</v>
      </c>
      <c r="BK269" s="1" t="s">
        <v>74</v>
      </c>
      <c r="BL269" s="1" t="s">
        <v>174</v>
      </c>
      <c r="BM269" s="1" t="s">
        <v>74</v>
      </c>
      <c r="BN269" s="1" t="s">
        <v>74</v>
      </c>
      <c r="BO269" s="1" t="s">
        <v>383</v>
      </c>
      <c r="BP269" s="1" t="s">
        <v>74</v>
      </c>
      <c r="BQ269" s="1" t="s">
        <v>74</v>
      </c>
      <c r="BR269" s="1" t="s">
        <v>74</v>
      </c>
      <c r="BS269" s="1" t="s">
        <v>2636</v>
      </c>
      <c r="BT269" s="1" t="str">
        <f>HYPERLINK("https%3A%2F%2Fwww.webofscience.com%2Fwos%2Fwoscc%2Ffull-record%2FWOS:001487617900004","View Full Record in Web of Science")</f>
        <v>View Full Record in Web of Science</v>
      </c>
    </row>
    <row r="270" ht="12.75" customHeight="1">
      <c r="A270" s="1" t="s">
        <v>72</v>
      </c>
      <c r="B270" s="1" t="s">
        <v>2637</v>
      </c>
      <c r="C270" s="1" t="s">
        <v>74</v>
      </c>
      <c r="D270" s="1" t="s">
        <v>74</v>
      </c>
      <c r="E270" s="1" t="s">
        <v>74</v>
      </c>
      <c r="F270" s="1" t="s">
        <v>2638</v>
      </c>
      <c r="G270" s="1" t="s">
        <v>74</v>
      </c>
      <c r="H270" s="1" t="s">
        <v>74</v>
      </c>
      <c r="I270" s="1" t="s">
        <v>2639</v>
      </c>
      <c r="J270" s="1" t="s">
        <v>239</v>
      </c>
      <c r="K270" s="1" t="s">
        <v>74</v>
      </c>
      <c r="L270" s="1" t="s">
        <v>74</v>
      </c>
      <c r="M270" s="1" t="s">
        <v>74</v>
      </c>
      <c r="N270" s="1" t="s">
        <v>78</v>
      </c>
      <c r="O270" s="1" t="s">
        <v>74</v>
      </c>
      <c r="P270" s="1" t="s">
        <v>74</v>
      </c>
      <c r="Q270" s="1" t="s">
        <v>74</v>
      </c>
      <c r="R270" s="1" t="s">
        <v>74</v>
      </c>
      <c r="S270" s="1" t="s">
        <v>74</v>
      </c>
      <c r="T270" s="1" t="s">
        <v>2640</v>
      </c>
      <c r="U270" s="1" t="s">
        <v>74</v>
      </c>
      <c r="V270" s="1" t="s">
        <v>2641</v>
      </c>
      <c r="W270" s="1" t="s">
        <v>74</v>
      </c>
      <c r="X270" s="1" t="s">
        <v>74</v>
      </c>
      <c r="Y270" s="1" t="s">
        <v>74</v>
      </c>
      <c r="Z270" s="1" t="s">
        <v>74</v>
      </c>
      <c r="AA270" s="1" t="s">
        <v>74</v>
      </c>
      <c r="AB270" s="1" t="s">
        <v>74</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242</v>
      </c>
      <c r="AP270" s="1" t="s">
        <v>74</v>
      </c>
      <c r="AQ270" s="1" t="s">
        <v>74</v>
      </c>
      <c r="AR270" s="1" t="s">
        <v>74</v>
      </c>
      <c r="AS270" s="1" t="s">
        <v>74</v>
      </c>
      <c r="AT270" s="1" t="s">
        <v>2642</v>
      </c>
      <c r="AU270" s="1">
        <v>2025.0</v>
      </c>
      <c r="AV270" s="1">
        <v>14.0</v>
      </c>
      <c r="AW270" s="1">
        <v>17.0</v>
      </c>
      <c r="AX270" s="1" t="s">
        <v>74</v>
      </c>
      <c r="AY270" s="1" t="s">
        <v>74</v>
      </c>
      <c r="AZ270" s="1" t="s">
        <v>74</v>
      </c>
      <c r="BA270" s="1" t="s">
        <v>74</v>
      </c>
      <c r="BB270" s="1" t="s">
        <v>74</v>
      </c>
      <c r="BC270" s="1" t="s">
        <v>74</v>
      </c>
      <c r="BD270" s="1">
        <v>3504.0</v>
      </c>
      <c r="BE270" s="1" t="s">
        <v>2643</v>
      </c>
      <c r="BF270" s="2" t="str">
        <f>HYPERLINK("http://dx.doi.org/10.3390/electronics14173504","http://dx.doi.org/10.3390/electronics14173504")</f>
        <v>http://dx.doi.org/10.3390/electronics14173504</v>
      </c>
      <c r="BG270" s="1" t="s">
        <v>74</v>
      </c>
      <c r="BH270" s="1" t="s">
        <v>74</v>
      </c>
      <c r="BI270" s="1" t="s">
        <v>74</v>
      </c>
      <c r="BJ270" s="1" t="s">
        <v>74</v>
      </c>
      <c r="BK270" s="1" t="s">
        <v>74</v>
      </c>
      <c r="BL270" s="1" t="s">
        <v>244</v>
      </c>
      <c r="BM270" s="1" t="s">
        <v>74</v>
      </c>
      <c r="BN270" s="1" t="s">
        <v>74</v>
      </c>
      <c r="BO270" s="1" t="s">
        <v>163</v>
      </c>
      <c r="BP270" s="1" t="s">
        <v>74</v>
      </c>
      <c r="BQ270" s="1" t="s">
        <v>74</v>
      </c>
      <c r="BR270" s="1" t="s">
        <v>74</v>
      </c>
      <c r="BS270" s="1" t="s">
        <v>2644</v>
      </c>
      <c r="BT270" s="1" t="str">
        <f>HYPERLINK("https%3A%2F%2Fwww.webofscience.com%2Fwos%2Fwoscc%2Ffull-record%2FWOS:001569650800001","View Full Record in Web of Science")</f>
        <v>View Full Record in Web of Science</v>
      </c>
    </row>
    <row r="271" ht="12.75" customHeight="1">
      <c r="A271" s="1" t="s">
        <v>72</v>
      </c>
      <c r="B271" s="1" t="s">
        <v>2645</v>
      </c>
      <c r="C271" s="1" t="s">
        <v>74</v>
      </c>
      <c r="D271" s="1" t="s">
        <v>74</v>
      </c>
      <c r="E271" s="1" t="s">
        <v>74</v>
      </c>
      <c r="F271" s="1" t="s">
        <v>2646</v>
      </c>
      <c r="G271" s="1" t="s">
        <v>74</v>
      </c>
      <c r="H271" s="1" t="s">
        <v>74</v>
      </c>
      <c r="I271" s="1" t="s">
        <v>2647</v>
      </c>
      <c r="J271" s="1" t="s">
        <v>147</v>
      </c>
      <c r="K271" s="1" t="s">
        <v>74</v>
      </c>
      <c r="L271" s="1" t="s">
        <v>74</v>
      </c>
      <c r="M271" s="1" t="s">
        <v>74</v>
      </c>
      <c r="N271" s="1" t="s">
        <v>78</v>
      </c>
      <c r="O271" s="1" t="s">
        <v>74</v>
      </c>
      <c r="P271" s="1" t="s">
        <v>74</v>
      </c>
      <c r="Q271" s="1" t="s">
        <v>74</v>
      </c>
      <c r="R271" s="1" t="s">
        <v>74</v>
      </c>
      <c r="S271" s="1" t="s">
        <v>74</v>
      </c>
      <c r="T271" s="1" t="s">
        <v>2648</v>
      </c>
      <c r="U271" s="1" t="s">
        <v>74</v>
      </c>
      <c r="V271" s="1" t="s">
        <v>2649</v>
      </c>
      <c r="W271" s="1" t="s">
        <v>74</v>
      </c>
      <c r="X271" s="1" t="s">
        <v>74</v>
      </c>
      <c r="Y271" s="1" t="s">
        <v>74</v>
      </c>
      <c r="Z271" s="1" t="s">
        <v>74</v>
      </c>
      <c r="AA271" s="1" t="s">
        <v>74</v>
      </c>
      <c r="AB271" s="1" t="s">
        <v>74</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150</v>
      </c>
      <c r="AP271" s="1" t="s">
        <v>74</v>
      </c>
      <c r="AQ271" s="1" t="s">
        <v>74</v>
      </c>
      <c r="AR271" s="1" t="s">
        <v>74</v>
      </c>
      <c r="AS271" s="1" t="s">
        <v>74</v>
      </c>
      <c r="AT271" s="1" t="s">
        <v>74</v>
      </c>
      <c r="AU271" s="1">
        <v>2025.0</v>
      </c>
      <c r="AV271" s="1">
        <v>13.0</v>
      </c>
      <c r="AW271" s="1" t="s">
        <v>74</v>
      </c>
      <c r="AX271" s="1" t="s">
        <v>74</v>
      </c>
      <c r="AY271" s="1" t="s">
        <v>74</v>
      </c>
      <c r="AZ271" s="1" t="s">
        <v>74</v>
      </c>
      <c r="BA271" s="1" t="s">
        <v>74</v>
      </c>
      <c r="BB271" s="1">
        <v>194815.0</v>
      </c>
      <c r="BC271" s="1">
        <v>194831.0</v>
      </c>
      <c r="BD271" s="1" t="s">
        <v>74</v>
      </c>
      <c r="BE271" s="1" t="s">
        <v>2650</v>
      </c>
      <c r="BF271" s="2" t="str">
        <f>HYPERLINK("http://dx.doi.org/10.1109/ACCESS.2025.3633086","http://dx.doi.org/10.1109/ACCESS.2025.3633086")</f>
        <v>http://dx.doi.org/10.1109/ACCESS.2025.3633086</v>
      </c>
      <c r="BG271" s="1" t="s">
        <v>74</v>
      </c>
      <c r="BH271" s="1" t="s">
        <v>74</v>
      </c>
      <c r="BI271" s="1" t="s">
        <v>74</v>
      </c>
      <c r="BJ271" s="1" t="s">
        <v>74</v>
      </c>
      <c r="BK271" s="1" t="s">
        <v>74</v>
      </c>
      <c r="BL271" s="1" t="s">
        <v>152</v>
      </c>
      <c r="BM271" s="1" t="s">
        <v>74</v>
      </c>
      <c r="BN271" s="1" t="s">
        <v>74</v>
      </c>
      <c r="BO271" s="1" t="s">
        <v>153</v>
      </c>
      <c r="BP271" s="1" t="s">
        <v>74</v>
      </c>
      <c r="BQ271" s="1" t="s">
        <v>74</v>
      </c>
      <c r="BR271" s="1" t="s">
        <v>74</v>
      </c>
      <c r="BS271" s="1" t="s">
        <v>2651</v>
      </c>
      <c r="BT271" s="1" t="str">
        <f>HYPERLINK("https%3A%2F%2Fwww.webofscience.com%2Fwos%2Fwoscc%2Ffull-record%2FWOS:001620765800028","View Full Record in Web of Science")</f>
        <v>View Full Record in Web of Science</v>
      </c>
    </row>
    <row r="272" ht="12.75" customHeight="1">
      <c r="A272" s="1" t="s">
        <v>72</v>
      </c>
      <c r="B272" s="1" t="s">
        <v>2652</v>
      </c>
      <c r="C272" s="1" t="s">
        <v>74</v>
      </c>
      <c r="D272" s="1" t="s">
        <v>74</v>
      </c>
      <c r="E272" s="1" t="s">
        <v>74</v>
      </c>
      <c r="F272" s="1" t="s">
        <v>2653</v>
      </c>
      <c r="G272" s="1" t="s">
        <v>74</v>
      </c>
      <c r="H272" s="1" t="s">
        <v>74</v>
      </c>
      <c r="I272" s="1" t="s">
        <v>2654</v>
      </c>
      <c r="J272" s="1" t="s">
        <v>2655</v>
      </c>
      <c r="K272" s="1" t="s">
        <v>74</v>
      </c>
      <c r="L272" s="1" t="s">
        <v>74</v>
      </c>
      <c r="M272" s="1" t="s">
        <v>74</v>
      </c>
      <c r="N272" s="1" t="s">
        <v>158</v>
      </c>
      <c r="O272" s="1" t="s">
        <v>74</v>
      </c>
      <c r="P272" s="1" t="s">
        <v>74</v>
      </c>
      <c r="Q272" s="1" t="s">
        <v>74</v>
      </c>
      <c r="R272" s="1" t="s">
        <v>74</v>
      </c>
      <c r="S272" s="1" t="s">
        <v>74</v>
      </c>
      <c r="T272" s="1" t="s">
        <v>2656</v>
      </c>
      <c r="U272" s="1" t="s">
        <v>2657</v>
      </c>
      <c r="V272" s="1" t="s">
        <v>2658</v>
      </c>
      <c r="W272" s="1" t="s">
        <v>74</v>
      </c>
      <c r="X272" s="1" t="s">
        <v>74</v>
      </c>
      <c r="Y272" s="1" t="s">
        <v>74</v>
      </c>
      <c r="Z272" s="1" t="s">
        <v>74</v>
      </c>
      <c r="AA272" s="1" t="s">
        <v>74</v>
      </c>
      <c r="AB272" s="1" t="s">
        <v>74</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2659</v>
      </c>
      <c r="AP272" s="1" t="s">
        <v>2660</v>
      </c>
      <c r="AQ272" s="1" t="s">
        <v>74</v>
      </c>
      <c r="AR272" s="1" t="s">
        <v>74</v>
      </c>
      <c r="AS272" s="1" t="s">
        <v>74</v>
      </c>
      <c r="AT272" s="1" t="s">
        <v>2661</v>
      </c>
      <c r="AU272" s="1">
        <v>2026.0</v>
      </c>
      <c r="AV272" s="1">
        <v>208.0</v>
      </c>
      <c r="AW272" s="1" t="s">
        <v>74</v>
      </c>
      <c r="AX272" s="1" t="s">
        <v>74</v>
      </c>
      <c r="AY272" s="1" t="s">
        <v>74</v>
      </c>
      <c r="AZ272" s="1" t="s">
        <v>74</v>
      </c>
      <c r="BA272" s="1" t="s">
        <v>74</v>
      </c>
      <c r="BB272" s="1" t="s">
        <v>74</v>
      </c>
      <c r="BC272" s="1" t="s">
        <v>74</v>
      </c>
      <c r="BD272" s="1">
        <v>106231.0</v>
      </c>
      <c r="BE272" s="1" t="s">
        <v>2662</v>
      </c>
      <c r="BF272" s="2" t="str">
        <f>HYPERLINK("http://dx.doi.org/10.1016/j.ijmedinf.2025.106231","http://dx.doi.org/10.1016/j.ijmedinf.2025.106231")</f>
        <v>http://dx.doi.org/10.1016/j.ijmedinf.2025.106231</v>
      </c>
      <c r="BG272" s="1" t="s">
        <v>74</v>
      </c>
      <c r="BH272" s="1" t="s">
        <v>605</v>
      </c>
      <c r="BI272" s="1" t="s">
        <v>74</v>
      </c>
      <c r="BJ272" s="1" t="s">
        <v>74</v>
      </c>
      <c r="BK272" s="1" t="s">
        <v>74</v>
      </c>
      <c r="BL272" s="1" t="s">
        <v>1171</v>
      </c>
      <c r="BM272" s="1" t="s">
        <v>74</v>
      </c>
      <c r="BN272" s="1" t="s">
        <v>74</v>
      </c>
      <c r="BO272" s="1" t="s">
        <v>74</v>
      </c>
      <c r="BP272" s="1" t="s">
        <v>74</v>
      </c>
      <c r="BQ272" s="1" t="s">
        <v>74</v>
      </c>
      <c r="BR272" s="1" t="s">
        <v>74</v>
      </c>
      <c r="BS272" s="1" t="s">
        <v>2663</v>
      </c>
      <c r="BT272" s="1" t="str">
        <f>HYPERLINK("https%3A%2F%2Fwww.webofscience.com%2Fwos%2Fwoscc%2Ffull-record%2FWOS:001651325800001","View Full Record in Web of Science")</f>
        <v>View Full Record in Web of Science</v>
      </c>
    </row>
    <row r="273" ht="12.75" customHeight="1">
      <c r="A273" s="1" t="s">
        <v>72</v>
      </c>
      <c r="B273" s="1" t="s">
        <v>2664</v>
      </c>
      <c r="C273" s="1" t="s">
        <v>74</v>
      </c>
      <c r="D273" s="1" t="s">
        <v>74</v>
      </c>
      <c r="E273" s="1" t="s">
        <v>74</v>
      </c>
      <c r="F273" s="1" t="s">
        <v>2665</v>
      </c>
      <c r="G273" s="1" t="s">
        <v>74</v>
      </c>
      <c r="H273" s="1" t="s">
        <v>74</v>
      </c>
      <c r="I273" s="1" t="s">
        <v>2666</v>
      </c>
      <c r="J273" s="1" t="s">
        <v>471</v>
      </c>
      <c r="K273" s="1" t="s">
        <v>74</v>
      </c>
      <c r="L273" s="1" t="s">
        <v>74</v>
      </c>
      <c r="M273" s="1" t="s">
        <v>74</v>
      </c>
      <c r="N273" s="1" t="s">
        <v>78</v>
      </c>
      <c r="O273" s="1" t="s">
        <v>74</v>
      </c>
      <c r="P273" s="1" t="s">
        <v>74</v>
      </c>
      <c r="Q273" s="1" t="s">
        <v>74</v>
      </c>
      <c r="R273" s="1" t="s">
        <v>74</v>
      </c>
      <c r="S273" s="1" t="s">
        <v>74</v>
      </c>
      <c r="T273" s="1" t="s">
        <v>2667</v>
      </c>
      <c r="U273" s="1" t="s">
        <v>74</v>
      </c>
      <c r="V273" s="1" t="s">
        <v>2668</v>
      </c>
      <c r="W273" s="1" t="s">
        <v>74</v>
      </c>
      <c r="X273" s="1" t="s">
        <v>74</v>
      </c>
      <c r="Y273" s="1" t="s">
        <v>74</v>
      </c>
      <c r="Z273" s="1" t="s">
        <v>74</v>
      </c>
      <c r="AA273" s="1" t="s">
        <v>74</v>
      </c>
      <c r="AB273" s="1" t="s">
        <v>74</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474</v>
      </c>
      <c r="AP273" s="1" t="s">
        <v>74</v>
      </c>
      <c r="AQ273" s="1" t="s">
        <v>74</v>
      </c>
      <c r="AR273" s="1" t="s">
        <v>74</v>
      </c>
      <c r="AS273" s="1" t="s">
        <v>74</v>
      </c>
      <c r="AT273" s="1" t="s">
        <v>2669</v>
      </c>
      <c r="AU273" s="1">
        <v>2025.0</v>
      </c>
      <c r="AV273" s="1">
        <v>14.0</v>
      </c>
      <c r="AW273" s="1">
        <v>8.0</v>
      </c>
      <c r="AX273" s="1" t="s">
        <v>74</v>
      </c>
      <c r="AY273" s="1" t="s">
        <v>74</v>
      </c>
      <c r="AZ273" s="1" t="s">
        <v>74</v>
      </c>
      <c r="BA273" s="1" t="s">
        <v>74</v>
      </c>
      <c r="BB273" s="1" t="s">
        <v>74</v>
      </c>
      <c r="BC273" s="1" t="s">
        <v>74</v>
      </c>
      <c r="BD273" s="1">
        <v>329.0</v>
      </c>
      <c r="BE273" s="1" t="s">
        <v>2670</v>
      </c>
      <c r="BF273" s="2" t="str">
        <f>HYPERLINK("http://dx.doi.org/10.3390/computers14080329","http://dx.doi.org/10.3390/computers14080329")</f>
        <v>http://dx.doi.org/10.3390/computers14080329</v>
      </c>
      <c r="BG273" s="1" t="s">
        <v>74</v>
      </c>
      <c r="BH273" s="1" t="s">
        <v>74</v>
      </c>
      <c r="BI273" s="1" t="s">
        <v>74</v>
      </c>
      <c r="BJ273" s="1" t="s">
        <v>74</v>
      </c>
      <c r="BK273" s="1" t="s">
        <v>74</v>
      </c>
      <c r="BL273" s="1" t="s">
        <v>174</v>
      </c>
      <c r="BM273" s="1" t="s">
        <v>74</v>
      </c>
      <c r="BN273" s="1" t="s">
        <v>74</v>
      </c>
      <c r="BO273" s="1" t="s">
        <v>163</v>
      </c>
      <c r="BP273" s="1" t="s">
        <v>74</v>
      </c>
      <c r="BQ273" s="1" t="s">
        <v>74</v>
      </c>
      <c r="BR273" s="1" t="s">
        <v>74</v>
      </c>
      <c r="BS273" s="1" t="s">
        <v>2671</v>
      </c>
      <c r="BT273" s="1" t="str">
        <f>HYPERLINK("https%3A%2F%2Fwww.webofscience.com%2Fwos%2Fwoscc%2Ffull-record%2FWOS:001557331500001","View Full Record in Web of Science")</f>
        <v>View Full Record in Web of Science</v>
      </c>
    </row>
    <row r="274" ht="12.75" customHeight="1">
      <c r="A274" s="1" t="s">
        <v>72</v>
      </c>
      <c r="B274" s="1" t="s">
        <v>2672</v>
      </c>
      <c r="C274" s="1" t="s">
        <v>74</v>
      </c>
      <c r="D274" s="1" t="s">
        <v>74</v>
      </c>
      <c r="E274" s="1" t="s">
        <v>74</v>
      </c>
      <c r="F274" s="1" t="s">
        <v>2673</v>
      </c>
      <c r="G274" s="1" t="s">
        <v>74</v>
      </c>
      <c r="H274" s="1" t="s">
        <v>74</v>
      </c>
      <c r="I274" s="1" t="s">
        <v>2674</v>
      </c>
      <c r="J274" s="1" t="s">
        <v>239</v>
      </c>
      <c r="K274" s="1" t="s">
        <v>74</v>
      </c>
      <c r="L274" s="1" t="s">
        <v>74</v>
      </c>
      <c r="M274" s="1" t="s">
        <v>74</v>
      </c>
      <c r="N274" s="1" t="s">
        <v>158</v>
      </c>
      <c r="O274" s="1" t="s">
        <v>74</v>
      </c>
      <c r="P274" s="1" t="s">
        <v>74</v>
      </c>
      <c r="Q274" s="1" t="s">
        <v>74</v>
      </c>
      <c r="R274" s="1" t="s">
        <v>74</v>
      </c>
      <c r="S274" s="1" t="s">
        <v>74</v>
      </c>
      <c r="T274" s="1" t="s">
        <v>2675</v>
      </c>
      <c r="U274" s="1" t="s">
        <v>74</v>
      </c>
      <c r="V274" s="1" t="s">
        <v>2676</v>
      </c>
      <c r="W274" s="1" t="s">
        <v>74</v>
      </c>
      <c r="X274" s="1" t="s">
        <v>74</v>
      </c>
      <c r="Y274" s="1" t="s">
        <v>74</v>
      </c>
      <c r="Z274" s="1" t="s">
        <v>74</v>
      </c>
      <c r="AA274" s="1" t="s">
        <v>74</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242</v>
      </c>
      <c r="AP274" s="1" t="s">
        <v>74</v>
      </c>
      <c r="AQ274" s="1" t="s">
        <v>74</v>
      </c>
      <c r="AR274" s="1" t="s">
        <v>74</v>
      </c>
      <c r="AS274" s="1" t="s">
        <v>74</v>
      </c>
      <c r="AT274" s="1" t="s">
        <v>2677</v>
      </c>
      <c r="AU274" s="1">
        <v>2025.0</v>
      </c>
      <c r="AV274" s="1">
        <v>14.0</v>
      </c>
      <c r="AW274" s="1">
        <v>15.0</v>
      </c>
      <c r="AX274" s="1" t="s">
        <v>74</v>
      </c>
      <c r="AY274" s="1" t="s">
        <v>74</v>
      </c>
      <c r="AZ274" s="1" t="s">
        <v>74</v>
      </c>
      <c r="BA274" s="1" t="s">
        <v>74</v>
      </c>
      <c r="BB274" s="1" t="s">
        <v>74</v>
      </c>
      <c r="BC274" s="1" t="s">
        <v>74</v>
      </c>
      <c r="BD274" s="1">
        <v>3153.0</v>
      </c>
      <c r="BE274" s="1" t="s">
        <v>2678</v>
      </c>
      <c r="BF274" s="2" t="str">
        <f>HYPERLINK("http://dx.doi.org/10.3390/electronics14153153","http://dx.doi.org/10.3390/electronics14153153")</f>
        <v>http://dx.doi.org/10.3390/electronics14153153</v>
      </c>
      <c r="BG274" s="1" t="s">
        <v>74</v>
      </c>
      <c r="BH274" s="1" t="s">
        <v>74</v>
      </c>
      <c r="BI274" s="1" t="s">
        <v>74</v>
      </c>
      <c r="BJ274" s="1" t="s">
        <v>74</v>
      </c>
      <c r="BK274" s="1" t="s">
        <v>74</v>
      </c>
      <c r="BL274" s="1" t="s">
        <v>244</v>
      </c>
      <c r="BM274" s="1" t="s">
        <v>74</v>
      </c>
      <c r="BN274" s="1" t="s">
        <v>74</v>
      </c>
      <c r="BO274" s="1" t="s">
        <v>163</v>
      </c>
      <c r="BP274" s="1" t="s">
        <v>74</v>
      </c>
      <c r="BQ274" s="1" t="s">
        <v>74</v>
      </c>
      <c r="BR274" s="1" t="s">
        <v>74</v>
      </c>
      <c r="BS274" s="1" t="s">
        <v>2679</v>
      </c>
      <c r="BT274" s="1" t="str">
        <f>HYPERLINK("https%3A%2F%2Fwww.webofscience.com%2Fwos%2Fwoscc%2Ffull-record%2FWOS:001551231800001","View Full Record in Web of Science")</f>
        <v>View Full Record in Web of Science</v>
      </c>
    </row>
    <row r="275" ht="12.75" customHeight="1">
      <c r="A275" s="1" t="s">
        <v>72</v>
      </c>
      <c r="B275" s="1" t="s">
        <v>2680</v>
      </c>
      <c r="C275" s="1" t="s">
        <v>74</v>
      </c>
      <c r="D275" s="1" t="s">
        <v>74</v>
      </c>
      <c r="E275" s="1" t="s">
        <v>74</v>
      </c>
      <c r="F275" s="1" t="s">
        <v>2681</v>
      </c>
      <c r="G275" s="1" t="s">
        <v>74</v>
      </c>
      <c r="H275" s="1" t="s">
        <v>74</v>
      </c>
      <c r="I275" s="1" t="s">
        <v>2682</v>
      </c>
      <c r="J275" s="1" t="s">
        <v>2683</v>
      </c>
      <c r="K275" s="1" t="s">
        <v>74</v>
      </c>
      <c r="L275" s="1" t="s">
        <v>74</v>
      </c>
      <c r="M275" s="1" t="s">
        <v>74</v>
      </c>
      <c r="N275" s="1" t="s">
        <v>78</v>
      </c>
      <c r="O275" s="1" t="s">
        <v>74</v>
      </c>
      <c r="P275" s="1" t="s">
        <v>74</v>
      </c>
      <c r="Q275" s="1" t="s">
        <v>74</v>
      </c>
      <c r="R275" s="1" t="s">
        <v>74</v>
      </c>
      <c r="S275" s="1" t="s">
        <v>74</v>
      </c>
      <c r="T275" s="1" t="s">
        <v>2684</v>
      </c>
      <c r="U275" s="1" t="s">
        <v>2685</v>
      </c>
      <c r="V275" s="1" t="s">
        <v>2686</v>
      </c>
      <c r="W275" s="1" t="s">
        <v>74</v>
      </c>
      <c r="X275" s="1" t="s">
        <v>74</v>
      </c>
      <c r="Y275" s="1" t="s">
        <v>74</v>
      </c>
      <c r="Z275" s="1" t="s">
        <v>74</v>
      </c>
      <c r="AA275" s="1" t="s">
        <v>74</v>
      </c>
      <c r="AB275" s="1" t="s">
        <v>74</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2687</v>
      </c>
      <c r="AP275" s="1" t="s">
        <v>2688</v>
      </c>
      <c r="AQ275" s="1" t="s">
        <v>74</v>
      </c>
      <c r="AR275" s="1" t="s">
        <v>74</v>
      </c>
      <c r="AS275" s="1" t="s">
        <v>74</v>
      </c>
      <c r="AT275" s="1" t="s">
        <v>262</v>
      </c>
      <c r="AU275" s="1">
        <v>2024.0</v>
      </c>
      <c r="AV275" s="1">
        <v>26.0</v>
      </c>
      <c r="AW275" s="1">
        <v>3.0</v>
      </c>
      <c r="AX275" s="1" t="s">
        <v>74</v>
      </c>
      <c r="AY275" s="1" t="s">
        <v>74</v>
      </c>
      <c r="AZ275" s="1" t="s">
        <v>74</v>
      </c>
      <c r="BA275" s="1" t="s">
        <v>74</v>
      </c>
      <c r="BB275" s="1" t="s">
        <v>74</v>
      </c>
      <c r="BC275" s="1" t="s">
        <v>74</v>
      </c>
      <c r="BD275" s="1">
        <v>41.0</v>
      </c>
      <c r="BE275" s="1" t="s">
        <v>2689</v>
      </c>
      <c r="BF275" s="2" t="str">
        <f>HYPERLINK("http://dx.doi.org/10.1007/s10676-024-09777-3","http://dx.doi.org/10.1007/s10676-024-09777-3")</f>
        <v>http://dx.doi.org/10.1007/s10676-024-09777-3</v>
      </c>
      <c r="BG275" s="1" t="s">
        <v>74</v>
      </c>
      <c r="BH275" s="1" t="s">
        <v>74</v>
      </c>
      <c r="BI275" s="1" t="s">
        <v>74</v>
      </c>
      <c r="BJ275" s="1" t="s">
        <v>74</v>
      </c>
      <c r="BK275" s="1" t="s">
        <v>74</v>
      </c>
      <c r="BL275" s="1" t="s">
        <v>2690</v>
      </c>
      <c r="BM275" s="1" t="s">
        <v>74</v>
      </c>
      <c r="BN275" s="1" t="s">
        <v>74</v>
      </c>
      <c r="BO275" s="1" t="s">
        <v>576</v>
      </c>
      <c r="BP275" s="1" t="s">
        <v>74</v>
      </c>
      <c r="BQ275" s="1" t="s">
        <v>74</v>
      </c>
      <c r="BR275" s="1" t="s">
        <v>74</v>
      </c>
      <c r="BS275" s="1" t="s">
        <v>2691</v>
      </c>
      <c r="BT275" s="1" t="str">
        <f>HYPERLINK("https%3A%2F%2Fwww.webofscience.com%2Fwos%2Fwoscc%2Ffull-record%2FWOS:001249725800001","View Full Record in Web of Science")</f>
        <v>View Full Record in Web of Science</v>
      </c>
    </row>
    <row r="276" ht="12.75" customHeight="1">
      <c r="A276" s="1" t="s">
        <v>72</v>
      </c>
      <c r="B276" s="1" t="s">
        <v>2692</v>
      </c>
      <c r="C276" s="1" t="s">
        <v>74</v>
      </c>
      <c r="D276" s="1" t="s">
        <v>74</v>
      </c>
      <c r="E276" s="1" t="s">
        <v>74</v>
      </c>
      <c r="F276" s="1" t="s">
        <v>2693</v>
      </c>
      <c r="G276" s="1" t="s">
        <v>74</v>
      </c>
      <c r="H276" s="1" t="s">
        <v>74</v>
      </c>
      <c r="I276" s="1" t="s">
        <v>2694</v>
      </c>
      <c r="J276" s="1" t="s">
        <v>2695</v>
      </c>
      <c r="K276" s="1" t="s">
        <v>74</v>
      </c>
      <c r="L276" s="1" t="s">
        <v>74</v>
      </c>
      <c r="M276" s="1" t="s">
        <v>74</v>
      </c>
      <c r="N276" s="1" t="s">
        <v>78</v>
      </c>
      <c r="O276" s="1" t="s">
        <v>74</v>
      </c>
      <c r="P276" s="1" t="s">
        <v>74</v>
      </c>
      <c r="Q276" s="1" t="s">
        <v>74</v>
      </c>
      <c r="R276" s="1" t="s">
        <v>74</v>
      </c>
      <c r="S276" s="1" t="s">
        <v>74</v>
      </c>
      <c r="T276" s="1" t="s">
        <v>2696</v>
      </c>
      <c r="U276" s="1" t="s">
        <v>74</v>
      </c>
      <c r="V276" s="1" t="s">
        <v>2697</v>
      </c>
      <c r="W276" s="1" t="s">
        <v>74</v>
      </c>
      <c r="X276" s="1" t="s">
        <v>74</v>
      </c>
      <c r="Y276" s="1" t="s">
        <v>74</v>
      </c>
      <c r="Z276" s="1" t="s">
        <v>74</v>
      </c>
      <c r="AA276" s="1" t="s">
        <v>74</v>
      </c>
      <c r="AB276" s="1" t="s">
        <v>74</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74</v>
      </c>
      <c r="AP276" s="1" t="s">
        <v>2698</v>
      </c>
      <c r="AQ276" s="1" t="s">
        <v>74</v>
      </c>
      <c r="AR276" s="1" t="s">
        <v>74</v>
      </c>
      <c r="AS276" s="1" t="s">
        <v>74</v>
      </c>
      <c r="AT276" s="1" t="s">
        <v>74</v>
      </c>
      <c r="AU276" s="1">
        <v>2025.0</v>
      </c>
      <c r="AV276" s="1">
        <v>7.0</v>
      </c>
      <c r="AW276" s="1">
        <v>2.0</v>
      </c>
      <c r="AX276" s="1" t="s">
        <v>74</v>
      </c>
      <c r="AY276" s="1" t="s">
        <v>74</v>
      </c>
      <c r="AZ276" s="1" t="s">
        <v>74</v>
      </c>
      <c r="BA276" s="1" t="s">
        <v>74</v>
      </c>
      <c r="BB276" s="1">
        <v>336.0</v>
      </c>
      <c r="BC276" s="1">
        <v>357.0</v>
      </c>
      <c r="BD276" s="1" t="s">
        <v>74</v>
      </c>
      <c r="BE276" s="1" t="s">
        <v>2699</v>
      </c>
      <c r="BF276" s="2" t="str">
        <f>HYPERLINK("http://dx.doi.org/10.3724/2096-7004.di.2025.0002","http://dx.doi.org/10.3724/2096-7004.di.2025.0002")</f>
        <v>http://dx.doi.org/10.3724/2096-7004.di.2025.0002</v>
      </c>
      <c r="BG276" s="1" t="s">
        <v>74</v>
      </c>
      <c r="BH276" s="1" t="s">
        <v>74</v>
      </c>
      <c r="BI276" s="1" t="s">
        <v>74</v>
      </c>
      <c r="BJ276" s="1" t="s">
        <v>74</v>
      </c>
      <c r="BK276" s="1" t="s">
        <v>74</v>
      </c>
      <c r="BL276" s="1" t="s">
        <v>174</v>
      </c>
      <c r="BM276" s="1" t="s">
        <v>74</v>
      </c>
      <c r="BN276" s="1" t="s">
        <v>74</v>
      </c>
      <c r="BO276" s="1" t="s">
        <v>163</v>
      </c>
      <c r="BP276" s="1" t="s">
        <v>74</v>
      </c>
      <c r="BQ276" s="1" t="s">
        <v>74</v>
      </c>
      <c r="BR276" s="1" t="s">
        <v>74</v>
      </c>
      <c r="BS276" s="1" t="s">
        <v>2700</v>
      </c>
      <c r="BT276" s="1" t="str">
        <f>HYPERLINK("https%3A%2F%2Fwww.webofscience.com%2Fwos%2Fwoscc%2Ffull-record%2FWOS:001539022300004","View Full Record in Web of Science")</f>
        <v>View Full Record in Web of Science</v>
      </c>
    </row>
    <row r="277" ht="12.75" customHeight="1">
      <c r="A277" s="1" t="s">
        <v>72</v>
      </c>
      <c r="B277" s="1" t="s">
        <v>2701</v>
      </c>
      <c r="C277" s="1" t="s">
        <v>74</v>
      </c>
      <c r="D277" s="1" t="s">
        <v>74</v>
      </c>
      <c r="E277" s="1" t="s">
        <v>74</v>
      </c>
      <c r="F277" s="1" t="s">
        <v>2702</v>
      </c>
      <c r="G277" s="1" t="s">
        <v>74</v>
      </c>
      <c r="H277" s="1" t="s">
        <v>74</v>
      </c>
      <c r="I277" s="1" t="s">
        <v>2703</v>
      </c>
      <c r="J277" s="1" t="s">
        <v>2704</v>
      </c>
      <c r="K277" s="1" t="s">
        <v>74</v>
      </c>
      <c r="L277" s="1" t="s">
        <v>74</v>
      </c>
      <c r="M277" s="1" t="s">
        <v>74</v>
      </c>
      <c r="N277" s="1" t="s">
        <v>78</v>
      </c>
      <c r="O277" s="1" t="s">
        <v>74</v>
      </c>
      <c r="P277" s="1" t="s">
        <v>74</v>
      </c>
      <c r="Q277" s="1" t="s">
        <v>74</v>
      </c>
      <c r="R277" s="1" t="s">
        <v>74</v>
      </c>
      <c r="S277" s="1" t="s">
        <v>74</v>
      </c>
      <c r="T277" s="1" t="s">
        <v>2705</v>
      </c>
      <c r="U277" s="1" t="s">
        <v>74</v>
      </c>
      <c r="V277" s="1" t="s">
        <v>2706</v>
      </c>
      <c r="W277" s="1" t="s">
        <v>74</v>
      </c>
      <c r="X277" s="1" t="s">
        <v>74</v>
      </c>
      <c r="Y277" s="1" t="s">
        <v>74</v>
      </c>
      <c r="Z277" s="1" t="s">
        <v>74</v>
      </c>
      <c r="AA277" s="1" t="s">
        <v>74</v>
      </c>
      <c r="AB277" s="1" t="s">
        <v>74</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2707</v>
      </c>
      <c r="AP277" s="1" t="s">
        <v>2708</v>
      </c>
      <c r="AQ277" s="1" t="s">
        <v>74</v>
      </c>
      <c r="AR277" s="1" t="s">
        <v>74</v>
      </c>
      <c r="AS277" s="1" t="s">
        <v>74</v>
      </c>
      <c r="AT277" s="1" t="s">
        <v>172</v>
      </c>
      <c r="AU277" s="1">
        <v>2024.0</v>
      </c>
      <c r="AV277" s="1">
        <v>18.0</v>
      </c>
      <c r="AW277" s="1">
        <v>2.0</v>
      </c>
      <c r="AX277" s="1" t="s">
        <v>74</v>
      </c>
      <c r="AY277" s="1" t="s">
        <v>74</v>
      </c>
      <c r="AZ277" s="1" t="s">
        <v>707</v>
      </c>
      <c r="BA277" s="1" t="s">
        <v>74</v>
      </c>
      <c r="BB277" s="1">
        <v>255.0</v>
      </c>
      <c r="BC277" s="1">
        <v>278.0</v>
      </c>
      <c r="BD277" s="1" t="s">
        <v>74</v>
      </c>
      <c r="BE277" s="1" t="s">
        <v>2709</v>
      </c>
      <c r="BF277" s="2" t="str">
        <f>HYPERLINK("http://dx.doi.org/10.1007/s12626-024-00169-z","http://dx.doi.org/10.1007/s12626-024-00169-z")</f>
        <v>http://dx.doi.org/10.1007/s12626-024-00169-z</v>
      </c>
      <c r="BG277" s="1" t="s">
        <v>74</v>
      </c>
      <c r="BH277" s="1" t="s">
        <v>545</v>
      </c>
      <c r="BI277" s="1" t="s">
        <v>74</v>
      </c>
      <c r="BJ277" s="1" t="s">
        <v>74</v>
      </c>
      <c r="BK277" s="1" t="s">
        <v>74</v>
      </c>
      <c r="BL277" s="1" t="s">
        <v>174</v>
      </c>
      <c r="BM277" s="1" t="s">
        <v>74</v>
      </c>
      <c r="BN277" s="1" t="s">
        <v>74</v>
      </c>
      <c r="BO277" s="1" t="s">
        <v>114</v>
      </c>
      <c r="BP277" s="1" t="s">
        <v>74</v>
      </c>
      <c r="BQ277" s="1" t="s">
        <v>74</v>
      </c>
      <c r="BR277" s="1" t="s">
        <v>74</v>
      </c>
      <c r="BS277" s="1" t="s">
        <v>2710</v>
      </c>
      <c r="BT277" s="1" t="str">
        <f>HYPERLINK("https%3A%2F%2Fwww.webofscience.com%2Fwos%2Fwoscc%2Ffull-record%2FWOS:001271161400001","View Full Record in Web of Science")</f>
        <v>View Full Record in Web of Science</v>
      </c>
    </row>
    <row r="278" ht="12.75" customHeight="1">
      <c r="A278" s="1" t="s">
        <v>72</v>
      </c>
      <c r="B278" s="1" t="s">
        <v>2711</v>
      </c>
      <c r="C278" s="1" t="s">
        <v>74</v>
      </c>
      <c r="D278" s="1" t="s">
        <v>74</v>
      </c>
      <c r="E278" s="1" t="s">
        <v>74</v>
      </c>
      <c r="F278" s="1" t="s">
        <v>2712</v>
      </c>
      <c r="G278" s="1" t="s">
        <v>74</v>
      </c>
      <c r="H278" s="1" t="s">
        <v>74</v>
      </c>
      <c r="I278" s="1" t="s">
        <v>2713</v>
      </c>
      <c r="J278" s="1" t="s">
        <v>1914</v>
      </c>
      <c r="K278" s="1" t="s">
        <v>74</v>
      </c>
      <c r="L278" s="1" t="s">
        <v>74</v>
      </c>
      <c r="M278" s="1" t="s">
        <v>74</v>
      </c>
      <c r="N278" s="1" t="s">
        <v>78</v>
      </c>
      <c r="O278" s="1" t="s">
        <v>74</v>
      </c>
      <c r="P278" s="1" t="s">
        <v>74</v>
      </c>
      <c r="Q278" s="1" t="s">
        <v>74</v>
      </c>
      <c r="R278" s="1" t="s">
        <v>74</v>
      </c>
      <c r="S278" s="1" t="s">
        <v>74</v>
      </c>
      <c r="T278" s="1" t="s">
        <v>2714</v>
      </c>
      <c r="U278" s="1" t="s">
        <v>74</v>
      </c>
      <c r="V278" s="1" t="s">
        <v>2715</v>
      </c>
      <c r="W278" s="1" t="s">
        <v>74</v>
      </c>
      <c r="X278" s="1" t="s">
        <v>74</v>
      </c>
      <c r="Y278" s="1" t="s">
        <v>74</v>
      </c>
      <c r="Z278" s="1" t="s">
        <v>74</v>
      </c>
      <c r="AA278" s="1" t="s">
        <v>74</v>
      </c>
      <c r="AB278" s="1" t="s">
        <v>74</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1917</v>
      </c>
      <c r="AP278" s="1" t="s">
        <v>1918</v>
      </c>
      <c r="AQ278" s="1" t="s">
        <v>74</v>
      </c>
      <c r="AR278" s="1" t="s">
        <v>74</v>
      </c>
      <c r="AS278" s="1" t="s">
        <v>74</v>
      </c>
      <c r="AT278" s="1" t="s">
        <v>357</v>
      </c>
      <c r="AU278" s="1">
        <v>2025.0</v>
      </c>
      <c r="AV278" s="1">
        <v>36.0</v>
      </c>
      <c r="AW278" s="1">
        <v>10.0</v>
      </c>
      <c r="AX278" s="1" t="s">
        <v>74</v>
      </c>
      <c r="AY278" s="1" t="s">
        <v>74</v>
      </c>
      <c r="AZ278" s="1" t="s">
        <v>74</v>
      </c>
      <c r="BA278" s="1" t="s">
        <v>74</v>
      </c>
      <c r="BB278" s="1">
        <v>17693.0</v>
      </c>
      <c r="BC278" s="1">
        <v>17701.0</v>
      </c>
      <c r="BD278" s="1" t="s">
        <v>74</v>
      </c>
      <c r="BE278" s="1" t="s">
        <v>2716</v>
      </c>
      <c r="BF278" s="2" t="str">
        <f>HYPERLINK("http://dx.doi.org/10.1109/TNNLS.2025.3568479","http://dx.doi.org/10.1109/TNNLS.2025.3568479")</f>
        <v>http://dx.doi.org/10.1109/TNNLS.2025.3568479</v>
      </c>
      <c r="BG278" s="1" t="s">
        <v>74</v>
      </c>
      <c r="BH278" s="1" t="s">
        <v>112</v>
      </c>
      <c r="BI278" s="1" t="s">
        <v>74</v>
      </c>
      <c r="BJ278" s="1" t="s">
        <v>74</v>
      </c>
      <c r="BK278" s="1" t="s">
        <v>74</v>
      </c>
      <c r="BL278" s="1" t="s">
        <v>98</v>
      </c>
      <c r="BM278" s="1" t="s">
        <v>74</v>
      </c>
      <c r="BN278" s="1" t="s">
        <v>74</v>
      </c>
      <c r="BO278" s="1" t="s">
        <v>74</v>
      </c>
      <c r="BP278" s="1" t="s">
        <v>74</v>
      </c>
      <c r="BQ278" s="1" t="s">
        <v>74</v>
      </c>
      <c r="BR278" s="1" t="s">
        <v>74</v>
      </c>
      <c r="BS278" s="1" t="s">
        <v>2717</v>
      </c>
      <c r="BT278" s="1" t="str">
        <f>HYPERLINK("https%3A%2F%2Fwww.webofscience.com%2Fwos%2Fwoscc%2Ffull-record%2FWOS:001504173000001","View Full Record in Web of Science")</f>
        <v>View Full Record in Web of Science</v>
      </c>
    </row>
    <row r="279" ht="12.75" customHeight="1">
      <c r="A279" s="1" t="s">
        <v>72</v>
      </c>
      <c r="B279" s="1" t="s">
        <v>2718</v>
      </c>
      <c r="C279" s="1" t="s">
        <v>74</v>
      </c>
      <c r="D279" s="1" t="s">
        <v>74</v>
      </c>
      <c r="E279" s="1" t="s">
        <v>74</v>
      </c>
      <c r="F279" s="1" t="s">
        <v>2719</v>
      </c>
      <c r="G279" s="1" t="s">
        <v>74</v>
      </c>
      <c r="H279" s="1" t="s">
        <v>74</v>
      </c>
      <c r="I279" s="1" t="s">
        <v>2720</v>
      </c>
      <c r="J279" s="1" t="s">
        <v>2721</v>
      </c>
      <c r="K279" s="1" t="s">
        <v>74</v>
      </c>
      <c r="L279" s="1" t="s">
        <v>74</v>
      </c>
      <c r="M279" s="1" t="s">
        <v>74</v>
      </c>
      <c r="N279" s="1" t="s">
        <v>78</v>
      </c>
      <c r="O279" s="1" t="s">
        <v>74</v>
      </c>
      <c r="P279" s="1" t="s">
        <v>74</v>
      </c>
      <c r="Q279" s="1" t="s">
        <v>74</v>
      </c>
      <c r="R279" s="1" t="s">
        <v>74</v>
      </c>
      <c r="S279" s="1" t="s">
        <v>74</v>
      </c>
      <c r="T279" s="1" t="s">
        <v>2722</v>
      </c>
      <c r="U279" s="1" t="s">
        <v>74</v>
      </c>
      <c r="V279" s="1" t="s">
        <v>2723</v>
      </c>
      <c r="W279" s="1" t="s">
        <v>74</v>
      </c>
      <c r="X279" s="1" t="s">
        <v>74</v>
      </c>
      <c r="Y279" s="1" t="s">
        <v>74</v>
      </c>
      <c r="Z279" s="1" t="s">
        <v>74</v>
      </c>
      <c r="AA279" s="1" t="s">
        <v>74</v>
      </c>
      <c r="AB279" s="1" t="s">
        <v>74</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2724</v>
      </c>
      <c r="AP279" s="1" t="s">
        <v>2725</v>
      </c>
      <c r="AQ279" s="1" t="s">
        <v>74</v>
      </c>
      <c r="AR279" s="1" t="s">
        <v>74</v>
      </c>
      <c r="AS279" s="1" t="s">
        <v>74</v>
      </c>
      <c r="AT279" s="1" t="s">
        <v>357</v>
      </c>
      <c r="AU279" s="1">
        <v>2025.0</v>
      </c>
      <c r="AV279" s="1">
        <v>71.0</v>
      </c>
      <c r="AW279" s="1">
        <v>10.0</v>
      </c>
      <c r="AX279" s="1" t="s">
        <v>74</v>
      </c>
      <c r="AY279" s="1" t="s">
        <v>74</v>
      </c>
      <c r="AZ279" s="1" t="s">
        <v>74</v>
      </c>
      <c r="BA279" s="1" t="s">
        <v>74</v>
      </c>
      <c r="BB279" s="1">
        <v>7942.0</v>
      </c>
      <c r="BC279" s="1">
        <v>7958.0</v>
      </c>
      <c r="BD279" s="1" t="s">
        <v>74</v>
      </c>
      <c r="BE279" s="1" t="s">
        <v>2726</v>
      </c>
      <c r="BF279" s="2" t="str">
        <f>HYPERLINK("http://dx.doi.org/10.1109/TIT.2025.3598296","http://dx.doi.org/10.1109/TIT.2025.3598296")</f>
        <v>http://dx.doi.org/10.1109/TIT.2025.3598296</v>
      </c>
      <c r="BG279" s="1" t="s">
        <v>74</v>
      </c>
      <c r="BH279" s="1" t="s">
        <v>74</v>
      </c>
      <c r="BI279" s="1" t="s">
        <v>74</v>
      </c>
      <c r="BJ279" s="1" t="s">
        <v>74</v>
      </c>
      <c r="BK279" s="1" t="s">
        <v>74</v>
      </c>
      <c r="BL279" s="1" t="s">
        <v>2727</v>
      </c>
      <c r="BM279" s="1" t="s">
        <v>74</v>
      </c>
      <c r="BN279" s="1" t="s">
        <v>74</v>
      </c>
      <c r="BO279" s="1" t="s">
        <v>74</v>
      </c>
      <c r="BP279" s="1" t="s">
        <v>74</v>
      </c>
      <c r="BQ279" s="1" t="s">
        <v>74</v>
      </c>
      <c r="BR279" s="1" t="s">
        <v>74</v>
      </c>
      <c r="BS279" s="1" t="s">
        <v>2728</v>
      </c>
      <c r="BT279" s="1" t="str">
        <f>HYPERLINK("https%3A%2F%2Fwww.webofscience.com%2Fwos%2Fwoscc%2Ffull-record%2FWOS:001582064500038","View Full Record in Web of Science")</f>
        <v>View Full Record in Web of Science</v>
      </c>
    </row>
    <row r="280" ht="12.75" customHeight="1">
      <c r="A280" s="1" t="s">
        <v>72</v>
      </c>
      <c r="B280" s="1" t="s">
        <v>2729</v>
      </c>
      <c r="C280" s="1" t="s">
        <v>74</v>
      </c>
      <c r="D280" s="1" t="s">
        <v>74</v>
      </c>
      <c r="E280" s="1" t="s">
        <v>74</v>
      </c>
      <c r="F280" s="1" t="s">
        <v>2730</v>
      </c>
      <c r="G280" s="1" t="s">
        <v>74</v>
      </c>
      <c r="H280" s="1" t="s">
        <v>74</v>
      </c>
      <c r="I280" s="1" t="s">
        <v>2731</v>
      </c>
      <c r="J280" s="1" t="s">
        <v>103</v>
      </c>
      <c r="K280" s="1" t="s">
        <v>74</v>
      </c>
      <c r="L280" s="1" t="s">
        <v>74</v>
      </c>
      <c r="M280" s="1" t="s">
        <v>74</v>
      </c>
      <c r="N280" s="1" t="s">
        <v>78</v>
      </c>
      <c r="O280" s="1" t="s">
        <v>74</v>
      </c>
      <c r="P280" s="1" t="s">
        <v>74</v>
      </c>
      <c r="Q280" s="1" t="s">
        <v>74</v>
      </c>
      <c r="R280" s="1" t="s">
        <v>74</v>
      </c>
      <c r="S280" s="1" t="s">
        <v>74</v>
      </c>
      <c r="T280" s="1" t="s">
        <v>2732</v>
      </c>
      <c r="U280" s="1" t="s">
        <v>74</v>
      </c>
      <c r="V280" s="1" t="s">
        <v>2733</v>
      </c>
      <c r="W280" s="1" t="s">
        <v>74</v>
      </c>
      <c r="X280" s="1" t="s">
        <v>74</v>
      </c>
      <c r="Y280" s="1" t="s">
        <v>74</v>
      </c>
      <c r="Z280" s="1" t="s">
        <v>74</v>
      </c>
      <c r="AA280" s="1" t="s">
        <v>74</v>
      </c>
      <c r="AB280" s="1" t="s">
        <v>74</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107</v>
      </c>
      <c r="AP280" s="1" t="s">
        <v>108</v>
      </c>
      <c r="AQ280" s="1" t="s">
        <v>74</v>
      </c>
      <c r="AR280" s="1" t="s">
        <v>74</v>
      </c>
      <c r="AS280" s="1" t="s">
        <v>74</v>
      </c>
      <c r="AT280" s="1" t="s">
        <v>688</v>
      </c>
      <c r="AU280" s="1">
        <v>2023.0</v>
      </c>
      <c r="AV280" s="1">
        <v>119.0</v>
      </c>
      <c r="AW280" s="1" t="s">
        <v>74</v>
      </c>
      <c r="AX280" s="1" t="s">
        <v>74</v>
      </c>
      <c r="AY280" s="1" t="s">
        <v>74</v>
      </c>
      <c r="AZ280" s="1" t="s">
        <v>74</v>
      </c>
      <c r="BA280" s="1" t="s">
        <v>74</v>
      </c>
      <c r="BB280" s="1" t="s">
        <v>74</v>
      </c>
      <c r="BC280" s="1" t="s">
        <v>74</v>
      </c>
      <c r="BD280" s="1">
        <v>105731.0</v>
      </c>
      <c r="BE280" s="1" t="s">
        <v>2734</v>
      </c>
      <c r="BF280" s="2" t="str">
        <f>HYPERLINK("http://dx.doi.org/10.1016/j.engappai.2022.105731","http://dx.doi.org/10.1016/j.engappai.2022.105731")</f>
        <v>http://dx.doi.org/10.1016/j.engappai.2022.105731</v>
      </c>
      <c r="BG280" s="1" t="s">
        <v>74</v>
      </c>
      <c r="BH280" s="1" t="s">
        <v>2735</v>
      </c>
      <c r="BI280" s="1" t="s">
        <v>74</v>
      </c>
      <c r="BJ280" s="1" t="s">
        <v>74</v>
      </c>
      <c r="BK280" s="1" t="s">
        <v>74</v>
      </c>
      <c r="BL280" s="1" t="s">
        <v>113</v>
      </c>
      <c r="BM280" s="1" t="s">
        <v>74</v>
      </c>
      <c r="BN280" s="1" t="s">
        <v>74</v>
      </c>
      <c r="BO280" s="1" t="s">
        <v>74</v>
      </c>
      <c r="BP280" s="1" t="s">
        <v>74</v>
      </c>
      <c r="BQ280" s="1" t="s">
        <v>74</v>
      </c>
      <c r="BR280" s="1" t="s">
        <v>74</v>
      </c>
      <c r="BS280" s="1" t="s">
        <v>2736</v>
      </c>
      <c r="BT280" s="1" t="str">
        <f>HYPERLINK("https%3A%2F%2Fwww.webofscience.com%2Fwos%2Fwoscc%2Ffull-record%2FWOS:000909702400001","View Full Record in Web of Science")</f>
        <v>View Full Record in Web of Science</v>
      </c>
    </row>
    <row r="281" ht="12.75" customHeight="1">
      <c r="A281" s="1" t="s">
        <v>72</v>
      </c>
      <c r="B281" s="1" t="s">
        <v>2737</v>
      </c>
      <c r="C281" s="1" t="s">
        <v>74</v>
      </c>
      <c r="D281" s="1" t="s">
        <v>74</v>
      </c>
      <c r="E281" s="1" t="s">
        <v>74</v>
      </c>
      <c r="F281" s="1" t="s">
        <v>2738</v>
      </c>
      <c r="G281" s="1" t="s">
        <v>74</v>
      </c>
      <c r="H281" s="1" t="s">
        <v>74</v>
      </c>
      <c r="I281" s="1" t="s">
        <v>2739</v>
      </c>
      <c r="J281" s="1" t="s">
        <v>2740</v>
      </c>
      <c r="K281" s="1" t="s">
        <v>74</v>
      </c>
      <c r="L281" s="1" t="s">
        <v>74</v>
      </c>
      <c r="M281" s="1" t="s">
        <v>74</v>
      </c>
      <c r="N281" s="1" t="s">
        <v>78</v>
      </c>
      <c r="O281" s="1" t="s">
        <v>74</v>
      </c>
      <c r="P281" s="1" t="s">
        <v>74</v>
      </c>
      <c r="Q281" s="1" t="s">
        <v>74</v>
      </c>
      <c r="R281" s="1" t="s">
        <v>74</v>
      </c>
      <c r="S281" s="1" t="s">
        <v>74</v>
      </c>
      <c r="T281" s="1" t="s">
        <v>2741</v>
      </c>
      <c r="U281" s="1" t="s">
        <v>74</v>
      </c>
      <c r="V281" s="1" t="s">
        <v>2742</v>
      </c>
      <c r="W281" s="1" t="s">
        <v>74</v>
      </c>
      <c r="X281" s="1" t="s">
        <v>74</v>
      </c>
      <c r="Y281" s="1" t="s">
        <v>74</v>
      </c>
      <c r="Z281" s="1" t="s">
        <v>74</v>
      </c>
      <c r="AA281" s="1" t="s">
        <v>74</v>
      </c>
      <c r="AB281" s="1" t="s">
        <v>74</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74</v>
      </c>
      <c r="AP281" s="1" t="s">
        <v>2743</v>
      </c>
      <c r="AQ281" s="1" t="s">
        <v>74</v>
      </c>
      <c r="AR281" s="1" t="s">
        <v>74</v>
      </c>
      <c r="AS281" s="1" t="s">
        <v>74</v>
      </c>
      <c r="AT281" s="1" t="s">
        <v>2744</v>
      </c>
      <c r="AU281" s="1">
        <v>2025.0</v>
      </c>
      <c r="AV281" s="1">
        <v>8.0</v>
      </c>
      <c r="AW281" s="1" t="s">
        <v>74</v>
      </c>
      <c r="AX281" s="1" t="s">
        <v>74</v>
      </c>
      <c r="AY281" s="1" t="s">
        <v>74</v>
      </c>
      <c r="AZ281" s="1" t="s">
        <v>74</v>
      </c>
      <c r="BA281" s="1" t="s">
        <v>74</v>
      </c>
      <c r="BB281" s="1" t="s">
        <v>74</v>
      </c>
      <c r="BC281" s="1" t="s">
        <v>74</v>
      </c>
      <c r="BD281" s="1" t="s">
        <v>74</v>
      </c>
      <c r="BE281" s="1" t="s">
        <v>2745</v>
      </c>
      <c r="BF281" s="2" t="str">
        <f>HYPERLINK("http://dx.doi.org/10.21037/jmai-24-408","http://dx.doi.org/10.21037/jmai-24-408")</f>
        <v>http://dx.doi.org/10.21037/jmai-24-408</v>
      </c>
      <c r="BG281" s="1" t="s">
        <v>74</v>
      </c>
      <c r="BH281" s="1" t="s">
        <v>526</v>
      </c>
      <c r="BI281" s="1" t="s">
        <v>74</v>
      </c>
      <c r="BJ281" s="1" t="s">
        <v>74</v>
      </c>
      <c r="BK281" s="1" t="s">
        <v>74</v>
      </c>
      <c r="BL281" s="1" t="s">
        <v>823</v>
      </c>
      <c r="BM281" s="1" t="s">
        <v>74</v>
      </c>
      <c r="BN281" s="1" t="s">
        <v>74</v>
      </c>
      <c r="BO281" s="1" t="s">
        <v>163</v>
      </c>
      <c r="BP281" s="1" t="s">
        <v>74</v>
      </c>
      <c r="BQ281" s="1" t="s">
        <v>74</v>
      </c>
      <c r="BR281" s="1" t="s">
        <v>74</v>
      </c>
      <c r="BS281" s="1" t="s">
        <v>2746</v>
      </c>
      <c r="BT281" s="1" t="str">
        <f>HYPERLINK("https%3A%2F%2Fwww.webofscience.com%2Fwos%2Fwoscc%2Ffull-record%2FWOS:001586976400001","View Full Record in Web of Science")</f>
        <v>View Full Record in Web of Science</v>
      </c>
    </row>
    <row r="282" ht="12.75" customHeight="1">
      <c r="A282" s="1" t="s">
        <v>72</v>
      </c>
      <c r="B282" s="1" t="s">
        <v>2747</v>
      </c>
      <c r="C282" s="1" t="s">
        <v>74</v>
      </c>
      <c r="D282" s="1" t="s">
        <v>74</v>
      </c>
      <c r="E282" s="1" t="s">
        <v>74</v>
      </c>
      <c r="F282" s="1" t="s">
        <v>2748</v>
      </c>
      <c r="G282" s="1" t="s">
        <v>74</v>
      </c>
      <c r="H282" s="1" t="s">
        <v>74</v>
      </c>
      <c r="I282" s="1" t="s">
        <v>2749</v>
      </c>
      <c r="J282" s="1" t="s">
        <v>2750</v>
      </c>
      <c r="K282" s="1" t="s">
        <v>74</v>
      </c>
      <c r="L282" s="1" t="s">
        <v>74</v>
      </c>
      <c r="M282" s="1" t="s">
        <v>74</v>
      </c>
      <c r="N282" s="1" t="s">
        <v>78</v>
      </c>
      <c r="O282" s="1" t="s">
        <v>74</v>
      </c>
      <c r="P282" s="1" t="s">
        <v>74</v>
      </c>
      <c r="Q282" s="1" t="s">
        <v>74</v>
      </c>
      <c r="R282" s="1" t="s">
        <v>74</v>
      </c>
      <c r="S282" s="1" t="s">
        <v>74</v>
      </c>
      <c r="T282" s="1" t="s">
        <v>2751</v>
      </c>
      <c r="U282" s="1" t="s">
        <v>2752</v>
      </c>
      <c r="V282" s="1" t="s">
        <v>2753</v>
      </c>
      <c r="W282" s="1" t="s">
        <v>74</v>
      </c>
      <c r="X282" s="1" t="s">
        <v>74</v>
      </c>
      <c r="Y282" s="1" t="s">
        <v>74</v>
      </c>
      <c r="Z282" s="1" t="s">
        <v>74</v>
      </c>
      <c r="AA282" s="1" t="s">
        <v>74</v>
      </c>
      <c r="AB282" s="1" t="s">
        <v>74</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74</v>
      </c>
      <c r="AP282" s="1" t="s">
        <v>2754</v>
      </c>
      <c r="AQ282" s="1" t="s">
        <v>74</v>
      </c>
      <c r="AR282" s="1" t="s">
        <v>74</v>
      </c>
      <c r="AS282" s="1" t="s">
        <v>74</v>
      </c>
      <c r="AT282" s="1" t="s">
        <v>200</v>
      </c>
      <c r="AU282" s="1">
        <v>2024.0</v>
      </c>
      <c r="AV282" s="1">
        <v>11.0</v>
      </c>
      <c r="AW282" s="1">
        <v>4.0</v>
      </c>
      <c r="AX282" s="1" t="s">
        <v>74</v>
      </c>
      <c r="AY282" s="1" t="s">
        <v>74</v>
      </c>
      <c r="AZ282" s="1" t="s">
        <v>74</v>
      </c>
      <c r="BA282" s="1" t="s">
        <v>74</v>
      </c>
      <c r="BB282" s="1" t="s">
        <v>74</v>
      </c>
      <c r="BC282" s="1" t="s">
        <v>74</v>
      </c>
      <c r="BD282" s="1">
        <v>78.0</v>
      </c>
      <c r="BE282" s="1" t="s">
        <v>2755</v>
      </c>
      <c r="BF282" s="2" t="str">
        <f>HYPERLINK("http://dx.doi.org/10.3390/informatics11040078","http://dx.doi.org/10.3390/informatics11040078")</f>
        <v>http://dx.doi.org/10.3390/informatics11040078</v>
      </c>
      <c r="BG282" s="1" t="s">
        <v>74</v>
      </c>
      <c r="BH282" s="1" t="s">
        <v>74</v>
      </c>
      <c r="BI282" s="1" t="s">
        <v>74</v>
      </c>
      <c r="BJ282" s="1" t="s">
        <v>74</v>
      </c>
      <c r="BK282" s="1" t="s">
        <v>74</v>
      </c>
      <c r="BL282" s="1" t="s">
        <v>174</v>
      </c>
      <c r="BM282" s="1" t="s">
        <v>74</v>
      </c>
      <c r="BN282" s="1" t="s">
        <v>74</v>
      </c>
      <c r="BO282" s="1" t="s">
        <v>163</v>
      </c>
      <c r="BP282" s="1" t="s">
        <v>74</v>
      </c>
      <c r="BQ282" s="1" t="s">
        <v>74</v>
      </c>
      <c r="BR282" s="1" t="s">
        <v>74</v>
      </c>
      <c r="BS282" s="1" t="s">
        <v>2756</v>
      </c>
      <c r="BT282" s="1" t="str">
        <f>HYPERLINK("https%3A%2F%2Fwww.webofscience.com%2Fwos%2Fwoscc%2Ffull-record%2FWOS:001384720300001","View Full Record in Web of Science")</f>
        <v>View Full Record in Web of Science</v>
      </c>
    </row>
    <row r="283" ht="12.75" customHeight="1">
      <c r="A283" s="1" t="s">
        <v>72</v>
      </c>
      <c r="B283" s="1" t="s">
        <v>2757</v>
      </c>
      <c r="C283" s="1" t="s">
        <v>74</v>
      </c>
      <c r="D283" s="1" t="s">
        <v>74</v>
      </c>
      <c r="E283" s="1" t="s">
        <v>74</v>
      </c>
      <c r="F283" s="1" t="s">
        <v>2758</v>
      </c>
      <c r="G283" s="1" t="s">
        <v>74</v>
      </c>
      <c r="H283" s="1" t="s">
        <v>74</v>
      </c>
      <c r="I283" s="1" t="s">
        <v>2759</v>
      </c>
      <c r="J283" s="1" t="s">
        <v>103</v>
      </c>
      <c r="K283" s="1" t="s">
        <v>74</v>
      </c>
      <c r="L283" s="1" t="s">
        <v>74</v>
      </c>
      <c r="M283" s="1" t="s">
        <v>74</v>
      </c>
      <c r="N283" s="1" t="s">
        <v>78</v>
      </c>
      <c r="O283" s="1" t="s">
        <v>74</v>
      </c>
      <c r="P283" s="1" t="s">
        <v>74</v>
      </c>
      <c r="Q283" s="1" t="s">
        <v>74</v>
      </c>
      <c r="R283" s="1" t="s">
        <v>74</v>
      </c>
      <c r="S283" s="1" t="s">
        <v>74</v>
      </c>
      <c r="T283" s="1" t="s">
        <v>2760</v>
      </c>
      <c r="U283" s="1" t="s">
        <v>74</v>
      </c>
      <c r="V283" s="1" t="s">
        <v>2761</v>
      </c>
      <c r="W283" s="1" t="s">
        <v>74</v>
      </c>
      <c r="X283" s="1" t="s">
        <v>74</v>
      </c>
      <c r="Y283" s="1" t="s">
        <v>74</v>
      </c>
      <c r="Z283" s="1" t="s">
        <v>74</v>
      </c>
      <c r="AA283" s="1" t="s">
        <v>74</v>
      </c>
      <c r="AB283" s="1" t="s">
        <v>74</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107</v>
      </c>
      <c r="AP283" s="1" t="s">
        <v>108</v>
      </c>
      <c r="AQ283" s="1" t="s">
        <v>74</v>
      </c>
      <c r="AR283" s="1" t="s">
        <v>74</v>
      </c>
      <c r="AS283" s="1" t="s">
        <v>74</v>
      </c>
      <c r="AT283" s="1" t="s">
        <v>2762</v>
      </c>
      <c r="AU283" s="1">
        <v>2025.0</v>
      </c>
      <c r="AV283" s="1">
        <v>148.0</v>
      </c>
      <c r="AW283" s="1" t="s">
        <v>74</v>
      </c>
      <c r="AX283" s="1" t="s">
        <v>74</v>
      </c>
      <c r="AY283" s="1" t="s">
        <v>74</v>
      </c>
      <c r="AZ283" s="1" t="s">
        <v>74</v>
      </c>
      <c r="BA283" s="1" t="s">
        <v>74</v>
      </c>
      <c r="BB283" s="1" t="s">
        <v>74</v>
      </c>
      <c r="BC283" s="1" t="s">
        <v>74</v>
      </c>
      <c r="BD283" s="1">
        <v>110319.0</v>
      </c>
      <c r="BE283" s="1" t="s">
        <v>2763</v>
      </c>
      <c r="BF283" s="2" t="str">
        <f>HYPERLINK("http://dx.doi.org/10.1016/j.engappai.2025.110319","http://dx.doi.org/10.1016/j.engappai.2025.110319")</f>
        <v>http://dx.doi.org/10.1016/j.engappai.2025.110319</v>
      </c>
      <c r="BG283" s="1" t="s">
        <v>74</v>
      </c>
      <c r="BH283" s="1" t="s">
        <v>347</v>
      </c>
      <c r="BI283" s="1" t="s">
        <v>74</v>
      </c>
      <c r="BJ283" s="1" t="s">
        <v>74</v>
      </c>
      <c r="BK283" s="1" t="s">
        <v>74</v>
      </c>
      <c r="BL283" s="1" t="s">
        <v>113</v>
      </c>
      <c r="BM283" s="1" t="s">
        <v>74</v>
      </c>
      <c r="BN283" s="1" t="s">
        <v>74</v>
      </c>
      <c r="BO283" s="1" t="s">
        <v>74</v>
      </c>
      <c r="BP283" s="1" t="s">
        <v>74</v>
      </c>
      <c r="BQ283" s="1" t="s">
        <v>74</v>
      </c>
      <c r="BR283" s="1" t="s">
        <v>74</v>
      </c>
      <c r="BS283" s="1" t="s">
        <v>2764</v>
      </c>
      <c r="BT283" s="1" t="str">
        <f>HYPERLINK("https%3A%2F%2Fwww.webofscience.com%2Fwos%2Fwoscc%2Ffull-record%2FWOS:001442158400001","View Full Record in Web of Science")</f>
        <v>View Full Record in Web of Science</v>
      </c>
    </row>
    <row r="284" ht="12.75" customHeight="1">
      <c r="A284" s="1" t="s">
        <v>72</v>
      </c>
      <c r="B284" s="1" t="s">
        <v>2765</v>
      </c>
      <c r="C284" s="1" t="s">
        <v>74</v>
      </c>
      <c r="D284" s="1" t="s">
        <v>74</v>
      </c>
      <c r="E284" s="1" t="s">
        <v>74</v>
      </c>
      <c r="F284" s="1" t="s">
        <v>2766</v>
      </c>
      <c r="G284" s="1" t="s">
        <v>74</v>
      </c>
      <c r="H284" s="1" t="s">
        <v>74</v>
      </c>
      <c r="I284" s="1" t="s">
        <v>2767</v>
      </c>
      <c r="J284" s="1" t="s">
        <v>2768</v>
      </c>
      <c r="K284" s="1" t="s">
        <v>74</v>
      </c>
      <c r="L284" s="1" t="s">
        <v>74</v>
      </c>
      <c r="M284" s="1" t="s">
        <v>74</v>
      </c>
      <c r="N284" s="1" t="s">
        <v>78</v>
      </c>
      <c r="O284" s="1" t="s">
        <v>74</v>
      </c>
      <c r="P284" s="1" t="s">
        <v>74</v>
      </c>
      <c r="Q284" s="1" t="s">
        <v>74</v>
      </c>
      <c r="R284" s="1" t="s">
        <v>74</v>
      </c>
      <c r="S284" s="1" t="s">
        <v>74</v>
      </c>
      <c r="T284" s="1" t="s">
        <v>2769</v>
      </c>
      <c r="U284" s="1" t="s">
        <v>2770</v>
      </c>
      <c r="V284" s="1" t="s">
        <v>2771</v>
      </c>
      <c r="W284" s="1" t="s">
        <v>74</v>
      </c>
      <c r="X284" s="1" t="s">
        <v>74</v>
      </c>
      <c r="Y284" s="1" t="s">
        <v>74</v>
      </c>
      <c r="Z284" s="1" t="s">
        <v>74</v>
      </c>
      <c r="AA284" s="1" t="s">
        <v>74</v>
      </c>
      <c r="AB284" s="1" t="s">
        <v>74</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2772</v>
      </c>
      <c r="AP284" s="1" t="s">
        <v>2773</v>
      </c>
      <c r="AQ284" s="1" t="s">
        <v>74</v>
      </c>
      <c r="AR284" s="1" t="s">
        <v>74</v>
      </c>
      <c r="AS284" s="1" t="s">
        <v>74</v>
      </c>
      <c r="AT284" s="1" t="s">
        <v>124</v>
      </c>
      <c r="AU284" s="1">
        <v>2026.0</v>
      </c>
      <c r="AV284" s="1">
        <v>234.0</v>
      </c>
      <c r="AW284" s="1" t="s">
        <v>74</v>
      </c>
      <c r="AX284" s="1" t="s">
        <v>74</v>
      </c>
      <c r="AY284" s="1" t="s">
        <v>74</v>
      </c>
      <c r="AZ284" s="1" t="s">
        <v>74</v>
      </c>
      <c r="BA284" s="1" t="s">
        <v>74</v>
      </c>
      <c r="BB284" s="1" t="s">
        <v>74</v>
      </c>
      <c r="BC284" s="1" t="s">
        <v>74</v>
      </c>
      <c r="BD284" s="1">
        <v>112699.0</v>
      </c>
      <c r="BE284" s="1" t="s">
        <v>2774</v>
      </c>
      <c r="BF284" s="2" t="str">
        <f>HYPERLINK("http://dx.doi.org/10.1016/j.jss.2025.112699","http://dx.doi.org/10.1016/j.jss.2025.112699")</f>
        <v>http://dx.doi.org/10.1016/j.jss.2025.112699</v>
      </c>
      <c r="BG284" s="1" t="s">
        <v>74</v>
      </c>
      <c r="BH284" s="1" t="s">
        <v>605</v>
      </c>
      <c r="BI284" s="1" t="s">
        <v>74</v>
      </c>
      <c r="BJ284" s="1" t="s">
        <v>74</v>
      </c>
      <c r="BK284" s="1" t="s">
        <v>74</v>
      </c>
      <c r="BL284" s="1" t="s">
        <v>174</v>
      </c>
      <c r="BM284" s="1" t="s">
        <v>74</v>
      </c>
      <c r="BN284" s="1" t="s">
        <v>74</v>
      </c>
      <c r="BO284" s="1" t="s">
        <v>114</v>
      </c>
      <c r="BP284" s="1" t="s">
        <v>74</v>
      </c>
      <c r="BQ284" s="1" t="s">
        <v>74</v>
      </c>
      <c r="BR284" s="1" t="s">
        <v>74</v>
      </c>
      <c r="BS284" s="1" t="s">
        <v>2775</v>
      </c>
      <c r="BT284" s="1" t="str">
        <f>HYPERLINK("https%3A%2F%2Fwww.webofscience.com%2Fwos%2Fwoscc%2Ffull-record%2FWOS:001637446000001","View Full Record in Web of Science")</f>
        <v>View Full Record in Web of Science</v>
      </c>
    </row>
    <row r="285" ht="12.75" customHeight="1">
      <c r="A285" s="1" t="s">
        <v>72</v>
      </c>
      <c r="B285" s="1" t="s">
        <v>2776</v>
      </c>
      <c r="C285" s="1" t="s">
        <v>74</v>
      </c>
      <c r="D285" s="1" t="s">
        <v>74</v>
      </c>
      <c r="E285" s="1" t="s">
        <v>74</v>
      </c>
      <c r="F285" s="1" t="s">
        <v>2777</v>
      </c>
      <c r="G285" s="1" t="s">
        <v>74</v>
      </c>
      <c r="H285" s="1" t="s">
        <v>74</v>
      </c>
      <c r="I285" s="1" t="s">
        <v>2778</v>
      </c>
      <c r="J285" s="1" t="s">
        <v>1914</v>
      </c>
      <c r="K285" s="1" t="s">
        <v>74</v>
      </c>
      <c r="L285" s="1" t="s">
        <v>74</v>
      </c>
      <c r="M285" s="1" t="s">
        <v>74</v>
      </c>
      <c r="N285" s="1" t="s">
        <v>78</v>
      </c>
      <c r="O285" s="1" t="s">
        <v>74</v>
      </c>
      <c r="P285" s="1" t="s">
        <v>74</v>
      </c>
      <c r="Q285" s="1" t="s">
        <v>74</v>
      </c>
      <c r="R285" s="1" t="s">
        <v>74</v>
      </c>
      <c r="S285" s="1" t="s">
        <v>74</v>
      </c>
      <c r="T285" s="1" t="s">
        <v>2779</v>
      </c>
      <c r="U285" s="1" t="s">
        <v>840</v>
      </c>
      <c r="V285" s="1" t="s">
        <v>2780</v>
      </c>
      <c r="W285" s="1" t="s">
        <v>74</v>
      </c>
      <c r="X285" s="1" t="s">
        <v>74</v>
      </c>
      <c r="Y285" s="1" t="s">
        <v>74</v>
      </c>
      <c r="Z285" s="1" t="s">
        <v>74</v>
      </c>
      <c r="AA285" s="1" t="s">
        <v>74</v>
      </c>
      <c r="AB285" s="1" t="s">
        <v>74</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1917</v>
      </c>
      <c r="AP285" s="1" t="s">
        <v>1918</v>
      </c>
      <c r="AQ285" s="1" t="s">
        <v>74</v>
      </c>
      <c r="AR285" s="1" t="s">
        <v>74</v>
      </c>
      <c r="AS285" s="1" t="s">
        <v>74</v>
      </c>
      <c r="AT285" s="1" t="s">
        <v>225</v>
      </c>
      <c r="AU285" s="1">
        <v>2025.0</v>
      </c>
      <c r="AV285" s="1">
        <v>36.0</v>
      </c>
      <c r="AW285" s="1">
        <v>7.0</v>
      </c>
      <c r="AX285" s="1" t="s">
        <v>74</v>
      </c>
      <c r="AY285" s="1" t="s">
        <v>74</v>
      </c>
      <c r="AZ285" s="1" t="s">
        <v>74</v>
      </c>
      <c r="BA285" s="1" t="s">
        <v>74</v>
      </c>
      <c r="BB285" s="1">
        <v>13417.0</v>
      </c>
      <c r="BC285" s="1">
        <v>13430.0</v>
      </c>
      <c r="BD285" s="1" t="s">
        <v>74</v>
      </c>
      <c r="BE285" s="1" t="s">
        <v>2781</v>
      </c>
      <c r="BF285" s="2" t="str">
        <f>HYPERLINK("http://dx.doi.org/10.1109/TNNLS.2024.3454237","http://dx.doi.org/10.1109/TNNLS.2024.3454237")</f>
        <v>http://dx.doi.org/10.1109/TNNLS.2024.3454237</v>
      </c>
      <c r="BG285" s="1" t="s">
        <v>74</v>
      </c>
      <c r="BH285" s="1" t="s">
        <v>453</v>
      </c>
      <c r="BI285" s="1" t="s">
        <v>74</v>
      </c>
      <c r="BJ285" s="1" t="s">
        <v>74</v>
      </c>
      <c r="BK285" s="1" t="s">
        <v>74</v>
      </c>
      <c r="BL285" s="1" t="s">
        <v>98</v>
      </c>
      <c r="BM285" s="1" t="s">
        <v>74</v>
      </c>
      <c r="BN285" s="1" t="s">
        <v>74</v>
      </c>
      <c r="BO285" s="1" t="s">
        <v>74</v>
      </c>
      <c r="BP285" s="1" t="s">
        <v>74</v>
      </c>
      <c r="BQ285" s="1" t="s">
        <v>74</v>
      </c>
      <c r="BR285" s="1" t="s">
        <v>74</v>
      </c>
      <c r="BS285" s="1" t="s">
        <v>2782</v>
      </c>
      <c r="BT285" s="1" t="str">
        <f>HYPERLINK("https%3A%2F%2Fwww.webofscience.com%2Fwos%2Fwoscc%2Ffull-record%2FWOS:001317693800001","View Full Record in Web of Science")</f>
        <v>View Full Record in Web of Science</v>
      </c>
    </row>
    <row r="286" ht="12.75" customHeight="1">
      <c r="A286" s="1" t="s">
        <v>72</v>
      </c>
      <c r="B286" s="1" t="s">
        <v>2783</v>
      </c>
      <c r="C286" s="1" t="s">
        <v>74</v>
      </c>
      <c r="D286" s="1" t="s">
        <v>74</v>
      </c>
      <c r="E286" s="1" t="s">
        <v>74</v>
      </c>
      <c r="F286" s="1" t="s">
        <v>2784</v>
      </c>
      <c r="G286" s="1" t="s">
        <v>74</v>
      </c>
      <c r="H286" s="1" t="s">
        <v>74</v>
      </c>
      <c r="I286" s="1" t="s">
        <v>2785</v>
      </c>
      <c r="J286" s="1" t="s">
        <v>1753</v>
      </c>
      <c r="K286" s="1" t="s">
        <v>74</v>
      </c>
      <c r="L286" s="1" t="s">
        <v>74</v>
      </c>
      <c r="M286" s="1" t="s">
        <v>74</v>
      </c>
      <c r="N286" s="1" t="s">
        <v>78</v>
      </c>
      <c r="O286" s="1" t="s">
        <v>74</v>
      </c>
      <c r="P286" s="1" t="s">
        <v>74</v>
      </c>
      <c r="Q286" s="1" t="s">
        <v>74</v>
      </c>
      <c r="R286" s="1" t="s">
        <v>74</v>
      </c>
      <c r="S286" s="1" t="s">
        <v>74</v>
      </c>
      <c r="T286" s="1" t="s">
        <v>2786</v>
      </c>
      <c r="U286" s="1" t="s">
        <v>74</v>
      </c>
      <c r="V286" s="1" t="s">
        <v>2787</v>
      </c>
      <c r="W286" s="1" t="s">
        <v>74</v>
      </c>
      <c r="X286" s="1" t="s">
        <v>74</v>
      </c>
      <c r="Y286" s="1" t="s">
        <v>74</v>
      </c>
      <c r="Z286" s="1" t="s">
        <v>74</v>
      </c>
      <c r="AA286" s="1" t="s">
        <v>74</v>
      </c>
      <c r="AB286" s="1" t="s">
        <v>74</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1757</v>
      </c>
      <c r="AP286" s="1" t="s">
        <v>1758</v>
      </c>
      <c r="AQ286" s="1" t="s">
        <v>74</v>
      </c>
      <c r="AR286" s="1" t="s">
        <v>74</v>
      </c>
      <c r="AS286" s="1" t="s">
        <v>74</v>
      </c>
      <c r="AT286" s="1" t="s">
        <v>357</v>
      </c>
      <c r="AU286" s="1">
        <v>2025.0</v>
      </c>
      <c r="AV286" s="1">
        <v>21.0</v>
      </c>
      <c r="AW286" s="1">
        <v>10.0</v>
      </c>
      <c r="AX286" s="1" t="s">
        <v>74</v>
      </c>
      <c r="AY286" s="1" t="s">
        <v>74</v>
      </c>
      <c r="AZ286" s="1" t="s">
        <v>74</v>
      </c>
      <c r="BA286" s="1" t="s">
        <v>74</v>
      </c>
      <c r="BB286" s="1">
        <v>8186.0</v>
      </c>
      <c r="BC286" s="1">
        <v>8197.0</v>
      </c>
      <c r="BD286" s="1" t="s">
        <v>74</v>
      </c>
      <c r="BE286" s="1" t="s">
        <v>2788</v>
      </c>
      <c r="BF286" s="2" t="str">
        <f>HYPERLINK("http://dx.doi.org/10.1109/TII.2025.3578123","http://dx.doi.org/10.1109/TII.2025.3578123")</f>
        <v>http://dx.doi.org/10.1109/TII.2025.3578123</v>
      </c>
      <c r="BG286" s="1" t="s">
        <v>74</v>
      </c>
      <c r="BH286" s="1" t="s">
        <v>276</v>
      </c>
      <c r="BI286" s="1" t="s">
        <v>74</v>
      </c>
      <c r="BJ286" s="1" t="s">
        <v>74</v>
      </c>
      <c r="BK286" s="1" t="s">
        <v>74</v>
      </c>
      <c r="BL286" s="1" t="s">
        <v>113</v>
      </c>
      <c r="BM286" s="1" t="s">
        <v>74</v>
      </c>
      <c r="BN286" s="1" t="s">
        <v>74</v>
      </c>
      <c r="BO286" s="1" t="s">
        <v>74</v>
      </c>
      <c r="BP286" s="1" t="s">
        <v>74</v>
      </c>
      <c r="BQ286" s="1" t="s">
        <v>74</v>
      </c>
      <c r="BR286" s="1" t="s">
        <v>74</v>
      </c>
      <c r="BS286" s="1" t="s">
        <v>2789</v>
      </c>
      <c r="BT286" s="1" t="str">
        <f>HYPERLINK("https%3A%2F%2Fwww.webofscience.com%2Fwos%2Fwoscc%2Ffull-record%2FWOS:001547006500001","View Full Record in Web of Science")</f>
        <v>View Full Record in Web of Science</v>
      </c>
    </row>
    <row r="287" ht="12.75" customHeight="1">
      <c r="A287" s="1" t="s">
        <v>72</v>
      </c>
      <c r="B287" s="1" t="s">
        <v>2790</v>
      </c>
      <c r="C287" s="1" t="s">
        <v>74</v>
      </c>
      <c r="D287" s="1" t="s">
        <v>74</v>
      </c>
      <c r="E287" s="1" t="s">
        <v>74</v>
      </c>
      <c r="F287" s="1" t="s">
        <v>2791</v>
      </c>
      <c r="G287" s="1" t="s">
        <v>74</v>
      </c>
      <c r="H287" s="1" t="s">
        <v>74</v>
      </c>
      <c r="I287" s="1" t="s">
        <v>2792</v>
      </c>
      <c r="J287" s="1" t="s">
        <v>458</v>
      </c>
      <c r="K287" s="1" t="s">
        <v>74</v>
      </c>
      <c r="L287" s="1" t="s">
        <v>74</v>
      </c>
      <c r="M287" s="1" t="s">
        <v>74</v>
      </c>
      <c r="N287" s="1" t="s">
        <v>78</v>
      </c>
      <c r="O287" s="1" t="s">
        <v>74</v>
      </c>
      <c r="P287" s="1" t="s">
        <v>74</v>
      </c>
      <c r="Q287" s="1" t="s">
        <v>74</v>
      </c>
      <c r="R287" s="1" t="s">
        <v>74</v>
      </c>
      <c r="S287" s="1" t="s">
        <v>74</v>
      </c>
      <c r="T287" s="1" t="s">
        <v>2793</v>
      </c>
      <c r="U287" s="1" t="s">
        <v>74</v>
      </c>
      <c r="V287" s="1" t="s">
        <v>2794</v>
      </c>
      <c r="W287" s="1" t="s">
        <v>74</v>
      </c>
      <c r="X287" s="1" t="s">
        <v>74</v>
      </c>
      <c r="Y287" s="1" t="s">
        <v>74</v>
      </c>
      <c r="Z287" s="1" t="s">
        <v>74</v>
      </c>
      <c r="AA287" s="1" t="s">
        <v>74</v>
      </c>
      <c r="AB287" s="1" t="s">
        <v>74</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462</v>
      </c>
      <c r="AP287" s="1" t="s">
        <v>463</v>
      </c>
      <c r="AQ287" s="1" t="s">
        <v>74</v>
      </c>
      <c r="AR287" s="1" t="s">
        <v>74</v>
      </c>
      <c r="AS287" s="1" t="s">
        <v>74</v>
      </c>
      <c r="AT287" s="1" t="s">
        <v>736</v>
      </c>
      <c r="AU287" s="1">
        <v>2026.0</v>
      </c>
      <c r="AV287" s="1">
        <v>204.0</v>
      </c>
      <c r="AW287" s="1" t="s">
        <v>74</v>
      </c>
      <c r="AX287" s="1" t="s">
        <v>74</v>
      </c>
      <c r="AY287" s="1" t="s">
        <v>74</v>
      </c>
      <c r="AZ287" s="1" t="s">
        <v>74</v>
      </c>
      <c r="BA287" s="1" t="s">
        <v>74</v>
      </c>
      <c r="BB287" s="1" t="s">
        <v>74</v>
      </c>
      <c r="BC287" s="1" t="s">
        <v>74</v>
      </c>
      <c r="BD287" s="1">
        <v>109333.0</v>
      </c>
      <c r="BE287" s="1" t="s">
        <v>2795</v>
      </c>
      <c r="BF287" s="2" t="str">
        <f>HYPERLINK("http://dx.doi.org/10.1016/j.compchemeng.2025.109333","http://dx.doi.org/10.1016/j.compchemeng.2025.109333")</f>
        <v>http://dx.doi.org/10.1016/j.compchemeng.2025.109333</v>
      </c>
      <c r="BG287" s="1" t="s">
        <v>74</v>
      </c>
      <c r="BH287" s="1" t="s">
        <v>276</v>
      </c>
      <c r="BI287" s="1" t="s">
        <v>74</v>
      </c>
      <c r="BJ287" s="1" t="s">
        <v>74</v>
      </c>
      <c r="BK287" s="1" t="s">
        <v>74</v>
      </c>
      <c r="BL287" s="1" t="s">
        <v>98</v>
      </c>
      <c r="BM287" s="1" t="s">
        <v>74</v>
      </c>
      <c r="BN287" s="1" t="s">
        <v>74</v>
      </c>
      <c r="BO287" s="1" t="s">
        <v>114</v>
      </c>
      <c r="BP287" s="1" t="s">
        <v>74</v>
      </c>
      <c r="BQ287" s="1" t="s">
        <v>74</v>
      </c>
      <c r="BR287" s="1" t="s">
        <v>74</v>
      </c>
      <c r="BS287" s="1" t="s">
        <v>2796</v>
      </c>
      <c r="BT287" s="1" t="str">
        <f>HYPERLINK("https%3A%2F%2Fwww.webofscience.com%2Fwos%2Fwoscc%2Ffull-record%2FWOS:001604870200001","View Full Record in Web of Science")</f>
        <v>View Full Record in Web of Science</v>
      </c>
    </row>
    <row r="288" ht="12.75" customHeight="1">
      <c r="A288" s="1" t="s">
        <v>72</v>
      </c>
      <c r="B288" s="1" t="s">
        <v>2797</v>
      </c>
      <c r="C288" s="1" t="s">
        <v>74</v>
      </c>
      <c r="D288" s="1" t="s">
        <v>74</v>
      </c>
      <c r="E288" s="1" t="s">
        <v>74</v>
      </c>
      <c r="F288" s="1" t="s">
        <v>2798</v>
      </c>
      <c r="G288" s="1" t="s">
        <v>74</v>
      </c>
      <c r="H288" s="1" t="s">
        <v>74</v>
      </c>
      <c r="I288" s="1" t="s">
        <v>2799</v>
      </c>
      <c r="J288" s="1" t="s">
        <v>2800</v>
      </c>
      <c r="K288" s="1" t="s">
        <v>74</v>
      </c>
      <c r="L288" s="1" t="s">
        <v>74</v>
      </c>
      <c r="M288" s="1" t="s">
        <v>74</v>
      </c>
      <c r="N288" s="1" t="s">
        <v>78</v>
      </c>
      <c r="O288" s="1" t="s">
        <v>74</v>
      </c>
      <c r="P288" s="1" t="s">
        <v>74</v>
      </c>
      <c r="Q288" s="1" t="s">
        <v>74</v>
      </c>
      <c r="R288" s="1" t="s">
        <v>74</v>
      </c>
      <c r="S288" s="1" t="s">
        <v>74</v>
      </c>
      <c r="T288" s="1" t="s">
        <v>74</v>
      </c>
      <c r="U288" s="1" t="s">
        <v>74</v>
      </c>
      <c r="V288" s="1" t="s">
        <v>2801</v>
      </c>
      <c r="W288" s="1" t="s">
        <v>74</v>
      </c>
      <c r="X288" s="1" t="s">
        <v>74</v>
      </c>
      <c r="Y288" s="1" t="s">
        <v>74</v>
      </c>
      <c r="Z288" s="1" t="s">
        <v>74</v>
      </c>
      <c r="AA288" s="1" t="s">
        <v>74</v>
      </c>
      <c r="AB288" s="1" t="s">
        <v>74</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2802</v>
      </c>
      <c r="AP288" s="1" t="s">
        <v>2803</v>
      </c>
      <c r="AQ288" s="1" t="s">
        <v>74</v>
      </c>
      <c r="AR288" s="1" t="s">
        <v>74</v>
      </c>
      <c r="AS288" s="1" t="s">
        <v>74</v>
      </c>
      <c r="AT288" s="1" t="s">
        <v>200</v>
      </c>
      <c r="AU288" s="1">
        <v>2024.0</v>
      </c>
      <c r="AV288" s="1">
        <v>51.0</v>
      </c>
      <c r="AW288" s="1">
        <v>2.0</v>
      </c>
      <c r="AX288" s="1" t="s">
        <v>74</v>
      </c>
      <c r="AY288" s="1" t="s">
        <v>74</v>
      </c>
      <c r="AZ288" s="1" t="s">
        <v>74</v>
      </c>
      <c r="BA288" s="1" t="s">
        <v>74</v>
      </c>
      <c r="BB288" s="1">
        <v>211.0</v>
      </c>
      <c r="BC288" s="1">
        <v>231.0</v>
      </c>
      <c r="BD288" s="1" t="s">
        <v>74</v>
      </c>
      <c r="BE288" s="1" t="s">
        <v>2804</v>
      </c>
      <c r="BF288" s="2" t="str">
        <f>HYPERLINK("http://dx.doi.org/10.3905/jpm.2024.1.645","http://dx.doi.org/10.3905/jpm.2024.1.645")</f>
        <v>http://dx.doi.org/10.3905/jpm.2024.1.645</v>
      </c>
      <c r="BG288" s="1" t="s">
        <v>74</v>
      </c>
      <c r="BH288" s="1" t="s">
        <v>74</v>
      </c>
      <c r="BI288" s="1" t="s">
        <v>74</v>
      </c>
      <c r="BJ288" s="1" t="s">
        <v>74</v>
      </c>
      <c r="BK288" s="1" t="s">
        <v>74</v>
      </c>
      <c r="BL288" s="1" t="s">
        <v>214</v>
      </c>
      <c r="BM288" s="1" t="s">
        <v>74</v>
      </c>
      <c r="BN288" s="1" t="s">
        <v>74</v>
      </c>
      <c r="BO288" s="1" t="s">
        <v>74</v>
      </c>
      <c r="BP288" s="1" t="s">
        <v>74</v>
      </c>
      <c r="BQ288" s="1" t="s">
        <v>74</v>
      </c>
      <c r="BR288" s="1" t="s">
        <v>74</v>
      </c>
      <c r="BS288" s="1" t="s">
        <v>2805</v>
      </c>
      <c r="BT288" s="1" t="str">
        <f>HYPERLINK("https%3A%2F%2Fwww.webofscience.com%2Fwos%2Fwoscc%2Ffull-record%2FWOS:001388459900001","View Full Record in Web of Science")</f>
        <v>View Full Record in Web of Science</v>
      </c>
    </row>
    <row r="289" ht="12.75" customHeight="1">
      <c r="A289" s="1" t="s">
        <v>72</v>
      </c>
      <c r="B289" s="1" t="s">
        <v>2806</v>
      </c>
      <c r="C289" s="1" t="s">
        <v>74</v>
      </c>
      <c r="D289" s="1" t="s">
        <v>74</v>
      </c>
      <c r="E289" s="1" t="s">
        <v>74</v>
      </c>
      <c r="F289" s="1" t="s">
        <v>2807</v>
      </c>
      <c r="G289" s="1" t="s">
        <v>74</v>
      </c>
      <c r="H289" s="1" t="s">
        <v>74</v>
      </c>
      <c r="I289" s="1" t="s">
        <v>2808</v>
      </c>
      <c r="J289" s="1" t="s">
        <v>2809</v>
      </c>
      <c r="K289" s="1" t="s">
        <v>74</v>
      </c>
      <c r="L289" s="1" t="s">
        <v>74</v>
      </c>
      <c r="M289" s="1" t="s">
        <v>74</v>
      </c>
      <c r="N289" s="1" t="s">
        <v>78</v>
      </c>
      <c r="O289" s="1" t="s">
        <v>74</v>
      </c>
      <c r="P289" s="1" t="s">
        <v>74</v>
      </c>
      <c r="Q289" s="1" t="s">
        <v>74</v>
      </c>
      <c r="R289" s="1" t="s">
        <v>74</v>
      </c>
      <c r="S289" s="1" t="s">
        <v>74</v>
      </c>
      <c r="T289" s="1" t="s">
        <v>2810</v>
      </c>
      <c r="U289" s="1" t="s">
        <v>74</v>
      </c>
      <c r="V289" s="1" t="s">
        <v>2811</v>
      </c>
      <c r="W289" s="1" t="s">
        <v>74</v>
      </c>
      <c r="X289" s="1" t="s">
        <v>74</v>
      </c>
      <c r="Y289" s="1" t="s">
        <v>74</v>
      </c>
      <c r="Z289" s="1" t="s">
        <v>74</v>
      </c>
      <c r="AA289" s="1" t="s">
        <v>74</v>
      </c>
      <c r="AB289" s="1" t="s">
        <v>74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2812</v>
      </c>
      <c r="AP289" s="1" t="s">
        <v>2813</v>
      </c>
      <c r="AQ289" s="1" t="s">
        <v>74</v>
      </c>
      <c r="AR289" s="1" t="s">
        <v>74</v>
      </c>
      <c r="AS289" s="1" t="s">
        <v>74</v>
      </c>
      <c r="AT289" s="1" t="s">
        <v>357</v>
      </c>
      <c r="AU289" s="1">
        <v>2025.0</v>
      </c>
      <c r="AV289" s="1">
        <v>17.0</v>
      </c>
      <c r="AW289" s="1">
        <v>5.0</v>
      </c>
      <c r="AX289" s="1" t="s">
        <v>74</v>
      </c>
      <c r="AY289" s="1" t="s">
        <v>74</v>
      </c>
      <c r="AZ289" s="1" t="s">
        <v>74</v>
      </c>
      <c r="BA289" s="1" t="s">
        <v>74</v>
      </c>
      <c r="BB289" s="1">
        <v>1141.0</v>
      </c>
      <c r="BC289" s="1">
        <v>1152.0</v>
      </c>
      <c r="BD289" s="1" t="s">
        <v>74</v>
      </c>
      <c r="BE289" s="1" t="s">
        <v>2814</v>
      </c>
      <c r="BF289" s="2" t="str">
        <f>HYPERLINK("http://dx.doi.org/10.1109/TCDS.2025.3551298","http://dx.doi.org/10.1109/TCDS.2025.3551298")</f>
        <v>http://dx.doi.org/10.1109/TCDS.2025.3551298</v>
      </c>
      <c r="BG289" s="1" t="s">
        <v>74</v>
      </c>
      <c r="BH289" s="1" t="s">
        <v>74</v>
      </c>
      <c r="BI289" s="1" t="s">
        <v>74</v>
      </c>
      <c r="BJ289" s="1" t="s">
        <v>74</v>
      </c>
      <c r="BK289" s="1" t="s">
        <v>74</v>
      </c>
      <c r="BL289" s="1" t="s">
        <v>2815</v>
      </c>
      <c r="BM289" s="1" t="s">
        <v>74</v>
      </c>
      <c r="BN289" s="1" t="s">
        <v>74</v>
      </c>
      <c r="BO289" s="1" t="s">
        <v>74</v>
      </c>
      <c r="BP289" s="1" t="s">
        <v>74</v>
      </c>
      <c r="BQ289" s="1" t="s">
        <v>74</v>
      </c>
      <c r="BR289" s="1" t="s">
        <v>74</v>
      </c>
      <c r="BS289" s="1" t="s">
        <v>2816</v>
      </c>
      <c r="BT289" s="1" t="str">
        <f>HYPERLINK("https%3A%2F%2Fwww.webofscience.com%2Fwos%2Fwoscc%2Ffull-record%2FWOS:001592218900017","View Full Record in Web of Science")</f>
        <v>View Full Record in Web of Science</v>
      </c>
    </row>
    <row r="290" ht="12.75" customHeight="1">
      <c r="A290" s="1" t="s">
        <v>72</v>
      </c>
      <c r="B290" s="1" t="s">
        <v>2817</v>
      </c>
      <c r="C290" s="1" t="s">
        <v>74</v>
      </c>
      <c r="D290" s="1" t="s">
        <v>74</v>
      </c>
      <c r="E290" s="1" t="s">
        <v>74</v>
      </c>
      <c r="F290" s="1" t="s">
        <v>2818</v>
      </c>
      <c r="G290" s="1" t="s">
        <v>74</v>
      </c>
      <c r="H290" s="1" t="s">
        <v>74</v>
      </c>
      <c r="I290" s="1" t="s">
        <v>2819</v>
      </c>
      <c r="J290" s="1" t="s">
        <v>569</v>
      </c>
      <c r="K290" s="1" t="s">
        <v>74</v>
      </c>
      <c r="L290" s="1" t="s">
        <v>74</v>
      </c>
      <c r="M290" s="1" t="s">
        <v>74</v>
      </c>
      <c r="N290" s="1" t="s">
        <v>78</v>
      </c>
      <c r="O290" s="1" t="s">
        <v>74</v>
      </c>
      <c r="P290" s="1" t="s">
        <v>74</v>
      </c>
      <c r="Q290" s="1" t="s">
        <v>74</v>
      </c>
      <c r="R290" s="1" t="s">
        <v>74</v>
      </c>
      <c r="S290" s="1" t="s">
        <v>74</v>
      </c>
      <c r="T290" s="1" t="s">
        <v>2820</v>
      </c>
      <c r="U290" s="1" t="s">
        <v>1494</v>
      </c>
      <c r="V290" s="1" t="s">
        <v>2821</v>
      </c>
      <c r="W290" s="1" t="s">
        <v>74</v>
      </c>
      <c r="X290" s="1" t="s">
        <v>74</v>
      </c>
      <c r="Y290" s="1" t="s">
        <v>74</v>
      </c>
      <c r="Z290" s="1" t="s">
        <v>74</v>
      </c>
      <c r="AA290" s="1" t="s">
        <v>74</v>
      </c>
      <c r="AB290" s="1" t="s">
        <v>74</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572</v>
      </c>
      <c r="AP290" s="1" t="s">
        <v>573</v>
      </c>
      <c r="AQ290" s="1" t="s">
        <v>74</v>
      </c>
      <c r="AR290" s="1" t="s">
        <v>74</v>
      </c>
      <c r="AS290" s="1" t="s">
        <v>74</v>
      </c>
      <c r="AT290" s="1" t="s">
        <v>2822</v>
      </c>
      <c r="AU290" s="1">
        <v>2025.0</v>
      </c>
      <c r="AV290" s="1">
        <v>58.0</v>
      </c>
      <c r="AW290" s="1">
        <v>12.0</v>
      </c>
      <c r="AX290" s="1" t="s">
        <v>74</v>
      </c>
      <c r="AY290" s="1" t="s">
        <v>74</v>
      </c>
      <c r="AZ290" s="1" t="s">
        <v>74</v>
      </c>
      <c r="BA290" s="1" t="s">
        <v>74</v>
      </c>
      <c r="BB290" s="1" t="s">
        <v>74</v>
      </c>
      <c r="BC290" s="1" t="s">
        <v>74</v>
      </c>
      <c r="BD290" s="1">
        <v>383.0</v>
      </c>
      <c r="BE290" s="1" t="s">
        <v>2823</v>
      </c>
      <c r="BF290" s="2" t="str">
        <f>HYPERLINK("http://dx.doi.org/10.1007/s10462-025-11398-1","http://dx.doi.org/10.1007/s10462-025-11398-1")</f>
        <v>http://dx.doi.org/10.1007/s10462-025-11398-1</v>
      </c>
      <c r="BG290" s="1" t="s">
        <v>74</v>
      </c>
      <c r="BH290" s="1" t="s">
        <v>74</v>
      </c>
      <c r="BI290" s="1" t="s">
        <v>74</v>
      </c>
      <c r="BJ290" s="1" t="s">
        <v>74</v>
      </c>
      <c r="BK290" s="1" t="s">
        <v>74</v>
      </c>
      <c r="BL290" s="1" t="s">
        <v>174</v>
      </c>
      <c r="BM290" s="1" t="s">
        <v>74</v>
      </c>
      <c r="BN290" s="1" t="s">
        <v>74</v>
      </c>
      <c r="BO290" s="1" t="s">
        <v>114</v>
      </c>
      <c r="BP290" s="1" t="s">
        <v>74</v>
      </c>
      <c r="BQ290" s="1" t="s">
        <v>74</v>
      </c>
      <c r="BR290" s="1" t="s">
        <v>74</v>
      </c>
      <c r="BS290" s="1" t="s">
        <v>2824</v>
      </c>
      <c r="BT290" s="1" t="str">
        <f>HYPERLINK("https%3A%2F%2Fwww.webofscience.com%2Fwos%2Fwoscc%2Ffull-record%2FWOS:001595347400006","View Full Record in Web of Science")</f>
        <v>View Full Record in Web of Science</v>
      </c>
    </row>
    <row r="291" ht="12.75" customHeight="1">
      <c r="A291" s="1" t="s">
        <v>72</v>
      </c>
      <c r="B291" s="1" t="s">
        <v>2825</v>
      </c>
      <c r="C291" s="1" t="s">
        <v>74</v>
      </c>
      <c r="D291" s="1" t="s">
        <v>74</v>
      </c>
      <c r="E291" s="1" t="s">
        <v>74</v>
      </c>
      <c r="F291" s="1" t="s">
        <v>2826</v>
      </c>
      <c r="G291" s="1" t="s">
        <v>74</v>
      </c>
      <c r="H291" s="1" t="s">
        <v>74</v>
      </c>
      <c r="I291" s="1" t="s">
        <v>2827</v>
      </c>
      <c r="J291" s="1" t="s">
        <v>2828</v>
      </c>
      <c r="K291" s="1" t="s">
        <v>74</v>
      </c>
      <c r="L291" s="1" t="s">
        <v>74</v>
      </c>
      <c r="M291" s="1" t="s">
        <v>74</v>
      </c>
      <c r="N291" s="1" t="s">
        <v>78</v>
      </c>
      <c r="O291" s="1" t="s">
        <v>74</v>
      </c>
      <c r="P291" s="1" t="s">
        <v>74</v>
      </c>
      <c r="Q291" s="1" t="s">
        <v>74</v>
      </c>
      <c r="R291" s="1" t="s">
        <v>74</v>
      </c>
      <c r="S291" s="1" t="s">
        <v>74</v>
      </c>
      <c r="T291" s="1" t="s">
        <v>2829</v>
      </c>
      <c r="U291" s="1" t="s">
        <v>74</v>
      </c>
      <c r="V291" s="1" t="s">
        <v>2830</v>
      </c>
      <c r="W291" s="1" t="s">
        <v>74</v>
      </c>
      <c r="X291" s="1" t="s">
        <v>74</v>
      </c>
      <c r="Y291" s="1" t="s">
        <v>74</v>
      </c>
      <c r="Z291" s="1" t="s">
        <v>74</v>
      </c>
      <c r="AA291" s="1" t="s">
        <v>74</v>
      </c>
      <c r="AB291" s="1" t="s">
        <v>74</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2831</v>
      </c>
      <c r="AP291" s="1" t="s">
        <v>2832</v>
      </c>
      <c r="AQ291" s="1" t="s">
        <v>74</v>
      </c>
      <c r="AR291" s="1" t="s">
        <v>74</v>
      </c>
      <c r="AS291" s="1" t="s">
        <v>74</v>
      </c>
      <c r="AT291" s="1" t="s">
        <v>2833</v>
      </c>
      <c r="AU291" s="1">
        <v>2025.0</v>
      </c>
      <c r="AV291" s="1">
        <v>37.0</v>
      </c>
      <c r="AW291" s="1">
        <v>1.0</v>
      </c>
      <c r="AX291" s="1" t="s">
        <v>74</v>
      </c>
      <c r="AY291" s="1" t="s">
        <v>74</v>
      </c>
      <c r="AZ291" s="1" t="s">
        <v>74</v>
      </c>
      <c r="BA291" s="1" t="s">
        <v>74</v>
      </c>
      <c r="BB291" s="1" t="s">
        <v>74</v>
      </c>
      <c r="BC291" s="1" t="s">
        <v>74</v>
      </c>
      <c r="BD291" s="1">
        <v>2587447.0</v>
      </c>
      <c r="BE291" s="1" t="s">
        <v>2834</v>
      </c>
      <c r="BF291" s="2" t="str">
        <f>HYPERLINK("http://dx.doi.org/10.1080/09540091.2025.2587447","http://dx.doi.org/10.1080/09540091.2025.2587447")</f>
        <v>http://dx.doi.org/10.1080/09540091.2025.2587447</v>
      </c>
      <c r="BG291" s="1" t="s">
        <v>74</v>
      </c>
      <c r="BH291" s="1" t="s">
        <v>74</v>
      </c>
      <c r="BI291" s="1" t="s">
        <v>74</v>
      </c>
      <c r="BJ291" s="1" t="s">
        <v>74</v>
      </c>
      <c r="BK291" s="1" t="s">
        <v>74</v>
      </c>
      <c r="BL291" s="1" t="s">
        <v>174</v>
      </c>
      <c r="BM291" s="1" t="s">
        <v>74</v>
      </c>
      <c r="BN291" s="1" t="s">
        <v>74</v>
      </c>
      <c r="BO291" s="1" t="s">
        <v>163</v>
      </c>
      <c r="BP291" s="1" t="s">
        <v>74</v>
      </c>
      <c r="BQ291" s="1" t="s">
        <v>74</v>
      </c>
      <c r="BR291" s="1" t="s">
        <v>74</v>
      </c>
      <c r="BS291" s="1" t="s">
        <v>2835</v>
      </c>
      <c r="BT291" s="1" t="str">
        <f>HYPERLINK("https%3A%2F%2Fwww.webofscience.com%2Fwos%2Fwoscc%2Ffull-record%2FWOS:001619992100001","View Full Record in Web of Science")</f>
        <v>View Full Record in Web of Science</v>
      </c>
    </row>
    <row r="292" ht="12.75" customHeight="1">
      <c r="A292" s="1" t="s">
        <v>72</v>
      </c>
      <c r="B292" s="1" t="s">
        <v>2836</v>
      </c>
      <c r="C292" s="1" t="s">
        <v>74</v>
      </c>
      <c r="D292" s="1" t="s">
        <v>74</v>
      </c>
      <c r="E292" s="1" t="s">
        <v>74</v>
      </c>
      <c r="F292" s="1" t="s">
        <v>2837</v>
      </c>
      <c r="G292" s="1" t="s">
        <v>74</v>
      </c>
      <c r="H292" s="1" t="s">
        <v>74</v>
      </c>
      <c r="I292" s="1" t="s">
        <v>2838</v>
      </c>
      <c r="J292" s="1" t="s">
        <v>2839</v>
      </c>
      <c r="K292" s="1" t="s">
        <v>74</v>
      </c>
      <c r="L292" s="1" t="s">
        <v>74</v>
      </c>
      <c r="M292" s="1" t="s">
        <v>74</v>
      </c>
      <c r="N292" s="1" t="s">
        <v>78</v>
      </c>
      <c r="O292" s="1" t="s">
        <v>74</v>
      </c>
      <c r="P292" s="1" t="s">
        <v>74</v>
      </c>
      <c r="Q292" s="1" t="s">
        <v>74</v>
      </c>
      <c r="R292" s="1" t="s">
        <v>74</v>
      </c>
      <c r="S292" s="1" t="s">
        <v>74</v>
      </c>
      <c r="T292" s="1" t="s">
        <v>2840</v>
      </c>
      <c r="U292" s="1" t="s">
        <v>74</v>
      </c>
      <c r="V292" s="1" t="s">
        <v>2841</v>
      </c>
      <c r="W292" s="1" t="s">
        <v>74</v>
      </c>
      <c r="X292" s="1" t="s">
        <v>74</v>
      </c>
      <c r="Y292" s="1" t="s">
        <v>74</v>
      </c>
      <c r="Z292" s="1" t="s">
        <v>74</v>
      </c>
      <c r="AA292" s="1" t="s">
        <v>74</v>
      </c>
      <c r="AB292" s="1" t="s">
        <v>74</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74</v>
      </c>
      <c r="AP292" s="1" t="s">
        <v>2842</v>
      </c>
      <c r="AQ292" s="1" t="s">
        <v>74</v>
      </c>
      <c r="AR292" s="1" t="s">
        <v>74</v>
      </c>
      <c r="AS292" s="1" t="s">
        <v>74</v>
      </c>
      <c r="AT292" s="1" t="s">
        <v>262</v>
      </c>
      <c r="AU292" s="1">
        <v>2025.0</v>
      </c>
      <c r="AV292" s="1">
        <v>21.0</v>
      </c>
      <c r="AW292" s="1">
        <v>2.0</v>
      </c>
      <c r="AX292" s="1" t="s">
        <v>74</v>
      </c>
      <c r="AY292" s="1" t="s">
        <v>74</v>
      </c>
      <c r="AZ292" s="1" t="s">
        <v>74</v>
      </c>
      <c r="BA292" s="1" t="s">
        <v>74</v>
      </c>
      <c r="BB292" s="1" t="s">
        <v>74</v>
      </c>
      <c r="BC292" s="1" t="s">
        <v>74</v>
      </c>
      <c r="BD292" s="1" t="s">
        <v>74</v>
      </c>
      <c r="BE292" s="1" t="s">
        <v>2843</v>
      </c>
      <c r="BF292" s="2" t="str">
        <f>HYPERLINK("http://dx.doi.org/10.14254/1795-6889.2025.21-2.4","http://dx.doi.org/10.14254/1795-6889.2025.21-2.4")</f>
        <v>http://dx.doi.org/10.14254/1795-6889.2025.21-2.4</v>
      </c>
      <c r="BG292" s="1" t="s">
        <v>74</v>
      </c>
      <c r="BH292" s="1" t="s">
        <v>74</v>
      </c>
      <c r="BI292" s="1" t="s">
        <v>74</v>
      </c>
      <c r="BJ292" s="1" t="s">
        <v>74</v>
      </c>
      <c r="BK292" s="1" t="s">
        <v>74</v>
      </c>
      <c r="BL292" s="1" t="s">
        <v>2844</v>
      </c>
      <c r="BM292" s="1" t="s">
        <v>74</v>
      </c>
      <c r="BN292" s="1" t="s">
        <v>74</v>
      </c>
      <c r="BO292" s="1" t="s">
        <v>163</v>
      </c>
      <c r="BP292" s="1" t="s">
        <v>74</v>
      </c>
      <c r="BQ292" s="1" t="s">
        <v>74</v>
      </c>
      <c r="BR292" s="1" t="s">
        <v>74</v>
      </c>
      <c r="BS292" s="1" t="s">
        <v>2845</v>
      </c>
      <c r="BT292" s="1" t="str">
        <f>HYPERLINK("https%3A%2F%2Fwww.webofscience.com%2Fwos%2Fwoscc%2Ffull-record%2FWOS:001606067800001","View Full Record in Web of Science")</f>
        <v>View Full Record in Web of Science</v>
      </c>
    </row>
    <row r="293" ht="12.75" customHeight="1">
      <c r="A293" s="1" t="s">
        <v>72</v>
      </c>
      <c r="B293" s="1" t="s">
        <v>2846</v>
      </c>
      <c r="C293" s="1" t="s">
        <v>74</v>
      </c>
      <c r="D293" s="1" t="s">
        <v>74</v>
      </c>
      <c r="E293" s="1" t="s">
        <v>74</v>
      </c>
      <c r="F293" s="1" t="s">
        <v>2847</v>
      </c>
      <c r="G293" s="1" t="s">
        <v>74</v>
      </c>
      <c r="H293" s="1" t="s">
        <v>74</v>
      </c>
      <c r="I293" s="1" t="s">
        <v>2848</v>
      </c>
      <c r="J293" s="1" t="s">
        <v>1570</v>
      </c>
      <c r="K293" s="1" t="s">
        <v>74</v>
      </c>
      <c r="L293" s="1" t="s">
        <v>74</v>
      </c>
      <c r="M293" s="1" t="s">
        <v>74</v>
      </c>
      <c r="N293" s="1" t="s">
        <v>78</v>
      </c>
      <c r="O293" s="1" t="s">
        <v>74</v>
      </c>
      <c r="P293" s="1" t="s">
        <v>74</v>
      </c>
      <c r="Q293" s="1" t="s">
        <v>74</v>
      </c>
      <c r="R293" s="1" t="s">
        <v>74</v>
      </c>
      <c r="S293" s="1" t="s">
        <v>74</v>
      </c>
      <c r="T293" s="1" t="s">
        <v>2849</v>
      </c>
      <c r="U293" s="1" t="s">
        <v>2850</v>
      </c>
      <c r="V293" s="1" t="s">
        <v>2851</v>
      </c>
      <c r="W293" s="1" t="s">
        <v>74</v>
      </c>
      <c r="X293" s="1" t="s">
        <v>74</v>
      </c>
      <c r="Y293" s="1" t="s">
        <v>74</v>
      </c>
      <c r="Z293" s="1" t="s">
        <v>74</v>
      </c>
      <c r="AA293" s="1" t="s">
        <v>74</v>
      </c>
      <c r="AB293" s="1" t="s">
        <v>74</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1573</v>
      </c>
      <c r="AP293" s="1" t="s">
        <v>1574</v>
      </c>
      <c r="AQ293" s="1" t="s">
        <v>74</v>
      </c>
      <c r="AR293" s="1" t="s">
        <v>74</v>
      </c>
      <c r="AS293" s="1" t="s">
        <v>74</v>
      </c>
      <c r="AT293" s="1" t="s">
        <v>736</v>
      </c>
      <c r="AU293" s="1">
        <v>2025.0</v>
      </c>
      <c r="AV293" s="1">
        <v>31.0</v>
      </c>
      <c r="AW293" s="1">
        <v>1.0</v>
      </c>
      <c r="AX293" s="1" t="s">
        <v>74</v>
      </c>
      <c r="AY293" s="1" t="s">
        <v>74</v>
      </c>
      <c r="AZ293" s="1" t="s">
        <v>74</v>
      </c>
      <c r="BA293" s="1" t="s">
        <v>74</v>
      </c>
      <c r="BB293" s="1">
        <v>547.0</v>
      </c>
      <c r="BC293" s="1">
        <v>557.0</v>
      </c>
      <c r="BD293" s="1" t="s">
        <v>74</v>
      </c>
      <c r="BE293" s="1" t="s">
        <v>2852</v>
      </c>
      <c r="BF293" s="2" t="str">
        <f>HYPERLINK("http://dx.doi.org/10.1109/TVCG.2024.3456364","http://dx.doi.org/10.1109/TVCG.2024.3456364")</f>
        <v>http://dx.doi.org/10.1109/TVCG.2024.3456364</v>
      </c>
      <c r="BG293" s="1" t="s">
        <v>74</v>
      </c>
      <c r="BH293" s="1" t="s">
        <v>74</v>
      </c>
      <c r="BI293" s="1" t="s">
        <v>74</v>
      </c>
      <c r="BJ293" s="1" t="s">
        <v>74</v>
      </c>
      <c r="BK293" s="1" t="s">
        <v>74</v>
      </c>
      <c r="BL293" s="1" t="s">
        <v>174</v>
      </c>
      <c r="BM293" s="1" t="s">
        <v>74</v>
      </c>
      <c r="BN293" s="1" t="s">
        <v>74</v>
      </c>
      <c r="BO293" s="1" t="s">
        <v>127</v>
      </c>
      <c r="BP293" s="1" t="s">
        <v>74</v>
      </c>
      <c r="BQ293" s="1" t="s">
        <v>74</v>
      </c>
      <c r="BR293" s="1" t="s">
        <v>74</v>
      </c>
      <c r="BS293" s="1" t="s">
        <v>2853</v>
      </c>
      <c r="BT293" s="1" t="str">
        <f>HYPERLINK("https%3A%2F%2Fwww.webofscience.com%2Fwos%2Fwoscc%2Ffull-record%2FWOS:001370107500005","View Full Record in Web of Science")</f>
        <v>View Full Record in Web of Science</v>
      </c>
    </row>
    <row r="294" ht="12.75" customHeight="1">
      <c r="A294" s="1" t="s">
        <v>72</v>
      </c>
      <c r="B294" s="1" t="s">
        <v>2854</v>
      </c>
      <c r="C294" s="1" t="s">
        <v>74</v>
      </c>
      <c r="D294" s="1" t="s">
        <v>74</v>
      </c>
      <c r="E294" s="1" t="s">
        <v>74</v>
      </c>
      <c r="F294" s="1" t="s">
        <v>2855</v>
      </c>
      <c r="G294" s="1" t="s">
        <v>74</v>
      </c>
      <c r="H294" s="1" t="s">
        <v>74</v>
      </c>
      <c r="I294" s="1" t="s">
        <v>2856</v>
      </c>
      <c r="J294" s="1" t="s">
        <v>2857</v>
      </c>
      <c r="K294" s="1" t="s">
        <v>74</v>
      </c>
      <c r="L294" s="1" t="s">
        <v>74</v>
      </c>
      <c r="M294" s="1" t="s">
        <v>74</v>
      </c>
      <c r="N294" s="1" t="s">
        <v>78</v>
      </c>
      <c r="O294" s="1" t="s">
        <v>74</v>
      </c>
      <c r="P294" s="1" t="s">
        <v>74</v>
      </c>
      <c r="Q294" s="1" t="s">
        <v>74</v>
      </c>
      <c r="R294" s="1" t="s">
        <v>74</v>
      </c>
      <c r="S294" s="1" t="s">
        <v>74</v>
      </c>
      <c r="T294" s="1" t="s">
        <v>2858</v>
      </c>
      <c r="U294" s="1" t="s">
        <v>74</v>
      </c>
      <c r="V294" s="1" t="s">
        <v>2859</v>
      </c>
      <c r="W294" s="1" t="s">
        <v>74</v>
      </c>
      <c r="X294" s="1" t="s">
        <v>74</v>
      </c>
      <c r="Y294" s="1" t="s">
        <v>74</v>
      </c>
      <c r="Z294" s="1" t="s">
        <v>74</v>
      </c>
      <c r="AA294" s="1" t="s">
        <v>74</v>
      </c>
      <c r="AB294" s="1" t="s">
        <v>74</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2860</v>
      </c>
      <c r="AP294" s="1" t="s">
        <v>2861</v>
      </c>
      <c r="AQ294" s="1" t="s">
        <v>74</v>
      </c>
      <c r="AR294" s="1" t="s">
        <v>74</v>
      </c>
      <c r="AS294" s="1" t="s">
        <v>74</v>
      </c>
      <c r="AT294" s="1" t="s">
        <v>335</v>
      </c>
      <c r="AU294" s="1">
        <v>2025.0</v>
      </c>
      <c r="AV294" s="1">
        <v>29.0</v>
      </c>
      <c r="AW294" s="1">
        <v>6.0</v>
      </c>
      <c r="AX294" s="1" t="s">
        <v>74</v>
      </c>
      <c r="AY294" s="1" t="s">
        <v>74</v>
      </c>
      <c r="AZ294" s="1" t="s">
        <v>74</v>
      </c>
      <c r="BA294" s="1" t="s">
        <v>74</v>
      </c>
      <c r="BB294" s="1">
        <v>4498.0</v>
      </c>
      <c r="BC294" s="1">
        <v>4511.0</v>
      </c>
      <c r="BD294" s="1" t="s">
        <v>74</v>
      </c>
      <c r="BE294" s="1" t="s">
        <v>2862</v>
      </c>
      <c r="BF294" s="2" t="str">
        <f>HYPERLINK("http://dx.doi.org/10.1109/JBHI.2025.3528526","http://dx.doi.org/10.1109/JBHI.2025.3528526")</f>
        <v>http://dx.doi.org/10.1109/JBHI.2025.3528526</v>
      </c>
      <c r="BG294" s="1" t="s">
        <v>74</v>
      </c>
      <c r="BH294" s="1" t="s">
        <v>74</v>
      </c>
      <c r="BI294" s="1" t="s">
        <v>74</v>
      </c>
      <c r="BJ294" s="1" t="s">
        <v>74</v>
      </c>
      <c r="BK294" s="1" t="s">
        <v>74</v>
      </c>
      <c r="BL294" s="1" t="s">
        <v>2863</v>
      </c>
      <c r="BM294" s="1" t="s">
        <v>74</v>
      </c>
      <c r="BN294" s="1" t="s">
        <v>74</v>
      </c>
      <c r="BO294" s="1" t="s">
        <v>74</v>
      </c>
      <c r="BP294" s="1" t="s">
        <v>74</v>
      </c>
      <c r="BQ294" s="1" t="s">
        <v>74</v>
      </c>
      <c r="BR294" s="1" t="s">
        <v>74</v>
      </c>
      <c r="BS294" s="1" t="s">
        <v>2864</v>
      </c>
      <c r="BT294" s="1" t="str">
        <f>HYPERLINK("https%3A%2F%2Fwww.webofscience.com%2Fwos%2Fwoscc%2Ffull-record%2FWOS:001504143000048","View Full Record in Web of Science")</f>
        <v>View Full Record in Web of Science</v>
      </c>
    </row>
    <row r="295" ht="12.75" customHeight="1">
      <c r="A295" s="1" t="s">
        <v>72</v>
      </c>
      <c r="B295" s="1" t="s">
        <v>2865</v>
      </c>
      <c r="C295" s="1" t="s">
        <v>74</v>
      </c>
      <c r="D295" s="1" t="s">
        <v>74</v>
      </c>
      <c r="E295" s="1" t="s">
        <v>74</v>
      </c>
      <c r="F295" s="1" t="s">
        <v>2866</v>
      </c>
      <c r="G295" s="1" t="s">
        <v>74</v>
      </c>
      <c r="H295" s="1" t="s">
        <v>74</v>
      </c>
      <c r="I295" s="1" t="s">
        <v>2867</v>
      </c>
      <c r="J295" s="1" t="s">
        <v>2868</v>
      </c>
      <c r="K295" s="1" t="s">
        <v>74</v>
      </c>
      <c r="L295" s="1" t="s">
        <v>74</v>
      </c>
      <c r="M295" s="1" t="s">
        <v>74</v>
      </c>
      <c r="N295" s="1" t="s">
        <v>78</v>
      </c>
      <c r="O295" s="1" t="s">
        <v>74</v>
      </c>
      <c r="P295" s="1" t="s">
        <v>74</v>
      </c>
      <c r="Q295" s="1" t="s">
        <v>74</v>
      </c>
      <c r="R295" s="1" t="s">
        <v>74</v>
      </c>
      <c r="S295" s="1" t="s">
        <v>74</v>
      </c>
      <c r="T295" s="1" t="s">
        <v>2869</v>
      </c>
      <c r="U295" s="1" t="s">
        <v>74</v>
      </c>
      <c r="V295" s="1" t="s">
        <v>2870</v>
      </c>
      <c r="W295" s="1" t="s">
        <v>74</v>
      </c>
      <c r="X295" s="1" t="s">
        <v>74</v>
      </c>
      <c r="Y295" s="1" t="s">
        <v>74</v>
      </c>
      <c r="Z295" s="1" t="s">
        <v>74</v>
      </c>
      <c r="AA295" s="1" t="s">
        <v>74</v>
      </c>
      <c r="AB295" s="1" t="s">
        <v>74</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2871</v>
      </c>
      <c r="AP295" s="1" t="s">
        <v>2872</v>
      </c>
      <c r="AQ295" s="1" t="s">
        <v>74</v>
      </c>
      <c r="AR295" s="1" t="s">
        <v>74</v>
      </c>
      <c r="AS295" s="1" t="s">
        <v>74</v>
      </c>
      <c r="AT295" s="1" t="s">
        <v>736</v>
      </c>
      <c r="AU295" s="1">
        <v>2025.0</v>
      </c>
      <c r="AV295" s="1">
        <v>62.0</v>
      </c>
      <c r="AW295" s="1">
        <v>1.0</v>
      </c>
      <c r="AX295" s="1" t="s">
        <v>74</v>
      </c>
      <c r="AY295" s="1" t="s">
        <v>74</v>
      </c>
      <c r="AZ295" s="1" t="s">
        <v>74</v>
      </c>
      <c r="BA295" s="1" t="s">
        <v>74</v>
      </c>
      <c r="BB295" s="1" t="s">
        <v>74</v>
      </c>
      <c r="BC295" s="1" t="s">
        <v>74</v>
      </c>
      <c r="BD295" s="1">
        <v>103920.0</v>
      </c>
      <c r="BE295" s="1" t="s">
        <v>2873</v>
      </c>
      <c r="BF295" s="2" t="str">
        <f>HYPERLINK("http://dx.doi.org/10.1016/j.ipm.2024.103920","http://dx.doi.org/10.1016/j.ipm.2024.103920")</f>
        <v>http://dx.doi.org/10.1016/j.ipm.2024.103920</v>
      </c>
      <c r="BG295" s="1" t="s">
        <v>74</v>
      </c>
      <c r="BH295" s="1" t="s">
        <v>1747</v>
      </c>
      <c r="BI295" s="1" t="s">
        <v>74</v>
      </c>
      <c r="BJ295" s="1" t="s">
        <v>74</v>
      </c>
      <c r="BK295" s="1" t="s">
        <v>74</v>
      </c>
      <c r="BL295" s="1" t="s">
        <v>2874</v>
      </c>
      <c r="BM295" s="1" t="s">
        <v>74</v>
      </c>
      <c r="BN295" s="1" t="s">
        <v>74</v>
      </c>
      <c r="BO295" s="1" t="s">
        <v>127</v>
      </c>
      <c r="BP295" s="1" t="s">
        <v>74</v>
      </c>
      <c r="BQ295" s="1" t="s">
        <v>74</v>
      </c>
      <c r="BR295" s="1" t="s">
        <v>74</v>
      </c>
      <c r="BS295" s="1" t="s">
        <v>2875</v>
      </c>
      <c r="BT295" s="1" t="str">
        <f>HYPERLINK("https%3A%2F%2Fwww.webofscience.com%2Fwos%2Fwoscc%2Ffull-record%2FWOS:001339419600001","View Full Record in Web of Science")</f>
        <v>View Full Record in Web of Science</v>
      </c>
    </row>
    <row r="296" ht="12.75" customHeight="1">
      <c r="A296" s="1" t="s">
        <v>72</v>
      </c>
      <c r="B296" s="1" t="s">
        <v>2876</v>
      </c>
      <c r="C296" s="1" t="s">
        <v>74</v>
      </c>
      <c r="D296" s="1" t="s">
        <v>74</v>
      </c>
      <c r="E296" s="1" t="s">
        <v>74</v>
      </c>
      <c r="F296" s="1" t="s">
        <v>2877</v>
      </c>
      <c r="G296" s="1" t="s">
        <v>74</v>
      </c>
      <c r="H296" s="1" t="s">
        <v>74</v>
      </c>
      <c r="I296" s="1" t="s">
        <v>2878</v>
      </c>
      <c r="J296" s="1" t="s">
        <v>2879</v>
      </c>
      <c r="K296" s="1" t="s">
        <v>74</v>
      </c>
      <c r="L296" s="1" t="s">
        <v>74</v>
      </c>
      <c r="M296" s="1" t="s">
        <v>74</v>
      </c>
      <c r="N296" s="1" t="s">
        <v>78</v>
      </c>
      <c r="O296" s="1" t="s">
        <v>74</v>
      </c>
      <c r="P296" s="1" t="s">
        <v>74</v>
      </c>
      <c r="Q296" s="1" t="s">
        <v>74</v>
      </c>
      <c r="R296" s="1" t="s">
        <v>74</v>
      </c>
      <c r="S296" s="1" t="s">
        <v>74</v>
      </c>
      <c r="T296" s="1" t="s">
        <v>2880</v>
      </c>
      <c r="U296" s="1" t="s">
        <v>74</v>
      </c>
      <c r="V296" s="1" t="s">
        <v>2881</v>
      </c>
      <c r="W296" s="1" t="s">
        <v>74</v>
      </c>
      <c r="X296" s="1" t="s">
        <v>74</v>
      </c>
      <c r="Y296" s="1" t="s">
        <v>74</v>
      </c>
      <c r="Z296" s="1" t="s">
        <v>74</v>
      </c>
      <c r="AA296" s="1" t="s">
        <v>74</v>
      </c>
      <c r="AB296" s="1" t="s">
        <v>74</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2882</v>
      </c>
      <c r="AP296" s="1" t="s">
        <v>2883</v>
      </c>
      <c r="AQ296" s="1" t="s">
        <v>74</v>
      </c>
      <c r="AR296" s="1" t="s">
        <v>74</v>
      </c>
      <c r="AS296" s="1" t="s">
        <v>74</v>
      </c>
      <c r="AT296" s="1" t="s">
        <v>74</v>
      </c>
      <c r="AU296" s="1">
        <v>2025.0</v>
      </c>
      <c r="AV296" s="1">
        <v>31.0</v>
      </c>
      <c r="AW296" s="1">
        <v>5.0</v>
      </c>
      <c r="AX296" s="1" t="s">
        <v>74</v>
      </c>
      <c r="AY296" s="1" t="s">
        <v>74</v>
      </c>
      <c r="AZ296" s="1" t="s">
        <v>74</v>
      </c>
      <c r="BA296" s="1" t="s">
        <v>74</v>
      </c>
      <c r="BB296" s="1">
        <v>519.0</v>
      </c>
      <c r="BC296" s="1">
        <v>549.0</v>
      </c>
      <c r="BD296" s="1" t="s">
        <v>74</v>
      </c>
      <c r="BE296" s="1" t="s">
        <v>2884</v>
      </c>
      <c r="BF296" s="2" t="str">
        <f>HYPERLINK("http://dx.doi.org/10.3897/jucs.137103","http://dx.doi.org/10.3897/jucs.137103")</f>
        <v>http://dx.doi.org/10.3897/jucs.137103</v>
      </c>
      <c r="BG296" s="1" t="s">
        <v>74</v>
      </c>
      <c r="BH296" s="1" t="s">
        <v>74</v>
      </c>
      <c r="BI296" s="1" t="s">
        <v>74</v>
      </c>
      <c r="BJ296" s="1" t="s">
        <v>74</v>
      </c>
      <c r="BK296" s="1" t="s">
        <v>74</v>
      </c>
      <c r="BL296" s="1" t="s">
        <v>174</v>
      </c>
      <c r="BM296" s="1" t="s">
        <v>74</v>
      </c>
      <c r="BN296" s="1" t="s">
        <v>74</v>
      </c>
      <c r="BO296" s="1" t="s">
        <v>163</v>
      </c>
      <c r="BP296" s="1" t="s">
        <v>74</v>
      </c>
      <c r="BQ296" s="1" t="s">
        <v>74</v>
      </c>
      <c r="BR296" s="1" t="s">
        <v>74</v>
      </c>
      <c r="BS296" s="1" t="s">
        <v>2885</v>
      </c>
      <c r="BT296" s="1" t="str">
        <f>HYPERLINK("https%3A%2F%2Fwww.webofscience.com%2Fwos%2Fwoscc%2Ffull-record%2FWOS:001490477100005","View Full Record in Web of Science")</f>
        <v>View Full Record in Web of Science</v>
      </c>
    </row>
    <row r="297" ht="12.75" customHeight="1">
      <c r="A297" s="1" t="s">
        <v>72</v>
      </c>
      <c r="B297" s="1" t="s">
        <v>2886</v>
      </c>
      <c r="C297" s="1" t="s">
        <v>74</v>
      </c>
      <c r="D297" s="1" t="s">
        <v>74</v>
      </c>
      <c r="E297" s="1" t="s">
        <v>74</v>
      </c>
      <c r="F297" s="1" t="s">
        <v>2887</v>
      </c>
      <c r="G297" s="1" t="s">
        <v>74</v>
      </c>
      <c r="H297" s="1" t="s">
        <v>74</v>
      </c>
      <c r="I297" s="1" t="s">
        <v>2888</v>
      </c>
      <c r="J297" s="1" t="s">
        <v>785</v>
      </c>
      <c r="K297" s="1" t="s">
        <v>74</v>
      </c>
      <c r="L297" s="1" t="s">
        <v>74</v>
      </c>
      <c r="M297" s="1" t="s">
        <v>74</v>
      </c>
      <c r="N297" s="1" t="s">
        <v>78</v>
      </c>
      <c r="O297" s="1" t="s">
        <v>74</v>
      </c>
      <c r="P297" s="1" t="s">
        <v>74</v>
      </c>
      <c r="Q297" s="1" t="s">
        <v>74</v>
      </c>
      <c r="R297" s="1" t="s">
        <v>74</v>
      </c>
      <c r="S297" s="1" t="s">
        <v>74</v>
      </c>
      <c r="T297" s="1" t="s">
        <v>2889</v>
      </c>
      <c r="U297" s="1" t="s">
        <v>74</v>
      </c>
      <c r="V297" s="1" t="s">
        <v>2890</v>
      </c>
      <c r="W297" s="1" t="s">
        <v>74</v>
      </c>
      <c r="X297" s="1" t="s">
        <v>74</v>
      </c>
      <c r="Y297" s="1" t="s">
        <v>74</v>
      </c>
      <c r="Z297" s="1" t="s">
        <v>74</v>
      </c>
      <c r="AA297" s="1" t="s">
        <v>74</v>
      </c>
      <c r="AB297" s="1" t="s">
        <v>74</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74</v>
      </c>
      <c r="AP297" s="1" t="s">
        <v>788</v>
      </c>
      <c r="AQ297" s="1" t="s">
        <v>74</v>
      </c>
      <c r="AR297" s="1" t="s">
        <v>74</v>
      </c>
      <c r="AS297" s="1" t="s">
        <v>74</v>
      </c>
      <c r="AT297" s="1" t="s">
        <v>124</v>
      </c>
      <c r="AU297" s="1">
        <v>2024.0</v>
      </c>
      <c r="AV297" s="1">
        <v>4.0</v>
      </c>
      <c r="AW297" s="1">
        <v>2.0</v>
      </c>
      <c r="AX297" s="1" t="s">
        <v>74</v>
      </c>
      <c r="AY297" s="1" t="s">
        <v>74</v>
      </c>
      <c r="AZ297" s="1" t="s">
        <v>74</v>
      </c>
      <c r="BA297" s="1" t="s">
        <v>74</v>
      </c>
      <c r="BB297" s="1">
        <v>2358.0</v>
      </c>
      <c r="BC297" s="1">
        <v>2368.0</v>
      </c>
      <c r="BD297" s="1" t="s">
        <v>74</v>
      </c>
      <c r="BE297" s="1" t="s">
        <v>74</v>
      </c>
      <c r="BF297" s="1" t="s">
        <v>74</v>
      </c>
      <c r="BG297" s="1" t="s">
        <v>74</v>
      </c>
      <c r="BH297" s="1" t="s">
        <v>74</v>
      </c>
      <c r="BI297" s="1" t="s">
        <v>74</v>
      </c>
      <c r="BJ297" s="1" t="s">
        <v>74</v>
      </c>
      <c r="BK297" s="1" t="s">
        <v>74</v>
      </c>
      <c r="BL297" s="1" t="s">
        <v>174</v>
      </c>
      <c r="BM297" s="1" t="s">
        <v>74</v>
      </c>
      <c r="BN297" s="1" t="s">
        <v>74</v>
      </c>
      <c r="BO297" s="1" t="s">
        <v>74</v>
      </c>
      <c r="BP297" s="1" t="s">
        <v>74</v>
      </c>
      <c r="BQ297" s="1" t="s">
        <v>74</v>
      </c>
      <c r="BR297" s="1" t="s">
        <v>74</v>
      </c>
      <c r="BS297" s="1" t="s">
        <v>2891</v>
      </c>
      <c r="BT297" s="1" t="str">
        <f>HYPERLINK("https%3A%2F%2Fwww.webofscience.com%2Fwos%2Fwoscc%2Ffull-record%2FWOS:001305393000015","View Full Record in Web of Science")</f>
        <v>View Full Record in Web of Science</v>
      </c>
    </row>
    <row r="298" ht="12.75" customHeight="1">
      <c r="A298" s="1" t="s">
        <v>72</v>
      </c>
      <c r="B298" s="1" t="s">
        <v>2892</v>
      </c>
      <c r="C298" s="1" t="s">
        <v>74</v>
      </c>
      <c r="D298" s="1" t="s">
        <v>74</v>
      </c>
      <c r="E298" s="1" t="s">
        <v>74</v>
      </c>
      <c r="F298" s="1" t="s">
        <v>2893</v>
      </c>
      <c r="G298" s="1" t="s">
        <v>74</v>
      </c>
      <c r="H298" s="1" t="s">
        <v>74</v>
      </c>
      <c r="I298" s="1" t="s">
        <v>2894</v>
      </c>
      <c r="J298" s="1" t="s">
        <v>2895</v>
      </c>
      <c r="K298" s="1" t="s">
        <v>74</v>
      </c>
      <c r="L298" s="1" t="s">
        <v>74</v>
      </c>
      <c r="M298" s="1" t="s">
        <v>74</v>
      </c>
      <c r="N298" s="1" t="s">
        <v>78</v>
      </c>
      <c r="O298" s="1" t="s">
        <v>74</v>
      </c>
      <c r="P298" s="1" t="s">
        <v>74</v>
      </c>
      <c r="Q298" s="1" t="s">
        <v>74</v>
      </c>
      <c r="R298" s="1" t="s">
        <v>74</v>
      </c>
      <c r="S298" s="1" t="s">
        <v>74</v>
      </c>
      <c r="T298" s="1" t="s">
        <v>2896</v>
      </c>
      <c r="U298" s="1" t="s">
        <v>74</v>
      </c>
      <c r="V298" s="1" t="s">
        <v>2897</v>
      </c>
      <c r="W298" s="1" t="s">
        <v>74</v>
      </c>
      <c r="X298" s="1" t="s">
        <v>74</v>
      </c>
      <c r="Y298" s="1" t="s">
        <v>74</v>
      </c>
      <c r="Z298" s="1" t="s">
        <v>74</v>
      </c>
      <c r="AA298" s="1" t="s">
        <v>74</v>
      </c>
      <c r="AB298" s="1" t="s">
        <v>74</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74</v>
      </c>
      <c r="AP298" s="1" t="s">
        <v>2898</v>
      </c>
      <c r="AQ298" s="1" t="s">
        <v>74</v>
      </c>
      <c r="AR298" s="1" t="s">
        <v>74</v>
      </c>
      <c r="AS298" s="1" t="s">
        <v>74</v>
      </c>
      <c r="AT298" s="1" t="s">
        <v>464</v>
      </c>
      <c r="AU298" s="1">
        <v>2025.0</v>
      </c>
      <c r="AV298" s="1">
        <v>7.0</v>
      </c>
      <c r="AW298" s="1">
        <v>8.0</v>
      </c>
      <c r="AX298" s="1" t="s">
        <v>74</v>
      </c>
      <c r="AY298" s="1" t="s">
        <v>74</v>
      </c>
      <c r="AZ298" s="1" t="s">
        <v>74</v>
      </c>
      <c r="BA298" s="1" t="s">
        <v>74</v>
      </c>
      <c r="BB298" s="1" t="s">
        <v>74</v>
      </c>
      <c r="BC298" s="1" t="s">
        <v>74</v>
      </c>
      <c r="BD298" s="1" t="s">
        <v>2899</v>
      </c>
      <c r="BE298" s="1" t="s">
        <v>2900</v>
      </c>
      <c r="BF298" s="2" t="str">
        <f>HYPERLINK("http://dx.doi.org/10.1002/eng2.70303","http://dx.doi.org/10.1002/eng2.70303")</f>
        <v>http://dx.doi.org/10.1002/eng2.70303</v>
      </c>
      <c r="BG298" s="1" t="s">
        <v>74</v>
      </c>
      <c r="BH298" s="1" t="s">
        <v>74</v>
      </c>
      <c r="BI298" s="1" t="s">
        <v>74</v>
      </c>
      <c r="BJ298" s="1" t="s">
        <v>74</v>
      </c>
      <c r="BK298" s="1" t="s">
        <v>74</v>
      </c>
      <c r="BL298" s="1" t="s">
        <v>2901</v>
      </c>
      <c r="BM298" s="1" t="s">
        <v>74</v>
      </c>
      <c r="BN298" s="1" t="s">
        <v>74</v>
      </c>
      <c r="BO298" s="1" t="s">
        <v>163</v>
      </c>
      <c r="BP298" s="1" t="s">
        <v>74</v>
      </c>
      <c r="BQ298" s="1" t="s">
        <v>74</v>
      </c>
      <c r="BR298" s="1" t="s">
        <v>74</v>
      </c>
      <c r="BS298" s="1" t="s">
        <v>2902</v>
      </c>
      <c r="BT298" s="1" t="str">
        <f>HYPERLINK("https%3A%2F%2Fwww.webofscience.com%2Fwos%2Fwoscc%2Ffull-record%2FWOS:001561325800026","View Full Record in Web of Science")</f>
        <v>View Full Record in Web of Science</v>
      </c>
    </row>
    <row r="299" ht="12.75" customHeight="1">
      <c r="A299" s="1" t="s">
        <v>72</v>
      </c>
      <c r="B299" s="1" t="s">
        <v>2903</v>
      </c>
      <c r="C299" s="1" t="s">
        <v>74</v>
      </c>
      <c r="D299" s="1" t="s">
        <v>74</v>
      </c>
      <c r="E299" s="1" t="s">
        <v>74</v>
      </c>
      <c r="F299" s="1" t="s">
        <v>2904</v>
      </c>
      <c r="G299" s="1" t="s">
        <v>74</v>
      </c>
      <c r="H299" s="1" t="s">
        <v>74</v>
      </c>
      <c r="I299" s="1" t="s">
        <v>2905</v>
      </c>
      <c r="J299" s="1" t="s">
        <v>2441</v>
      </c>
      <c r="K299" s="1" t="s">
        <v>74</v>
      </c>
      <c r="L299" s="1" t="s">
        <v>74</v>
      </c>
      <c r="M299" s="1" t="s">
        <v>74</v>
      </c>
      <c r="N299" s="1" t="s">
        <v>78</v>
      </c>
      <c r="O299" s="1" t="s">
        <v>74</v>
      </c>
      <c r="P299" s="1" t="s">
        <v>74</v>
      </c>
      <c r="Q299" s="1" t="s">
        <v>74</v>
      </c>
      <c r="R299" s="1" t="s">
        <v>74</v>
      </c>
      <c r="S299" s="1" t="s">
        <v>74</v>
      </c>
      <c r="T299" s="1" t="s">
        <v>2906</v>
      </c>
      <c r="U299" s="1" t="s">
        <v>74</v>
      </c>
      <c r="V299" s="1" t="s">
        <v>2907</v>
      </c>
      <c r="W299" s="1" t="s">
        <v>74</v>
      </c>
      <c r="X299" s="1" t="s">
        <v>74</v>
      </c>
      <c r="Y299" s="1" t="s">
        <v>74</v>
      </c>
      <c r="Z299" s="1" t="s">
        <v>74</v>
      </c>
      <c r="AA299" s="1" t="s">
        <v>74</v>
      </c>
      <c r="AB299" s="1" t="s">
        <v>74</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74</v>
      </c>
      <c r="AP299" s="1" t="s">
        <v>2445</v>
      </c>
      <c r="AQ299" s="1" t="s">
        <v>74</v>
      </c>
      <c r="AR299" s="1" t="s">
        <v>74</v>
      </c>
      <c r="AS299" s="1" t="s">
        <v>74</v>
      </c>
      <c r="AT299" s="1" t="s">
        <v>200</v>
      </c>
      <c r="AU299" s="1">
        <v>2024.0</v>
      </c>
      <c r="AV299" s="1">
        <v>8.0</v>
      </c>
      <c r="AW299" s="1">
        <v>4.0</v>
      </c>
      <c r="AX299" s="1" t="s">
        <v>74</v>
      </c>
      <c r="AY299" s="1" t="s">
        <v>74</v>
      </c>
      <c r="AZ299" s="1" t="s">
        <v>74</v>
      </c>
      <c r="BA299" s="1" t="s">
        <v>74</v>
      </c>
      <c r="BB299" s="1" t="s">
        <v>74</v>
      </c>
      <c r="BC299" s="1" t="s">
        <v>74</v>
      </c>
      <c r="BD299" s="1">
        <v>180.0</v>
      </c>
      <c r="BE299" s="1" t="s">
        <v>2908</v>
      </c>
      <c r="BF299" s="2" t="str">
        <f>HYPERLINK("http://dx.doi.org/10.1145/3699759","http://dx.doi.org/10.1145/3699759")</f>
        <v>http://dx.doi.org/10.1145/3699759</v>
      </c>
      <c r="BG299" s="1" t="s">
        <v>74</v>
      </c>
      <c r="BH299" s="1" t="s">
        <v>74</v>
      </c>
      <c r="BI299" s="1" t="s">
        <v>74</v>
      </c>
      <c r="BJ299" s="1" t="s">
        <v>74</v>
      </c>
      <c r="BK299" s="1" t="s">
        <v>74</v>
      </c>
      <c r="BL299" s="1" t="s">
        <v>152</v>
      </c>
      <c r="BM299" s="1" t="s">
        <v>74</v>
      </c>
      <c r="BN299" s="1" t="s">
        <v>74</v>
      </c>
      <c r="BO299" s="1" t="s">
        <v>114</v>
      </c>
      <c r="BP299" s="1" t="s">
        <v>74</v>
      </c>
      <c r="BQ299" s="1" t="s">
        <v>74</v>
      </c>
      <c r="BR299" s="1" t="s">
        <v>74</v>
      </c>
      <c r="BS299" s="1" t="s">
        <v>2909</v>
      </c>
      <c r="BT299" s="1" t="str">
        <f>HYPERLINK("https%3A%2F%2Fwww.webofscience.com%2Fwos%2Fwoscc%2Ffull-record%2FWOS:001386381000004","View Full Record in Web of Science")</f>
        <v>View Full Record in Web of Science</v>
      </c>
    </row>
    <row r="300" ht="12.75" customHeight="1">
      <c r="A300" s="1" t="s">
        <v>72</v>
      </c>
      <c r="B300" s="1" t="s">
        <v>2910</v>
      </c>
      <c r="C300" s="1" t="s">
        <v>74</v>
      </c>
      <c r="D300" s="1" t="s">
        <v>74</v>
      </c>
      <c r="E300" s="1" t="s">
        <v>74</v>
      </c>
      <c r="F300" s="1" t="s">
        <v>2911</v>
      </c>
      <c r="G300" s="1" t="s">
        <v>74</v>
      </c>
      <c r="H300" s="1" t="s">
        <v>74</v>
      </c>
      <c r="I300" s="1" t="s">
        <v>2912</v>
      </c>
      <c r="J300" s="1" t="s">
        <v>147</v>
      </c>
      <c r="K300" s="1" t="s">
        <v>74</v>
      </c>
      <c r="L300" s="1" t="s">
        <v>74</v>
      </c>
      <c r="M300" s="1" t="s">
        <v>74</v>
      </c>
      <c r="N300" s="1" t="s">
        <v>78</v>
      </c>
      <c r="O300" s="1" t="s">
        <v>74</v>
      </c>
      <c r="P300" s="1" t="s">
        <v>74</v>
      </c>
      <c r="Q300" s="1" t="s">
        <v>74</v>
      </c>
      <c r="R300" s="1" t="s">
        <v>74</v>
      </c>
      <c r="S300" s="1" t="s">
        <v>74</v>
      </c>
      <c r="T300" s="1" t="s">
        <v>2913</v>
      </c>
      <c r="U300" s="1" t="s">
        <v>2914</v>
      </c>
      <c r="V300" s="1" t="s">
        <v>2915</v>
      </c>
      <c r="W300" s="1" t="s">
        <v>74</v>
      </c>
      <c r="X300" s="1" t="s">
        <v>74</v>
      </c>
      <c r="Y300" s="1" t="s">
        <v>74</v>
      </c>
      <c r="Z300" s="1" t="s">
        <v>74</v>
      </c>
      <c r="AA300" s="1" t="s">
        <v>74</v>
      </c>
      <c r="AB300" s="1" t="s">
        <v>74</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150</v>
      </c>
      <c r="AP300" s="1" t="s">
        <v>74</v>
      </c>
      <c r="AQ300" s="1" t="s">
        <v>74</v>
      </c>
      <c r="AR300" s="1" t="s">
        <v>74</v>
      </c>
      <c r="AS300" s="1" t="s">
        <v>74</v>
      </c>
      <c r="AT300" s="1" t="s">
        <v>74</v>
      </c>
      <c r="AU300" s="1">
        <v>2025.0</v>
      </c>
      <c r="AV300" s="1">
        <v>13.0</v>
      </c>
      <c r="AW300" s="1" t="s">
        <v>74</v>
      </c>
      <c r="AX300" s="1" t="s">
        <v>74</v>
      </c>
      <c r="AY300" s="1" t="s">
        <v>74</v>
      </c>
      <c r="AZ300" s="1" t="s">
        <v>74</v>
      </c>
      <c r="BA300" s="1" t="s">
        <v>74</v>
      </c>
      <c r="BB300" s="1">
        <v>168183.0</v>
      </c>
      <c r="BC300" s="1">
        <v>168201.0</v>
      </c>
      <c r="BD300" s="1" t="s">
        <v>74</v>
      </c>
      <c r="BE300" s="1" t="s">
        <v>2916</v>
      </c>
      <c r="BF300" s="2" t="str">
        <f>HYPERLINK("http://dx.doi.org/10.1109/ACCESS.2025.3612568","http://dx.doi.org/10.1109/ACCESS.2025.3612568")</f>
        <v>http://dx.doi.org/10.1109/ACCESS.2025.3612568</v>
      </c>
      <c r="BG300" s="1" t="s">
        <v>74</v>
      </c>
      <c r="BH300" s="1" t="s">
        <v>74</v>
      </c>
      <c r="BI300" s="1" t="s">
        <v>74</v>
      </c>
      <c r="BJ300" s="1" t="s">
        <v>74</v>
      </c>
      <c r="BK300" s="1" t="s">
        <v>74</v>
      </c>
      <c r="BL300" s="1" t="s">
        <v>152</v>
      </c>
      <c r="BM300" s="1" t="s">
        <v>74</v>
      </c>
      <c r="BN300" s="1" t="s">
        <v>74</v>
      </c>
      <c r="BO300" s="1" t="s">
        <v>153</v>
      </c>
      <c r="BP300" s="1" t="s">
        <v>74</v>
      </c>
      <c r="BQ300" s="1" t="s">
        <v>74</v>
      </c>
      <c r="BR300" s="1" t="s">
        <v>74</v>
      </c>
      <c r="BS300" s="1" t="s">
        <v>2917</v>
      </c>
      <c r="BT300" s="1" t="str">
        <f>HYPERLINK("https%3A%2F%2Fwww.webofscience.com%2Fwos%2Fwoscc%2Ffull-record%2FWOS:001586193100049","View Full Record in Web of Science")</f>
        <v>View Full Record in Web of Science</v>
      </c>
    </row>
    <row r="301" ht="12.75" customHeight="1">
      <c r="A301" s="1" t="s">
        <v>72</v>
      </c>
      <c r="B301" s="1" t="s">
        <v>2918</v>
      </c>
      <c r="C301" s="1" t="s">
        <v>74</v>
      </c>
      <c r="D301" s="1" t="s">
        <v>74</v>
      </c>
      <c r="E301" s="1" t="s">
        <v>74</v>
      </c>
      <c r="F301" s="1" t="s">
        <v>2919</v>
      </c>
      <c r="G301" s="1" t="s">
        <v>74</v>
      </c>
      <c r="H301" s="1" t="s">
        <v>74</v>
      </c>
      <c r="I301" s="1" t="s">
        <v>2920</v>
      </c>
      <c r="J301" s="1" t="s">
        <v>1230</v>
      </c>
      <c r="K301" s="1" t="s">
        <v>74</v>
      </c>
      <c r="L301" s="1" t="s">
        <v>74</v>
      </c>
      <c r="M301" s="1" t="s">
        <v>74</v>
      </c>
      <c r="N301" s="1" t="s">
        <v>78</v>
      </c>
      <c r="O301" s="1" t="s">
        <v>74</v>
      </c>
      <c r="P301" s="1" t="s">
        <v>74</v>
      </c>
      <c r="Q301" s="1" t="s">
        <v>74</v>
      </c>
      <c r="R301" s="1" t="s">
        <v>74</v>
      </c>
      <c r="S301" s="1" t="s">
        <v>74</v>
      </c>
      <c r="T301" s="1" t="s">
        <v>2921</v>
      </c>
      <c r="U301" s="1" t="s">
        <v>74</v>
      </c>
      <c r="V301" s="1" t="s">
        <v>2922</v>
      </c>
      <c r="W301" s="1" t="s">
        <v>74</v>
      </c>
      <c r="X301" s="1" t="s">
        <v>74</v>
      </c>
      <c r="Y301" s="1" t="s">
        <v>74</v>
      </c>
      <c r="Z301" s="1" t="s">
        <v>74</v>
      </c>
      <c r="AA301" s="1" t="s">
        <v>74</v>
      </c>
      <c r="AB301" s="1" t="s">
        <v>74</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1233</v>
      </c>
      <c r="AP301" s="1" t="s">
        <v>1234</v>
      </c>
      <c r="AQ301" s="1" t="s">
        <v>74</v>
      </c>
      <c r="AR301" s="1" t="s">
        <v>74</v>
      </c>
      <c r="AS301" s="1" t="s">
        <v>74</v>
      </c>
      <c r="AT301" s="1" t="s">
        <v>1235</v>
      </c>
      <c r="AU301" s="1">
        <v>2026.0</v>
      </c>
      <c r="AV301" s="1">
        <v>300.0</v>
      </c>
      <c r="AW301" s="1" t="s">
        <v>74</v>
      </c>
      <c r="AX301" s="1" t="s">
        <v>74</v>
      </c>
      <c r="AY301" s="1" t="s">
        <v>74</v>
      </c>
      <c r="AZ301" s="1" t="s">
        <v>74</v>
      </c>
      <c r="BA301" s="1" t="s">
        <v>74</v>
      </c>
      <c r="BB301" s="1" t="s">
        <v>74</v>
      </c>
      <c r="BC301" s="1" t="s">
        <v>74</v>
      </c>
      <c r="BD301" s="1">
        <v>130118.0</v>
      </c>
      <c r="BE301" s="1" t="s">
        <v>2923</v>
      </c>
      <c r="BF301" s="2" t="str">
        <f>HYPERLINK("http://dx.doi.org/10.1016/j.eswa.2025.130118","http://dx.doi.org/10.1016/j.eswa.2025.130118")</f>
        <v>http://dx.doi.org/10.1016/j.eswa.2025.130118</v>
      </c>
      <c r="BG301" s="1" t="s">
        <v>74</v>
      </c>
      <c r="BH301" s="1" t="s">
        <v>255</v>
      </c>
      <c r="BI301" s="1" t="s">
        <v>74</v>
      </c>
      <c r="BJ301" s="1" t="s">
        <v>74</v>
      </c>
      <c r="BK301" s="1" t="s">
        <v>74</v>
      </c>
      <c r="BL301" s="1" t="s">
        <v>1237</v>
      </c>
      <c r="BM301" s="1" t="s">
        <v>74</v>
      </c>
      <c r="BN301" s="1" t="s">
        <v>74</v>
      </c>
      <c r="BO301" s="1" t="s">
        <v>114</v>
      </c>
      <c r="BP301" s="1" t="s">
        <v>74</v>
      </c>
      <c r="BQ301" s="1" t="s">
        <v>74</v>
      </c>
      <c r="BR301" s="1" t="s">
        <v>74</v>
      </c>
      <c r="BS301" s="1" t="s">
        <v>2924</v>
      </c>
      <c r="BT301" s="1" t="str">
        <f>HYPERLINK("https%3A%2F%2Fwww.webofscience.com%2Fwos%2Fwoscc%2Ffull-record%2FWOS:001621690000001","View Full Record in Web of Science")</f>
        <v>View Full Record in Web of Science</v>
      </c>
    </row>
    <row r="302" ht="12.75" customHeight="1">
      <c r="A302" s="1" t="s">
        <v>72</v>
      </c>
      <c r="B302" s="1" t="s">
        <v>2925</v>
      </c>
      <c r="C302" s="1" t="s">
        <v>74</v>
      </c>
      <c r="D302" s="1" t="s">
        <v>74</v>
      </c>
      <c r="E302" s="1" t="s">
        <v>74</v>
      </c>
      <c r="F302" s="1" t="s">
        <v>2926</v>
      </c>
      <c r="G302" s="1" t="s">
        <v>74</v>
      </c>
      <c r="H302" s="1" t="s">
        <v>74</v>
      </c>
      <c r="I302" s="1" t="s">
        <v>2927</v>
      </c>
      <c r="J302" s="1" t="s">
        <v>2928</v>
      </c>
      <c r="K302" s="1" t="s">
        <v>74</v>
      </c>
      <c r="L302" s="1" t="s">
        <v>74</v>
      </c>
      <c r="M302" s="1" t="s">
        <v>74</v>
      </c>
      <c r="N302" s="1" t="s">
        <v>78</v>
      </c>
      <c r="O302" s="1" t="s">
        <v>74</v>
      </c>
      <c r="P302" s="1" t="s">
        <v>74</v>
      </c>
      <c r="Q302" s="1" t="s">
        <v>74</v>
      </c>
      <c r="R302" s="1" t="s">
        <v>74</v>
      </c>
      <c r="S302" s="1" t="s">
        <v>74</v>
      </c>
      <c r="T302" s="1" t="s">
        <v>2929</v>
      </c>
      <c r="U302" s="1" t="s">
        <v>74</v>
      </c>
      <c r="V302" s="1" t="s">
        <v>2930</v>
      </c>
      <c r="W302" s="1" t="s">
        <v>74</v>
      </c>
      <c r="X302" s="1" t="s">
        <v>74</v>
      </c>
      <c r="Y302" s="1" t="s">
        <v>74</v>
      </c>
      <c r="Z302" s="1" t="s">
        <v>74</v>
      </c>
      <c r="AA302" s="1" t="s">
        <v>74</v>
      </c>
      <c r="AB302" s="1" t="s">
        <v>74</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2931</v>
      </c>
      <c r="AP302" s="1" t="s">
        <v>2932</v>
      </c>
      <c r="AQ302" s="1" t="s">
        <v>74</v>
      </c>
      <c r="AR302" s="1" t="s">
        <v>74</v>
      </c>
      <c r="AS302" s="1" t="s">
        <v>74</v>
      </c>
      <c r="AT302" s="1" t="s">
        <v>225</v>
      </c>
      <c r="AU302" s="1">
        <v>2025.0</v>
      </c>
      <c r="AV302" s="1">
        <v>66.0</v>
      </c>
      <c r="AW302" s="1" t="s">
        <v>74</v>
      </c>
      <c r="AX302" s="1" t="s">
        <v>74</v>
      </c>
      <c r="AY302" s="1" t="s">
        <v>74</v>
      </c>
      <c r="AZ302" s="1" t="s">
        <v>74</v>
      </c>
      <c r="BA302" s="1" t="s">
        <v>74</v>
      </c>
      <c r="BB302" s="1" t="s">
        <v>74</v>
      </c>
      <c r="BC302" s="1" t="s">
        <v>74</v>
      </c>
      <c r="BD302" s="1">
        <v>103468.0</v>
      </c>
      <c r="BE302" s="1" t="s">
        <v>2933</v>
      </c>
      <c r="BF302" s="2" t="str">
        <f>HYPERLINK("http://dx.doi.org/10.1016/j.aei.2025.103468","http://dx.doi.org/10.1016/j.aei.2025.103468")</f>
        <v>http://dx.doi.org/10.1016/j.aei.2025.103468</v>
      </c>
      <c r="BG302" s="1" t="s">
        <v>74</v>
      </c>
      <c r="BH302" s="1" t="s">
        <v>1150</v>
      </c>
      <c r="BI302" s="1" t="s">
        <v>74</v>
      </c>
      <c r="BJ302" s="1" t="s">
        <v>74</v>
      </c>
      <c r="BK302" s="1" t="s">
        <v>74</v>
      </c>
      <c r="BL302" s="1" t="s">
        <v>98</v>
      </c>
      <c r="BM302" s="1" t="s">
        <v>74</v>
      </c>
      <c r="BN302" s="1" t="s">
        <v>74</v>
      </c>
      <c r="BO302" s="1" t="s">
        <v>74</v>
      </c>
      <c r="BP302" s="1" t="s">
        <v>74</v>
      </c>
      <c r="BQ302" s="1" t="s">
        <v>74</v>
      </c>
      <c r="BR302" s="1" t="s">
        <v>74</v>
      </c>
      <c r="BS302" s="1" t="s">
        <v>2934</v>
      </c>
      <c r="BT302" s="1" t="str">
        <f>HYPERLINK("https%3A%2F%2Fwww.webofscience.com%2Fwos%2Fwoscc%2Ffull-record%2FWOS:001497664800001","View Full Record in Web of Science")</f>
        <v>View Full Record in Web of Science</v>
      </c>
    </row>
    <row r="303" ht="12.75" customHeight="1">
      <c r="A303" s="1" t="s">
        <v>72</v>
      </c>
      <c r="B303" s="1" t="s">
        <v>2935</v>
      </c>
      <c r="C303" s="1" t="s">
        <v>74</v>
      </c>
      <c r="D303" s="1" t="s">
        <v>74</v>
      </c>
      <c r="E303" s="1" t="s">
        <v>74</v>
      </c>
      <c r="F303" s="1" t="s">
        <v>2936</v>
      </c>
      <c r="G303" s="1" t="s">
        <v>74</v>
      </c>
      <c r="H303" s="1" t="s">
        <v>74</v>
      </c>
      <c r="I303" s="1" t="s">
        <v>2937</v>
      </c>
      <c r="J303" s="1" t="s">
        <v>2479</v>
      </c>
      <c r="K303" s="1" t="s">
        <v>74</v>
      </c>
      <c r="L303" s="1" t="s">
        <v>74</v>
      </c>
      <c r="M303" s="1" t="s">
        <v>74</v>
      </c>
      <c r="N303" s="1" t="s">
        <v>78</v>
      </c>
      <c r="O303" s="1" t="s">
        <v>74</v>
      </c>
      <c r="P303" s="1" t="s">
        <v>74</v>
      </c>
      <c r="Q303" s="1" t="s">
        <v>74</v>
      </c>
      <c r="R303" s="1" t="s">
        <v>74</v>
      </c>
      <c r="S303" s="1" t="s">
        <v>74</v>
      </c>
      <c r="T303" s="1" t="s">
        <v>2938</v>
      </c>
      <c r="U303" s="1" t="s">
        <v>2939</v>
      </c>
      <c r="V303" s="1" t="s">
        <v>2940</v>
      </c>
      <c r="W303" s="1" t="s">
        <v>74</v>
      </c>
      <c r="X303" s="1" t="s">
        <v>74</v>
      </c>
      <c r="Y303" s="1" t="s">
        <v>74</v>
      </c>
      <c r="Z303" s="1" t="s">
        <v>74</v>
      </c>
      <c r="AA303" s="1" t="s">
        <v>74</v>
      </c>
      <c r="AB303" s="1" t="s">
        <v>74</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2483</v>
      </c>
      <c r="AP303" s="1" t="s">
        <v>2484</v>
      </c>
      <c r="AQ303" s="1" t="s">
        <v>74</v>
      </c>
      <c r="AR303" s="1" t="s">
        <v>74</v>
      </c>
      <c r="AS303" s="1" t="s">
        <v>74</v>
      </c>
      <c r="AT303" s="1" t="s">
        <v>84</v>
      </c>
      <c r="AU303" s="1">
        <v>2025.0</v>
      </c>
      <c r="AV303" s="1">
        <v>43.0</v>
      </c>
      <c r="AW303" s="1">
        <v>4.0</v>
      </c>
      <c r="AX303" s="1" t="s">
        <v>74</v>
      </c>
      <c r="AY303" s="1" t="s">
        <v>74</v>
      </c>
      <c r="AZ303" s="1" t="s">
        <v>74</v>
      </c>
      <c r="BA303" s="1" t="s">
        <v>74</v>
      </c>
      <c r="BB303" s="1" t="s">
        <v>74</v>
      </c>
      <c r="BC303" s="1" t="s">
        <v>74</v>
      </c>
      <c r="BD303" s="1">
        <v>86.0</v>
      </c>
      <c r="BE303" s="1" t="s">
        <v>2941</v>
      </c>
      <c r="BF303" s="2" t="str">
        <f>HYPERLINK("http://dx.doi.org/10.1145/3727144","http://dx.doi.org/10.1145/3727144")</f>
        <v>http://dx.doi.org/10.1145/3727144</v>
      </c>
      <c r="BG303" s="1" t="s">
        <v>74</v>
      </c>
      <c r="BH303" s="1" t="s">
        <v>74</v>
      </c>
      <c r="BI303" s="1" t="s">
        <v>74</v>
      </c>
      <c r="BJ303" s="1" t="s">
        <v>74</v>
      </c>
      <c r="BK303" s="1" t="s">
        <v>74</v>
      </c>
      <c r="BL303" s="1" t="s">
        <v>174</v>
      </c>
      <c r="BM303" s="1" t="s">
        <v>74</v>
      </c>
      <c r="BN303" s="1" t="s">
        <v>74</v>
      </c>
      <c r="BO303" s="1" t="s">
        <v>114</v>
      </c>
      <c r="BP303" s="1" t="s">
        <v>74</v>
      </c>
      <c r="BQ303" s="1" t="s">
        <v>74</v>
      </c>
      <c r="BR303" s="1" t="s">
        <v>74</v>
      </c>
      <c r="BS303" s="1" t="s">
        <v>2942</v>
      </c>
      <c r="BT303" s="1" t="str">
        <f>HYPERLINK("https%3A%2F%2Fwww.webofscience.com%2Fwos%2Fwoscc%2Ffull-record%2FWOS:001536380200002","View Full Record in Web of Science")</f>
        <v>View Full Record in Web of Science</v>
      </c>
    </row>
    <row r="304" ht="12.75" customHeight="1">
      <c r="A304" s="1" t="s">
        <v>72</v>
      </c>
      <c r="B304" s="1" t="s">
        <v>2943</v>
      </c>
      <c r="C304" s="1" t="s">
        <v>74</v>
      </c>
      <c r="D304" s="1" t="s">
        <v>74</v>
      </c>
      <c r="E304" s="1" t="s">
        <v>74</v>
      </c>
      <c r="F304" s="1" t="s">
        <v>2944</v>
      </c>
      <c r="G304" s="1" t="s">
        <v>74</v>
      </c>
      <c r="H304" s="1" t="s">
        <v>74</v>
      </c>
      <c r="I304" s="1" t="s">
        <v>2945</v>
      </c>
      <c r="J304" s="1" t="s">
        <v>281</v>
      </c>
      <c r="K304" s="1" t="s">
        <v>74</v>
      </c>
      <c r="L304" s="1" t="s">
        <v>74</v>
      </c>
      <c r="M304" s="1" t="s">
        <v>74</v>
      </c>
      <c r="N304" s="1" t="s">
        <v>158</v>
      </c>
      <c r="O304" s="1" t="s">
        <v>74</v>
      </c>
      <c r="P304" s="1" t="s">
        <v>74</v>
      </c>
      <c r="Q304" s="1" t="s">
        <v>74</v>
      </c>
      <c r="R304" s="1" t="s">
        <v>74</v>
      </c>
      <c r="S304" s="1" t="s">
        <v>74</v>
      </c>
      <c r="T304" s="1" t="s">
        <v>2946</v>
      </c>
      <c r="U304" s="1" t="s">
        <v>2947</v>
      </c>
      <c r="V304" s="1" t="s">
        <v>2948</v>
      </c>
      <c r="W304" s="1" t="s">
        <v>74</v>
      </c>
      <c r="X304" s="1" t="s">
        <v>74</v>
      </c>
      <c r="Y304" s="1" t="s">
        <v>74</v>
      </c>
      <c r="Z304" s="1" t="s">
        <v>74</v>
      </c>
      <c r="AA304" s="1" t="s">
        <v>74</v>
      </c>
      <c r="AB304" s="1" t="s">
        <v>74</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285</v>
      </c>
      <c r="AP304" s="1" t="s">
        <v>286</v>
      </c>
      <c r="AQ304" s="1" t="s">
        <v>74</v>
      </c>
      <c r="AR304" s="1" t="s">
        <v>74</v>
      </c>
      <c r="AS304" s="1" t="s">
        <v>74</v>
      </c>
      <c r="AT304" s="1" t="s">
        <v>335</v>
      </c>
      <c r="AU304" s="1">
        <v>2025.0</v>
      </c>
      <c r="AV304" s="1">
        <v>32.0</v>
      </c>
      <c r="AW304" s="1">
        <v>6.0</v>
      </c>
      <c r="AX304" s="1" t="s">
        <v>74</v>
      </c>
      <c r="AY304" s="1" t="s">
        <v>74</v>
      </c>
      <c r="AZ304" s="1" t="s">
        <v>74</v>
      </c>
      <c r="BA304" s="1" t="s">
        <v>74</v>
      </c>
      <c r="BB304" s="1">
        <v>1071.0</v>
      </c>
      <c r="BC304" s="1">
        <v>1086.0</v>
      </c>
      <c r="BD304" s="1" t="s">
        <v>74</v>
      </c>
      <c r="BE304" s="1" t="s">
        <v>2949</v>
      </c>
      <c r="BF304" s="2" t="str">
        <f>HYPERLINK("http://dx.doi.org/10.1093/jamia/ocaf063","http://dx.doi.org/10.1093/jamia/ocaf063")</f>
        <v>http://dx.doi.org/10.1093/jamia/ocaf063</v>
      </c>
      <c r="BG304" s="1" t="s">
        <v>74</v>
      </c>
      <c r="BH304" s="1" t="s">
        <v>1150</v>
      </c>
      <c r="BI304" s="1" t="s">
        <v>74</v>
      </c>
      <c r="BJ304" s="1" t="s">
        <v>74</v>
      </c>
      <c r="BK304" s="1" t="s">
        <v>74</v>
      </c>
      <c r="BL304" s="1" t="s">
        <v>291</v>
      </c>
      <c r="BM304" s="1" t="s">
        <v>74</v>
      </c>
      <c r="BN304" s="1" t="s">
        <v>74</v>
      </c>
      <c r="BO304" s="1" t="s">
        <v>576</v>
      </c>
      <c r="BP304" s="1" t="s">
        <v>74</v>
      </c>
      <c r="BQ304" s="1" t="s">
        <v>74</v>
      </c>
      <c r="BR304" s="1" t="s">
        <v>74</v>
      </c>
      <c r="BS304" s="1" t="s">
        <v>2950</v>
      </c>
      <c r="BT304" s="1" t="str">
        <f>HYPERLINK("https%3A%2F%2Fwww.webofscience.com%2Fwos%2Fwoscc%2Ffull-record%2FWOS:001482703800001","View Full Record in Web of Science")</f>
        <v>View Full Record in Web of Science</v>
      </c>
    </row>
    <row r="305" ht="12.75" customHeight="1">
      <c r="A305" s="1" t="s">
        <v>72</v>
      </c>
      <c r="B305" s="1" t="s">
        <v>2951</v>
      </c>
      <c r="C305" s="1" t="s">
        <v>74</v>
      </c>
      <c r="D305" s="1" t="s">
        <v>74</v>
      </c>
      <c r="E305" s="1" t="s">
        <v>74</v>
      </c>
      <c r="F305" s="1" t="s">
        <v>2952</v>
      </c>
      <c r="G305" s="1" t="s">
        <v>74</v>
      </c>
      <c r="H305" s="1" t="s">
        <v>74</v>
      </c>
      <c r="I305" s="1" t="s">
        <v>2953</v>
      </c>
      <c r="J305" s="1" t="s">
        <v>2868</v>
      </c>
      <c r="K305" s="1" t="s">
        <v>74</v>
      </c>
      <c r="L305" s="1" t="s">
        <v>74</v>
      </c>
      <c r="M305" s="1" t="s">
        <v>74</v>
      </c>
      <c r="N305" s="1" t="s">
        <v>78</v>
      </c>
      <c r="O305" s="1" t="s">
        <v>74</v>
      </c>
      <c r="P305" s="1" t="s">
        <v>74</v>
      </c>
      <c r="Q305" s="1" t="s">
        <v>74</v>
      </c>
      <c r="R305" s="1" t="s">
        <v>74</v>
      </c>
      <c r="S305" s="1" t="s">
        <v>74</v>
      </c>
      <c r="T305" s="1" t="s">
        <v>2954</v>
      </c>
      <c r="U305" s="1" t="s">
        <v>840</v>
      </c>
      <c r="V305" s="1" t="s">
        <v>2955</v>
      </c>
      <c r="W305" s="1" t="s">
        <v>74</v>
      </c>
      <c r="X305" s="1" t="s">
        <v>74</v>
      </c>
      <c r="Y305" s="1" t="s">
        <v>74</v>
      </c>
      <c r="Z305" s="1" t="s">
        <v>74</v>
      </c>
      <c r="AA305" s="1" t="s">
        <v>74</v>
      </c>
      <c r="AB305" s="1" t="s">
        <v>74</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2871</v>
      </c>
      <c r="AP305" s="1" t="s">
        <v>2872</v>
      </c>
      <c r="AQ305" s="1" t="s">
        <v>74</v>
      </c>
      <c r="AR305" s="1" t="s">
        <v>74</v>
      </c>
      <c r="AS305" s="1" t="s">
        <v>74</v>
      </c>
      <c r="AT305" s="1" t="s">
        <v>736</v>
      </c>
      <c r="AU305" s="1">
        <v>2026.0</v>
      </c>
      <c r="AV305" s="1">
        <v>63.0</v>
      </c>
      <c r="AW305" s="1">
        <v>1.0</v>
      </c>
      <c r="AX305" s="1" t="s">
        <v>74</v>
      </c>
      <c r="AY305" s="1" t="s">
        <v>74</v>
      </c>
      <c r="AZ305" s="1" t="s">
        <v>74</v>
      </c>
      <c r="BA305" s="1" t="s">
        <v>74</v>
      </c>
      <c r="BB305" s="1" t="s">
        <v>74</v>
      </c>
      <c r="BC305" s="1" t="s">
        <v>74</v>
      </c>
      <c r="BD305" s="1">
        <v>104262.0</v>
      </c>
      <c r="BE305" s="1" t="s">
        <v>2956</v>
      </c>
      <c r="BF305" s="2" t="str">
        <f>HYPERLINK("http://dx.doi.org/10.1016/j.ipm.2025.104262","http://dx.doi.org/10.1016/j.ipm.2025.104262")</f>
        <v>http://dx.doi.org/10.1016/j.ipm.2025.104262</v>
      </c>
      <c r="BG305" s="1" t="s">
        <v>74</v>
      </c>
      <c r="BH305" s="1" t="s">
        <v>973</v>
      </c>
      <c r="BI305" s="1" t="s">
        <v>74</v>
      </c>
      <c r="BJ305" s="1" t="s">
        <v>74</v>
      </c>
      <c r="BK305" s="1" t="s">
        <v>74</v>
      </c>
      <c r="BL305" s="1" t="s">
        <v>2874</v>
      </c>
      <c r="BM305" s="1" t="s">
        <v>74</v>
      </c>
      <c r="BN305" s="1" t="s">
        <v>74</v>
      </c>
      <c r="BO305" s="1" t="s">
        <v>576</v>
      </c>
      <c r="BP305" s="1" t="s">
        <v>74</v>
      </c>
      <c r="BQ305" s="1" t="s">
        <v>74</v>
      </c>
      <c r="BR305" s="1" t="s">
        <v>74</v>
      </c>
      <c r="BS305" s="1" t="s">
        <v>2957</v>
      </c>
      <c r="BT305" s="1" t="str">
        <f>HYPERLINK("https%3A%2F%2Fwww.webofscience.com%2Fwos%2Fwoscc%2Ffull-record%2FWOS:001546394400001","View Full Record in Web of Science")</f>
        <v>View Full Record in Web of Science</v>
      </c>
    </row>
    <row r="306" ht="12.75" customHeight="1">
      <c r="A306" s="1" t="s">
        <v>72</v>
      </c>
      <c r="B306" s="1" t="s">
        <v>2958</v>
      </c>
      <c r="C306" s="1" t="s">
        <v>74</v>
      </c>
      <c r="D306" s="1" t="s">
        <v>74</v>
      </c>
      <c r="E306" s="1" t="s">
        <v>74</v>
      </c>
      <c r="F306" s="1" t="s">
        <v>2959</v>
      </c>
      <c r="G306" s="1" t="s">
        <v>74</v>
      </c>
      <c r="H306" s="1" t="s">
        <v>74</v>
      </c>
      <c r="I306" s="1" t="s">
        <v>2960</v>
      </c>
      <c r="J306" s="1" t="s">
        <v>2961</v>
      </c>
      <c r="K306" s="1" t="s">
        <v>74</v>
      </c>
      <c r="L306" s="1" t="s">
        <v>74</v>
      </c>
      <c r="M306" s="1" t="s">
        <v>74</v>
      </c>
      <c r="N306" s="1" t="s">
        <v>78</v>
      </c>
      <c r="O306" s="1" t="s">
        <v>74</v>
      </c>
      <c r="P306" s="1" t="s">
        <v>74</v>
      </c>
      <c r="Q306" s="1" t="s">
        <v>74</v>
      </c>
      <c r="R306" s="1" t="s">
        <v>74</v>
      </c>
      <c r="S306" s="1" t="s">
        <v>74</v>
      </c>
      <c r="T306" s="1" t="s">
        <v>2962</v>
      </c>
      <c r="U306" s="1" t="s">
        <v>74</v>
      </c>
      <c r="V306" s="1" t="s">
        <v>2963</v>
      </c>
      <c r="W306" s="1" t="s">
        <v>74</v>
      </c>
      <c r="X306" s="1" t="s">
        <v>74</v>
      </c>
      <c r="Y306" s="1" t="s">
        <v>74</v>
      </c>
      <c r="Z306" s="1" t="s">
        <v>74</v>
      </c>
      <c r="AA306" s="1" t="s">
        <v>74</v>
      </c>
      <c r="AB306" s="1" t="s">
        <v>74</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2964</v>
      </c>
      <c r="AP306" s="1" t="s">
        <v>2965</v>
      </c>
      <c r="AQ306" s="1" t="s">
        <v>74</v>
      </c>
      <c r="AR306" s="1" t="s">
        <v>74</v>
      </c>
      <c r="AS306" s="1" t="s">
        <v>74</v>
      </c>
      <c r="AT306" s="1" t="s">
        <v>172</v>
      </c>
      <c r="AU306" s="1">
        <v>2025.0</v>
      </c>
      <c r="AV306" s="1">
        <v>8.0</v>
      </c>
      <c r="AW306" s="1">
        <v>6.0</v>
      </c>
      <c r="AX306" s="1" t="s">
        <v>74</v>
      </c>
      <c r="AY306" s="1" t="s">
        <v>74</v>
      </c>
      <c r="AZ306" s="1" t="s">
        <v>74</v>
      </c>
      <c r="BA306" s="1" t="s">
        <v>74</v>
      </c>
      <c r="BB306" s="1">
        <v>17.0</v>
      </c>
      <c r="BC306" s="1">
        <v>23.0</v>
      </c>
      <c r="BD306" s="1" t="s">
        <v>74</v>
      </c>
      <c r="BE306" s="1" t="s">
        <v>2966</v>
      </c>
      <c r="BF306" s="2" t="str">
        <f>HYPERLINK("http://dx.doi.org/10.1109/MIOT.2025.3575803","http://dx.doi.org/10.1109/MIOT.2025.3575803")</f>
        <v>http://dx.doi.org/10.1109/MIOT.2025.3575803</v>
      </c>
      <c r="BG306" s="1" t="s">
        <v>74</v>
      </c>
      <c r="BH306" s="1" t="s">
        <v>74</v>
      </c>
      <c r="BI306" s="1" t="s">
        <v>74</v>
      </c>
      <c r="BJ306" s="1" t="s">
        <v>74</v>
      </c>
      <c r="BK306" s="1" t="s">
        <v>74</v>
      </c>
      <c r="BL306" s="1" t="s">
        <v>152</v>
      </c>
      <c r="BM306" s="1" t="s">
        <v>74</v>
      </c>
      <c r="BN306" s="1" t="s">
        <v>74</v>
      </c>
      <c r="BO306" s="1" t="s">
        <v>74</v>
      </c>
      <c r="BP306" s="1" t="s">
        <v>74</v>
      </c>
      <c r="BQ306" s="1" t="s">
        <v>74</v>
      </c>
      <c r="BR306" s="1" t="s">
        <v>74</v>
      </c>
      <c r="BS306" s="1" t="s">
        <v>2967</v>
      </c>
      <c r="BT306" s="1" t="str">
        <f>HYPERLINK("https%3A%2F%2Fwww.webofscience.com%2Fwos%2Fwoscc%2Ffull-record%2FWOS:001635051700002","View Full Record in Web of Science")</f>
        <v>View Full Record in Web of Science</v>
      </c>
    </row>
    <row r="307" ht="12.75" customHeight="1">
      <c r="A307" s="1" t="s">
        <v>72</v>
      </c>
      <c r="B307" s="1" t="s">
        <v>2968</v>
      </c>
      <c r="C307" s="1" t="s">
        <v>74</v>
      </c>
      <c r="D307" s="1" t="s">
        <v>74</v>
      </c>
      <c r="E307" s="1" t="s">
        <v>74</v>
      </c>
      <c r="F307" s="1" t="s">
        <v>2969</v>
      </c>
      <c r="G307" s="1" t="s">
        <v>74</v>
      </c>
      <c r="H307" s="1" t="s">
        <v>74</v>
      </c>
      <c r="I307" s="1" t="s">
        <v>2970</v>
      </c>
      <c r="J307" s="1" t="s">
        <v>2971</v>
      </c>
      <c r="K307" s="1" t="s">
        <v>74</v>
      </c>
      <c r="L307" s="1" t="s">
        <v>74</v>
      </c>
      <c r="M307" s="1" t="s">
        <v>74</v>
      </c>
      <c r="N307" s="1" t="s">
        <v>78</v>
      </c>
      <c r="O307" s="1" t="s">
        <v>74</v>
      </c>
      <c r="P307" s="1" t="s">
        <v>74</v>
      </c>
      <c r="Q307" s="1" t="s">
        <v>74</v>
      </c>
      <c r="R307" s="1" t="s">
        <v>74</v>
      </c>
      <c r="S307" s="1" t="s">
        <v>74</v>
      </c>
      <c r="T307" s="1" t="s">
        <v>2972</v>
      </c>
      <c r="U307" s="1" t="s">
        <v>2973</v>
      </c>
      <c r="V307" s="1" t="s">
        <v>2974</v>
      </c>
      <c r="W307" s="1" t="s">
        <v>74</v>
      </c>
      <c r="X307" s="1" t="s">
        <v>74</v>
      </c>
      <c r="Y307" s="1" t="s">
        <v>74</v>
      </c>
      <c r="Z307" s="1" t="s">
        <v>74</v>
      </c>
      <c r="AA307" s="1" t="s">
        <v>74</v>
      </c>
      <c r="AB307" s="1" t="s">
        <v>74</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2975</v>
      </c>
      <c r="AP307" s="1" t="s">
        <v>2976</v>
      </c>
      <c r="AQ307" s="1" t="s">
        <v>74</v>
      </c>
      <c r="AR307" s="1" t="s">
        <v>74</v>
      </c>
      <c r="AS307" s="1" t="s">
        <v>74</v>
      </c>
      <c r="AT307" s="1" t="s">
        <v>2977</v>
      </c>
      <c r="AU307" s="1">
        <v>2025.0</v>
      </c>
      <c r="AV307" s="1">
        <v>33.0</v>
      </c>
      <c r="AW307" s="1">
        <v>5.0</v>
      </c>
      <c r="AX307" s="1" t="s">
        <v>74</v>
      </c>
      <c r="AY307" s="1" t="s">
        <v>74</v>
      </c>
      <c r="AZ307" s="1" t="s">
        <v>74</v>
      </c>
      <c r="BA307" s="1" t="s">
        <v>74</v>
      </c>
      <c r="BB307" s="1" t="s">
        <v>74</v>
      </c>
      <c r="BC307" s="1" t="s">
        <v>74</v>
      </c>
      <c r="BD307" s="1" t="s">
        <v>2978</v>
      </c>
      <c r="BE307" s="1" t="s">
        <v>2979</v>
      </c>
      <c r="BF307" s="2" t="str">
        <f>HYPERLINK("http://dx.doi.org/10.1002/cae.70080","http://dx.doi.org/10.1002/cae.70080")</f>
        <v>http://dx.doi.org/10.1002/cae.70080</v>
      </c>
      <c r="BG307" s="1" t="s">
        <v>74</v>
      </c>
      <c r="BH307" s="1" t="s">
        <v>74</v>
      </c>
      <c r="BI307" s="1" t="s">
        <v>74</v>
      </c>
      <c r="BJ307" s="1" t="s">
        <v>74</v>
      </c>
      <c r="BK307" s="1" t="s">
        <v>74</v>
      </c>
      <c r="BL307" s="1" t="s">
        <v>2980</v>
      </c>
      <c r="BM307" s="1" t="s">
        <v>74</v>
      </c>
      <c r="BN307" s="1" t="s">
        <v>74</v>
      </c>
      <c r="BO307" s="1" t="s">
        <v>74</v>
      </c>
      <c r="BP307" s="1" t="s">
        <v>74</v>
      </c>
      <c r="BQ307" s="1" t="s">
        <v>74</v>
      </c>
      <c r="BR307" s="1" t="s">
        <v>74</v>
      </c>
      <c r="BS307" s="1" t="s">
        <v>2981</v>
      </c>
      <c r="BT307" s="1" t="str">
        <f>HYPERLINK("https%3A%2F%2Fwww.webofscience.com%2Fwos%2Fwoscc%2Ffull-record%2FWOS:001576619600001","View Full Record in Web of Science")</f>
        <v>View Full Record in Web of Science</v>
      </c>
    </row>
    <row r="308" ht="12.75" customHeight="1">
      <c r="A308" s="1" t="s">
        <v>72</v>
      </c>
      <c r="B308" s="1" t="s">
        <v>2982</v>
      </c>
      <c r="C308" s="1" t="s">
        <v>74</v>
      </c>
      <c r="D308" s="1" t="s">
        <v>74</v>
      </c>
      <c r="E308" s="1" t="s">
        <v>74</v>
      </c>
      <c r="F308" s="1" t="s">
        <v>2983</v>
      </c>
      <c r="G308" s="1" t="s">
        <v>74</v>
      </c>
      <c r="H308" s="1" t="s">
        <v>74</v>
      </c>
      <c r="I308" s="1" t="s">
        <v>2984</v>
      </c>
      <c r="J308" s="1" t="s">
        <v>2985</v>
      </c>
      <c r="K308" s="1" t="s">
        <v>74</v>
      </c>
      <c r="L308" s="1" t="s">
        <v>74</v>
      </c>
      <c r="M308" s="1" t="s">
        <v>74</v>
      </c>
      <c r="N308" s="1" t="s">
        <v>78</v>
      </c>
      <c r="O308" s="1" t="s">
        <v>74</v>
      </c>
      <c r="P308" s="1" t="s">
        <v>74</v>
      </c>
      <c r="Q308" s="1" t="s">
        <v>74</v>
      </c>
      <c r="R308" s="1" t="s">
        <v>74</v>
      </c>
      <c r="S308" s="1" t="s">
        <v>74</v>
      </c>
      <c r="T308" s="1" t="s">
        <v>2986</v>
      </c>
      <c r="U308" s="1" t="s">
        <v>74</v>
      </c>
      <c r="V308" s="1" t="s">
        <v>2987</v>
      </c>
      <c r="W308" s="1" t="s">
        <v>74</v>
      </c>
      <c r="X308" s="1" t="s">
        <v>74</v>
      </c>
      <c r="Y308" s="1" t="s">
        <v>74</v>
      </c>
      <c r="Z308" s="1" t="s">
        <v>74</v>
      </c>
      <c r="AA308" s="1" t="s">
        <v>74</v>
      </c>
      <c r="AB308" s="1" t="s">
        <v>74</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2988</v>
      </c>
      <c r="AP308" s="1" t="s">
        <v>2989</v>
      </c>
      <c r="AQ308" s="1" t="s">
        <v>74</v>
      </c>
      <c r="AR308" s="1" t="s">
        <v>74</v>
      </c>
      <c r="AS308" s="1" t="s">
        <v>74</v>
      </c>
      <c r="AT308" s="1" t="s">
        <v>172</v>
      </c>
      <c r="AU308" s="1">
        <v>2025.0</v>
      </c>
      <c r="AV308" s="1">
        <v>132.0</v>
      </c>
      <c r="AW308" s="1" t="s">
        <v>74</v>
      </c>
      <c r="AX308" s="1" t="s">
        <v>74</v>
      </c>
      <c r="AY308" s="1" t="s">
        <v>74</v>
      </c>
      <c r="AZ308" s="1" t="s">
        <v>74</v>
      </c>
      <c r="BA308" s="1" t="s">
        <v>74</v>
      </c>
      <c r="BB308" s="1" t="s">
        <v>74</v>
      </c>
      <c r="BC308" s="1" t="s">
        <v>74</v>
      </c>
      <c r="BD308" s="1">
        <v>104391.0</v>
      </c>
      <c r="BE308" s="1" t="s">
        <v>2990</v>
      </c>
      <c r="BF308" s="2" t="str">
        <f>HYPERLINK("http://dx.doi.org/10.1016/j.cag.2025.104391","http://dx.doi.org/10.1016/j.cag.2025.104391")</f>
        <v>http://dx.doi.org/10.1016/j.cag.2025.104391</v>
      </c>
      <c r="BG308" s="1" t="s">
        <v>74</v>
      </c>
      <c r="BH308" s="1" t="s">
        <v>738</v>
      </c>
      <c r="BI308" s="1" t="s">
        <v>74</v>
      </c>
      <c r="BJ308" s="1" t="s">
        <v>74</v>
      </c>
      <c r="BK308" s="1" t="s">
        <v>74</v>
      </c>
      <c r="BL308" s="1" t="s">
        <v>174</v>
      </c>
      <c r="BM308" s="1" t="s">
        <v>74</v>
      </c>
      <c r="BN308" s="1" t="s">
        <v>74</v>
      </c>
      <c r="BO308" s="1" t="s">
        <v>576</v>
      </c>
      <c r="BP308" s="1" t="s">
        <v>74</v>
      </c>
      <c r="BQ308" s="1" t="s">
        <v>74</v>
      </c>
      <c r="BR308" s="1" t="s">
        <v>74</v>
      </c>
      <c r="BS308" s="1" t="s">
        <v>2991</v>
      </c>
      <c r="BT308" s="1" t="str">
        <f>HYPERLINK("https%3A%2F%2Fwww.webofscience.com%2Fwos%2Fwoscc%2Ffull-record%2FWOS:001582533200001","View Full Record in Web of Science")</f>
        <v>View Full Record in Web of Science</v>
      </c>
    </row>
    <row r="309" ht="12.75" customHeight="1">
      <c r="A309" s="1" t="s">
        <v>72</v>
      </c>
      <c r="B309" s="1" t="s">
        <v>2992</v>
      </c>
      <c r="C309" s="1" t="s">
        <v>74</v>
      </c>
      <c r="D309" s="1" t="s">
        <v>74</v>
      </c>
      <c r="E309" s="1" t="s">
        <v>74</v>
      </c>
      <c r="F309" s="1" t="s">
        <v>2993</v>
      </c>
      <c r="G309" s="1" t="s">
        <v>74</v>
      </c>
      <c r="H309" s="1" t="s">
        <v>74</v>
      </c>
      <c r="I309" s="1" t="s">
        <v>2994</v>
      </c>
      <c r="J309" s="1" t="s">
        <v>2995</v>
      </c>
      <c r="K309" s="1" t="s">
        <v>74</v>
      </c>
      <c r="L309" s="1" t="s">
        <v>74</v>
      </c>
      <c r="M309" s="1" t="s">
        <v>74</v>
      </c>
      <c r="N309" s="1" t="s">
        <v>78</v>
      </c>
      <c r="O309" s="1" t="s">
        <v>74</v>
      </c>
      <c r="P309" s="1" t="s">
        <v>74</v>
      </c>
      <c r="Q309" s="1" t="s">
        <v>74</v>
      </c>
      <c r="R309" s="1" t="s">
        <v>74</v>
      </c>
      <c r="S309" s="1" t="s">
        <v>74</v>
      </c>
      <c r="T309" s="1" t="s">
        <v>2996</v>
      </c>
      <c r="U309" s="1" t="s">
        <v>74</v>
      </c>
      <c r="V309" s="1" t="s">
        <v>2997</v>
      </c>
      <c r="W309" s="1" t="s">
        <v>74</v>
      </c>
      <c r="X309" s="1" t="s">
        <v>74</v>
      </c>
      <c r="Y309" s="1" t="s">
        <v>74</v>
      </c>
      <c r="Z309" s="1" t="s">
        <v>74</v>
      </c>
      <c r="AA309" s="1" t="s">
        <v>74</v>
      </c>
      <c r="AB309" s="1" t="s">
        <v>74</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2998</v>
      </c>
      <c r="AP309" s="1" t="s">
        <v>2999</v>
      </c>
      <c r="AQ309" s="1" t="s">
        <v>74</v>
      </c>
      <c r="AR309" s="1" t="s">
        <v>74</v>
      </c>
      <c r="AS309" s="1" t="s">
        <v>74</v>
      </c>
      <c r="AT309" s="1" t="s">
        <v>172</v>
      </c>
      <c r="AU309" s="1">
        <v>2025.0</v>
      </c>
      <c r="AV309" s="1">
        <v>193.0</v>
      </c>
      <c r="AW309" s="1" t="s">
        <v>74</v>
      </c>
      <c r="AX309" s="1" t="s">
        <v>74</v>
      </c>
      <c r="AY309" s="1" t="s">
        <v>74</v>
      </c>
      <c r="AZ309" s="1" t="s">
        <v>74</v>
      </c>
      <c r="BA309" s="1" t="s">
        <v>74</v>
      </c>
      <c r="BB309" s="1" t="s">
        <v>74</v>
      </c>
      <c r="BC309" s="1" t="s">
        <v>74</v>
      </c>
      <c r="BD309" s="1">
        <v>105114.0</v>
      </c>
      <c r="BE309" s="1" t="s">
        <v>3000</v>
      </c>
      <c r="BF309" s="2" t="str">
        <f>HYPERLINK("http://dx.doi.org/10.1016/j.robot.2025.105114","http://dx.doi.org/10.1016/j.robot.2025.105114")</f>
        <v>http://dx.doi.org/10.1016/j.robot.2025.105114</v>
      </c>
      <c r="BG309" s="1" t="s">
        <v>74</v>
      </c>
      <c r="BH309" s="1" t="s">
        <v>973</v>
      </c>
      <c r="BI309" s="1" t="s">
        <v>74</v>
      </c>
      <c r="BJ309" s="1" t="s">
        <v>74</v>
      </c>
      <c r="BK309" s="1" t="s">
        <v>74</v>
      </c>
      <c r="BL309" s="1" t="s">
        <v>3001</v>
      </c>
      <c r="BM309" s="1" t="s">
        <v>74</v>
      </c>
      <c r="BN309" s="1" t="s">
        <v>74</v>
      </c>
      <c r="BO309" s="1" t="s">
        <v>74</v>
      </c>
      <c r="BP309" s="1" t="s">
        <v>74</v>
      </c>
      <c r="BQ309" s="1" t="s">
        <v>74</v>
      </c>
      <c r="BR309" s="1" t="s">
        <v>74</v>
      </c>
      <c r="BS309" s="1" t="s">
        <v>3002</v>
      </c>
      <c r="BT309" s="1" t="str">
        <f>HYPERLINK("https%3A%2F%2Fwww.webofscience.com%2Fwos%2Fwoscc%2Ffull-record%2FWOS:001524074400001","View Full Record in Web of Science")</f>
        <v>View Full Record in Web of Science</v>
      </c>
    </row>
    <row r="310" ht="12.75" customHeight="1">
      <c r="A310" s="1" t="s">
        <v>72</v>
      </c>
      <c r="B310" s="1" t="s">
        <v>3003</v>
      </c>
      <c r="C310" s="1" t="s">
        <v>74</v>
      </c>
      <c r="D310" s="1" t="s">
        <v>74</v>
      </c>
      <c r="E310" s="1" t="s">
        <v>74</v>
      </c>
      <c r="F310" s="1" t="s">
        <v>3004</v>
      </c>
      <c r="G310" s="1" t="s">
        <v>74</v>
      </c>
      <c r="H310" s="1" t="s">
        <v>74</v>
      </c>
      <c r="I310" s="1" t="s">
        <v>3005</v>
      </c>
      <c r="J310" s="1" t="s">
        <v>966</v>
      </c>
      <c r="K310" s="1" t="s">
        <v>74</v>
      </c>
      <c r="L310" s="1" t="s">
        <v>74</v>
      </c>
      <c r="M310" s="1" t="s">
        <v>74</v>
      </c>
      <c r="N310" s="1" t="s">
        <v>78</v>
      </c>
      <c r="O310" s="1" t="s">
        <v>74</v>
      </c>
      <c r="P310" s="1" t="s">
        <v>74</v>
      </c>
      <c r="Q310" s="1" t="s">
        <v>74</v>
      </c>
      <c r="R310" s="1" t="s">
        <v>74</v>
      </c>
      <c r="S310" s="1" t="s">
        <v>74</v>
      </c>
      <c r="T310" s="1" t="s">
        <v>3006</v>
      </c>
      <c r="U310" s="1" t="s">
        <v>3007</v>
      </c>
      <c r="V310" s="1" t="s">
        <v>3008</v>
      </c>
      <c r="W310" s="1" t="s">
        <v>74</v>
      </c>
      <c r="X310" s="1" t="s">
        <v>74</v>
      </c>
      <c r="Y310" s="1" t="s">
        <v>74</v>
      </c>
      <c r="Z310" s="1" t="s">
        <v>74</v>
      </c>
      <c r="AA310" s="1" t="s">
        <v>74</v>
      </c>
      <c r="AB310" s="1" t="s">
        <v>74</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969</v>
      </c>
      <c r="AP310" s="1" t="s">
        <v>970</v>
      </c>
      <c r="AQ310" s="1" t="s">
        <v>74</v>
      </c>
      <c r="AR310" s="1" t="s">
        <v>74</v>
      </c>
      <c r="AS310" s="1" t="s">
        <v>74</v>
      </c>
      <c r="AT310" s="1" t="s">
        <v>3009</v>
      </c>
      <c r="AU310" s="1">
        <v>2025.0</v>
      </c>
      <c r="AV310" s="1">
        <v>330.0</v>
      </c>
      <c r="AW310" s="1" t="s">
        <v>74</v>
      </c>
      <c r="AX310" s="1" t="s">
        <v>110</v>
      </c>
      <c r="AY310" s="1" t="s">
        <v>74</v>
      </c>
      <c r="AZ310" s="1" t="s">
        <v>74</v>
      </c>
      <c r="BA310" s="1" t="s">
        <v>74</v>
      </c>
      <c r="BB310" s="1" t="s">
        <v>74</v>
      </c>
      <c r="BC310" s="1" t="s">
        <v>74</v>
      </c>
      <c r="BD310" s="1">
        <v>114556.0</v>
      </c>
      <c r="BE310" s="1" t="s">
        <v>3010</v>
      </c>
      <c r="BF310" s="2" t="str">
        <f>HYPERLINK("http://dx.doi.org/10.1016/j.knosys.2025.114556","http://dx.doi.org/10.1016/j.knosys.2025.114556")</f>
        <v>http://dx.doi.org/10.1016/j.knosys.2025.114556</v>
      </c>
      <c r="BG310" s="1" t="s">
        <v>74</v>
      </c>
      <c r="BH310" s="1" t="s">
        <v>811</v>
      </c>
      <c r="BI310" s="1" t="s">
        <v>74</v>
      </c>
      <c r="BJ310" s="1" t="s">
        <v>74</v>
      </c>
      <c r="BK310" s="1" t="s">
        <v>74</v>
      </c>
      <c r="BL310" s="1" t="s">
        <v>174</v>
      </c>
      <c r="BM310" s="1" t="s">
        <v>74</v>
      </c>
      <c r="BN310" s="1" t="s">
        <v>74</v>
      </c>
      <c r="BO310" s="1" t="s">
        <v>74</v>
      </c>
      <c r="BP310" s="1" t="s">
        <v>74</v>
      </c>
      <c r="BQ310" s="1" t="s">
        <v>74</v>
      </c>
      <c r="BR310" s="1" t="s">
        <v>74</v>
      </c>
      <c r="BS310" s="1" t="s">
        <v>3011</v>
      </c>
      <c r="BT310" s="1" t="str">
        <f>HYPERLINK("https%3A%2F%2Fwww.webofscience.com%2Fwos%2Fwoscc%2Ffull-record%2FWOS:001595296500001","View Full Record in Web of Science")</f>
        <v>View Full Record in Web of Science</v>
      </c>
    </row>
    <row r="311" ht="12.75" customHeight="1">
      <c r="A311" s="1" t="s">
        <v>72</v>
      </c>
      <c r="B311" s="1" t="s">
        <v>3012</v>
      </c>
      <c r="C311" s="1" t="s">
        <v>74</v>
      </c>
      <c r="D311" s="1" t="s">
        <v>74</v>
      </c>
      <c r="E311" s="1" t="s">
        <v>74</v>
      </c>
      <c r="F311" s="1" t="s">
        <v>3013</v>
      </c>
      <c r="G311" s="1" t="s">
        <v>74</v>
      </c>
      <c r="H311" s="1" t="s">
        <v>74</v>
      </c>
      <c r="I311" s="1" t="s">
        <v>3014</v>
      </c>
      <c r="J311" s="1" t="s">
        <v>3015</v>
      </c>
      <c r="K311" s="1" t="s">
        <v>74</v>
      </c>
      <c r="L311" s="1" t="s">
        <v>74</v>
      </c>
      <c r="M311" s="1" t="s">
        <v>74</v>
      </c>
      <c r="N311" s="1" t="s">
        <v>78</v>
      </c>
      <c r="O311" s="1" t="s">
        <v>74</v>
      </c>
      <c r="P311" s="1" t="s">
        <v>74</v>
      </c>
      <c r="Q311" s="1" t="s">
        <v>74</v>
      </c>
      <c r="R311" s="1" t="s">
        <v>74</v>
      </c>
      <c r="S311" s="1" t="s">
        <v>74</v>
      </c>
      <c r="T311" s="1" t="s">
        <v>3016</v>
      </c>
      <c r="U311" s="1" t="s">
        <v>3017</v>
      </c>
      <c r="V311" s="1" t="s">
        <v>3018</v>
      </c>
      <c r="W311" s="1" t="s">
        <v>74</v>
      </c>
      <c r="X311" s="1" t="s">
        <v>74</v>
      </c>
      <c r="Y311" s="1" t="s">
        <v>74</v>
      </c>
      <c r="Z311" s="1" t="s">
        <v>74</v>
      </c>
      <c r="AA311" s="1" t="s">
        <v>74</v>
      </c>
      <c r="AB311" s="1" t="s">
        <v>74</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3019</v>
      </c>
      <c r="AP311" s="1" t="s">
        <v>3020</v>
      </c>
      <c r="AQ311" s="1" t="s">
        <v>74</v>
      </c>
      <c r="AR311" s="1" t="s">
        <v>74</v>
      </c>
      <c r="AS311" s="1" t="s">
        <v>74</v>
      </c>
      <c r="AT311" s="1" t="s">
        <v>3021</v>
      </c>
      <c r="AU311" s="1">
        <v>2025.0</v>
      </c>
      <c r="AV311" s="1">
        <v>39.0</v>
      </c>
      <c r="AW311" s="1">
        <v>9.0</v>
      </c>
      <c r="AX311" s="1" t="s">
        <v>74</v>
      </c>
      <c r="AY311" s="1" t="s">
        <v>74</v>
      </c>
      <c r="AZ311" s="1" t="s">
        <v>707</v>
      </c>
      <c r="BA311" s="1" t="s">
        <v>74</v>
      </c>
      <c r="BB311" s="1">
        <v>2045.0</v>
      </c>
      <c r="BC311" s="1">
        <v>2068.0</v>
      </c>
      <c r="BD311" s="1" t="s">
        <v>74</v>
      </c>
      <c r="BE311" s="1" t="s">
        <v>3022</v>
      </c>
      <c r="BF311" s="2" t="str">
        <f>HYPERLINK("http://dx.doi.org/10.1080/13658816.2024.2415439","http://dx.doi.org/10.1080/13658816.2024.2415439")</f>
        <v>http://dx.doi.org/10.1080/13658816.2024.2415439</v>
      </c>
      <c r="BG311" s="1" t="s">
        <v>74</v>
      </c>
      <c r="BH311" s="1" t="s">
        <v>1747</v>
      </c>
      <c r="BI311" s="1" t="s">
        <v>74</v>
      </c>
      <c r="BJ311" s="1" t="s">
        <v>74</v>
      </c>
      <c r="BK311" s="1" t="s">
        <v>74</v>
      </c>
      <c r="BL311" s="1" t="s">
        <v>3023</v>
      </c>
      <c r="BM311" s="1" t="s">
        <v>74</v>
      </c>
      <c r="BN311" s="1" t="s">
        <v>74</v>
      </c>
      <c r="BO311" s="1" t="s">
        <v>74</v>
      </c>
      <c r="BP311" s="1" t="s">
        <v>74</v>
      </c>
      <c r="BQ311" s="1" t="s">
        <v>74</v>
      </c>
      <c r="BR311" s="1" t="s">
        <v>74</v>
      </c>
      <c r="BS311" s="1" t="s">
        <v>3024</v>
      </c>
      <c r="BT311" s="1" t="str">
        <f>HYPERLINK("https%3A%2F%2Fwww.webofscience.com%2Fwos%2Fwoscc%2Ffull-record%2FWOS:001334801900001","View Full Record in Web of Science")</f>
        <v>View Full Record in Web of Science</v>
      </c>
    </row>
    <row r="312" ht="12.75" customHeight="1">
      <c r="A312" s="1" t="s">
        <v>72</v>
      </c>
      <c r="B312" s="1" t="s">
        <v>3025</v>
      </c>
      <c r="C312" s="1" t="s">
        <v>74</v>
      </c>
      <c r="D312" s="1" t="s">
        <v>74</v>
      </c>
      <c r="E312" s="1" t="s">
        <v>74</v>
      </c>
      <c r="F312" s="1" t="s">
        <v>3026</v>
      </c>
      <c r="G312" s="1" t="s">
        <v>74</v>
      </c>
      <c r="H312" s="1" t="s">
        <v>74</v>
      </c>
      <c r="I312" s="1" t="s">
        <v>3027</v>
      </c>
      <c r="J312" s="1" t="s">
        <v>3028</v>
      </c>
      <c r="K312" s="1" t="s">
        <v>74</v>
      </c>
      <c r="L312" s="1" t="s">
        <v>74</v>
      </c>
      <c r="M312" s="1" t="s">
        <v>74</v>
      </c>
      <c r="N312" s="1" t="s">
        <v>78</v>
      </c>
      <c r="O312" s="1" t="s">
        <v>74</v>
      </c>
      <c r="P312" s="1" t="s">
        <v>74</v>
      </c>
      <c r="Q312" s="1" t="s">
        <v>74</v>
      </c>
      <c r="R312" s="1" t="s">
        <v>74</v>
      </c>
      <c r="S312" s="1" t="s">
        <v>74</v>
      </c>
      <c r="T312" s="1" t="s">
        <v>3029</v>
      </c>
      <c r="U312" s="1" t="s">
        <v>74</v>
      </c>
      <c r="V312" s="1" t="s">
        <v>3030</v>
      </c>
      <c r="W312" s="1" t="s">
        <v>74</v>
      </c>
      <c r="X312" s="1" t="s">
        <v>74</v>
      </c>
      <c r="Y312" s="1" t="s">
        <v>74</v>
      </c>
      <c r="Z312" s="1" t="s">
        <v>74</v>
      </c>
      <c r="AA312" s="1" t="s">
        <v>74</v>
      </c>
      <c r="AB312" s="1" t="s">
        <v>74</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74</v>
      </c>
      <c r="AP312" s="1" t="s">
        <v>3031</v>
      </c>
      <c r="AQ312" s="1" t="s">
        <v>74</v>
      </c>
      <c r="AR312" s="1" t="s">
        <v>74</v>
      </c>
      <c r="AS312" s="1" t="s">
        <v>74</v>
      </c>
      <c r="AT312" s="1" t="s">
        <v>335</v>
      </c>
      <c r="AU312" s="1">
        <v>2024.0</v>
      </c>
      <c r="AV312" s="1">
        <v>16.0</v>
      </c>
      <c r="AW312" s="1" t="s">
        <v>74</v>
      </c>
      <c r="AX312" s="1" t="s">
        <v>74</v>
      </c>
      <c r="AY312" s="1" t="s">
        <v>74</v>
      </c>
      <c r="AZ312" s="1" t="s">
        <v>74</v>
      </c>
      <c r="BA312" s="1" t="s">
        <v>74</v>
      </c>
      <c r="BB312" s="1" t="s">
        <v>74</v>
      </c>
      <c r="BC312" s="1" t="s">
        <v>74</v>
      </c>
      <c r="BD312" s="1">
        <v>100534.0</v>
      </c>
      <c r="BE312" s="1" t="s">
        <v>3032</v>
      </c>
      <c r="BF312" s="2" t="str">
        <f>HYPERLINK("http://dx.doi.org/10.1016/j.mlwa.2024.100534","http://dx.doi.org/10.1016/j.mlwa.2024.100534")</f>
        <v>http://dx.doi.org/10.1016/j.mlwa.2024.100534</v>
      </c>
      <c r="BG312" s="1" t="s">
        <v>74</v>
      </c>
      <c r="BH312" s="1" t="s">
        <v>3033</v>
      </c>
      <c r="BI312" s="1" t="s">
        <v>74</v>
      </c>
      <c r="BJ312" s="1" t="s">
        <v>74</v>
      </c>
      <c r="BK312" s="1" t="s">
        <v>74</v>
      </c>
      <c r="BL312" s="1" t="s">
        <v>174</v>
      </c>
      <c r="BM312" s="1" t="s">
        <v>74</v>
      </c>
      <c r="BN312" s="1" t="s">
        <v>74</v>
      </c>
      <c r="BO312" s="1" t="s">
        <v>153</v>
      </c>
      <c r="BP312" s="1" t="s">
        <v>74</v>
      </c>
      <c r="BQ312" s="1" t="s">
        <v>74</v>
      </c>
      <c r="BR312" s="1" t="s">
        <v>74</v>
      </c>
      <c r="BS312" s="1" t="s">
        <v>3034</v>
      </c>
      <c r="BT312" s="1" t="str">
        <f>HYPERLINK("https%3A%2F%2Fwww.webofscience.com%2Fwos%2Fwoscc%2Ffull-record%2FWOS:001291555300001","View Full Record in Web of Science")</f>
        <v>View Full Record in Web of Science</v>
      </c>
    </row>
    <row r="313" ht="12.75" customHeight="1">
      <c r="A313" s="1" t="s">
        <v>72</v>
      </c>
      <c r="B313" s="1" t="s">
        <v>3035</v>
      </c>
      <c r="C313" s="1" t="s">
        <v>74</v>
      </c>
      <c r="D313" s="1" t="s">
        <v>74</v>
      </c>
      <c r="E313" s="1" t="s">
        <v>74</v>
      </c>
      <c r="F313" s="1" t="s">
        <v>3036</v>
      </c>
      <c r="G313" s="1" t="s">
        <v>74</v>
      </c>
      <c r="H313" s="1" t="s">
        <v>74</v>
      </c>
      <c r="I313" s="1" t="s">
        <v>3037</v>
      </c>
      <c r="J313" s="1" t="s">
        <v>2399</v>
      </c>
      <c r="K313" s="1" t="s">
        <v>74</v>
      </c>
      <c r="L313" s="1" t="s">
        <v>74</v>
      </c>
      <c r="M313" s="1" t="s">
        <v>74</v>
      </c>
      <c r="N313" s="1" t="s">
        <v>78</v>
      </c>
      <c r="O313" s="1" t="s">
        <v>74</v>
      </c>
      <c r="P313" s="1" t="s">
        <v>74</v>
      </c>
      <c r="Q313" s="1" t="s">
        <v>74</v>
      </c>
      <c r="R313" s="1" t="s">
        <v>74</v>
      </c>
      <c r="S313" s="1" t="s">
        <v>74</v>
      </c>
      <c r="T313" s="1" t="s">
        <v>3038</v>
      </c>
      <c r="U313" s="1" t="s">
        <v>3039</v>
      </c>
      <c r="V313" s="1" t="s">
        <v>3040</v>
      </c>
      <c r="W313" s="1" t="s">
        <v>74</v>
      </c>
      <c r="X313" s="1" t="s">
        <v>74</v>
      </c>
      <c r="Y313" s="1" t="s">
        <v>74</v>
      </c>
      <c r="Z313" s="1" t="s">
        <v>74</v>
      </c>
      <c r="AA313" s="1" t="s">
        <v>74</v>
      </c>
      <c r="AB313" s="1" t="s">
        <v>74</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2402</v>
      </c>
      <c r="AP313" s="1" t="s">
        <v>74</v>
      </c>
      <c r="AQ313" s="1" t="s">
        <v>74</v>
      </c>
      <c r="AR313" s="1" t="s">
        <v>74</v>
      </c>
      <c r="AS313" s="1" t="s">
        <v>74</v>
      </c>
      <c r="AT313" s="1" t="s">
        <v>335</v>
      </c>
      <c r="AU313" s="1">
        <v>2025.0</v>
      </c>
      <c r="AV313" s="1">
        <v>8.0</v>
      </c>
      <c r="AW313" s="1" t="s">
        <v>74</v>
      </c>
      <c r="AX313" s="1" t="s">
        <v>74</v>
      </c>
      <c r="AY313" s="1" t="s">
        <v>74</v>
      </c>
      <c r="AZ313" s="1" t="s">
        <v>74</v>
      </c>
      <c r="BA313" s="1" t="s">
        <v>74</v>
      </c>
      <c r="BB313" s="1" t="s">
        <v>74</v>
      </c>
      <c r="BC313" s="1" t="s">
        <v>74</v>
      </c>
      <c r="BD313" s="1">
        <v>100349.0</v>
      </c>
      <c r="BE313" s="1" t="s">
        <v>3041</v>
      </c>
      <c r="BF313" s="2" t="str">
        <f>HYPERLINK("http://dx.doi.org/10.1016/j.caeai.2024.100349","http://dx.doi.org/10.1016/j.caeai.2024.100349")</f>
        <v>http://dx.doi.org/10.1016/j.caeai.2024.100349</v>
      </c>
      <c r="BG313" s="1" t="s">
        <v>74</v>
      </c>
      <c r="BH313" s="1" t="s">
        <v>1080</v>
      </c>
      <c r="BI313" s="1" t="s">
        <v>74</v>
      </c>
      <c r="BJ313" s="1" t="s">
        <v>74</v>
      </c>
      <c r="BK313" s="1" t="s">
        <v>74</v>
      </c>
      <c r="BL313" s="1" t="s">
        <v>2404</v>
      </c>
      <c r="BM313" s="1" t="s">
        <v>74</v>
      </c>
      <c r="BN313" s="1" t="s">
        <v>74</v>
      </c>
      <c r="BO313" s="1" t="s">
        <v>163</v>
      </c>
      <c r="BP313" s="1" t="s">
        <v>74</v>
      </c>
      <c r="BQ313" s="1" t="s">
        <v>74</v>
      </c>
      <c r="BR313" s="1" t="s">
        <v>74</v>
      </c>
      <c r="BS313" s="1" t="s">
        <v>3042</v>
      </c>
      <c r="BT313" s="1" t="str">
        <f>HYPERLINK("https%3A%2F%2Fwww.webofscience.com%2Fwos%2Fwoscc%2Ffull-record%2FWOS:001651702500013","View Full Record in Web of Science")</f>
        <v>View Full Record in Web of Science</v>
      </c>
    </row>
    <row r="314" ht="12.75" customHeight="1">
      <c r="A314" s="1" t="s">
        <v>72</v>
      </c>
      <c r="B314" s="1" t="s">
        <v>3043</v>
      </c>
      <c r="C314" s="1" t="s">
        <v>74</v>
      </c>
      <c r="D314" s="1" t="s">
        <v>74</v>
      </c>
      <c r="E314" s="1" t="s">
        <v>74</v>
      </c>
      <c r="F314" s="1" t="s">
        <v>3044</v>
      </c>
      <c r="G314" s="1" t="s">
        <v>74</v>
      </c>
      <c r="H314" s="1" t="s">
        <v>74</v>
      </c>
      <c r="I314" s="1" t="s">
        <v>3045</v>
      </c>
      <c r="J314" s="1" t="s">
        <v>239</v>
      </c>
      <c r="K314" s="1" t="s">
        <v>74</v>
      </c>
      <c r="L314" s="1" t="s">
        <v>74</v>
      </c>
      <c r="M314" s="1" t="s">
        <v>74</v>
      </c>
      <c r="N314" s="1" t="s">
        <v>78</v>
      </c>
      <c r="O314" s="1" t="s">
        <v>74</v>
      </c>
      <c r="P314" s="1" t="s">
        <v>74</v>
      </c>
      <c r="Q314" s="1" t="s">
        <v>74</v>
      </c>
      <c r="R314" s="1" t="s">
        <v>74</v>
      </c>
      <c r="S314" s="1" t="s">
        <v>74</v>
      </c>
      <c r="T314" s="1" t="s">
        <v>3046</v>
      </c>
      <c r="U314" s="1" t="s">
        <v>74</v>
      </c>
      <c r="V314" s="1" t="s">
        <v>3047</v>
      </c>
      <c r="W314" s="1" t="s">
        <v>74</v>
      </c>
      <c r="X314" s="1" t="s">
        <v>74</v>
      </c>
      <c r="Y314" s="1" t="s">
        <v>74</v>
      </c>
      <c r="Z314" s="1" t="s">
        <v>74</v>
      </c>
      <c r="AA314" s="1" t="s">
        <v>74</v>
      </c>
      <c r="AB314" s="1" t="s">
        <v>74</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242</v>
      </c>
      <c r="AP314" s="1" t="s">
        <v>74</v>
      </c>
      <c r="AQ314" s="1" t="s">
        <v>74</v>
      </c>
      <c r="AR314" s="1" t="s">
        <v>74</v>
      </c>
      <c r="AS314" s="1" t="s">
        <v>74</v>
      </c>
      <c r="AT314" s="1" t="s">
        <v>3048</v>
      </c>
      <c r="AU314" s="1">
        <v>2025.0</v>
      </c>
      <c r="AV314" s="1">
        <v>14.0</v>
      </c>
      <c r="AW314" s="1">
        <v>6.0</v>
      </c>
      <c r="AX314" s="1" t="s">
        <v>74</v>
      </c>
      <c r="AY314" s="1" t="s">
        <v>74</v>
      </c>
      <c r="AZ314" s="1" t="s">
        <v>74</v>
      </c>
      <c r="BA314" s="1" t="s">
        <v>74</v>
      </c>
      <c r="BB314" s="1" t="s">
        <v>74</v>
      </c>
      <c r="BC314" s="1" t="s">
        <v>74</v>
      </c>
      <c r="BD314" s="1">
        <v>1210.0</v>
      </c>
      <c r="BE314" s="1" t="s">
        <v>3049</v>
      </c>
      <c r="BF314" s="2" t="str">
        <f>HYPERLINK("http://dx.doi.org/10.3390/electronics14061210","http://dx.doi.org/10.3390/electronics14061210")</f>
        <v>http://dx.doi.org/10.3390/electronics14061210</v>
      </c>
      <c r="BG314" s="1" t="s">
        <v>74</v>
      </c>
      <c r="BH314" s="1" t="s">
        <v>74</v>
      </c>
      <c r="BI314" s="1" t="s">
        <v>74</v>
      </c>
      <c r="BJ314" s="1" t="s">
        <v>74</v>
      </c>
      <c r="BK314" s="1" t="s">
        <v>74</v>
      </c>
      <c r="BL314" s="1" t="s">
        <v>244</v>
      </c>
      <c r="BM314" s="1" t="s">
        <v>74</v>
      </c>
      <c r="BN314" s="1" t="s">
        <v>74</v>
      </c>
      <c r="BO314" s="1" t="s">
        <v>163</v>
      </c>
      <c r="BP314" s="1" t="s">
        <v>74</v>
      </c>
      <c r="BQ314" s="1" t="s">
        <v>74</v>
      </c>
      <c r="BR314" s="1" t="s">
        <v>74</v>
      </c>
      <c r="BS314" s="1" t="s">
        <v>3050</v>
      </c>
      <c r="BT314" s="1" t="str">
        <f>HYPERLINK("https%3A%2F%2Fwww.webofscience.com%2Fwos%2Fwoscc%2Ffull-record%2FWOS:001453851900001","View Full Record in Web of Science")</f>
        <v>View Full Record in Web of Science</v>
      </c>
    </row>
    <row r="315" ht="12.75" customHeight="1">
      <c r="A315" s="1" t="s">
        <v>72</v>
      </c>
      <c r="B315" s="1" t="s">
        <v>3051</v>
      </c>
      <c r="C315" s="1" t="s">
        <v>74</v>
      </c>
      <c r="D315" s="1" t="s">
        <v>74</v>
      </c>
      <c r="E315" s="1" t="s">
        <v>74</v>
      </c>
      <c r="F315" s="1" t="s">
        <v>3052</v>
      </c>
      <c r="G315" s="1" t="s">
        <v>74</v>
      </c>
      <c r="H315" s="1" t="s">
        <v>74</v>
      </c>
      <c r="I315" s="1" t="s">
        <v>3053</v>
      </c>
      <c r="J315" s="1" t="s">
        <v>281</v>
      </c>
      <c r="K315" s="1" t="s">
        <v>74</v>
      </c>
      <c r="L315" s="1" t="s">
        <v>74</v>
      </c>
      <c r="M315" s="1" t="s">
        <v>74</v>
      </c>
      <c r="N315" s="1" t="s">
        <v>953</v>
      </c>
      <c r="O315" s="1" t="s">
        <v>74</v>
      </c>
      <c r="P315" s="1" t="s">
        <v>74</v>
      </c>
      <c r="Q315" s="1" t="s">
        <v>74</v>
      </c>
      <c r="R315" s="1" t="s">
        <v>74</v>
      </c>
      <c r="S315" s="1" t="s">
        <v>74</v>
      </c>
      <c r="T315" s="1" t="s">
        <v>3054</v>
      </c>
      <c r="U315" s="1" t="s">
        <v>74</v>
      </c>
      <c r="V315" s="1" t="s">
        <v>3055</v>
      </c>
      <c r="W315" s="1" t="s">
        <v>74</v>
      </c>
      <c r="X315" s="1" t="s">
        <v>74</v>
      </c>
      <c r="Y315" s="1" t="s">
        <v>74</v>
      </c>
      <c r="Z315" s="1" t="s">
        <v>74</v>
      </c>
      <c r="AA315" s="1" t="s">
        <v>74</v>
      </c>
      <c r="AB315" s="1" t="s">
        <v>74</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285</v>
      </c>
      <c r="AP315" s="1" t="s">
        <v>286</v>
      </c>
      <c r="AQ315" s="1" t="s">
        <v>74</v>
      </c>
      <c r="AR315" s="1" t="s">
        <v>74</v>
      </c>
      <c r="AS315" s="1" t="s">
        <v>74</v>
      </c>
      <c r="AT315" s="1" t="s">
        <v>3056</v>
      </c>
      <c r="AU315" s="1">
        <v>2024.0</v>
      </c>
      <c r="AV315" s="1" t="s">
        <v>74</v>
      </c>
      <c r="AW315" s="1" t="s">
        <v>74</v>
      </c>
      <c r="AX315" s="1" t="s">
        <v>74</v>
      </c>
      <c r="AY315" s="1" t="s">
        <v>74</v>
      </c>
      <c r="AZ315" s="1" t="s">
        <v>74</v>
      </c>
      <c r="BA315" s="1" t="s">
        <v>74</v>
      </c>
      <c r="BB315" s="1" t="s">
        <v>74</v>
      </c>
      <c r="BC315" s="1" t="s">
        <v>74</v>
      </c>
      <c r="BD315" s="1" t="s">
        <v>74</v>
      </c>
      <c r="BE315" s="1" t="s">
        <v>3057</v>
      </c>
      <c r="BF315" s="2" t="str">
        <f>HYPERLINK("http://dx.doi.org/10.1093/jamia/ocae087","http://dx.doi.org/10.1093/jamia/ocae087")</f>
        <v>http://dx.doi.org/10.1093/jamia/ocae087</v>
      </c>
      <c r="BG315" s="1" t="s">
        <v>74</v>
      </c>
      <c r="BH315" s="1" t="s">
        <v>545</v>
      </c>
      <c r="BI315" s="1" t="s">
        <v>74</v>
      </c>
      <c r="BJ315" s="1" t="s">
        <v>74</v>
      </c>
      <c r="BK315" s="1" t="s">
        <v>74</v>
      </c>
      <c r="BL315" s="1" t="s">
        <v>291</v>
      </c>
      <c r="BM315" s="1" t="s">
        <v>74</v>
      </c>
      <c r="BN315" s="1" t="s">
        <v>74</v>
      </c>
      <c r="BO315" s="1" t="s">
        <v>127</v>
      </c>
      <c r="BP315" s="1" t="s">
        <v>74</v>
      </c>
      <c r="BQ315" s="1" t="s">
        <v>74</v>
      </c>
      <c r="BR315" s="1" t="s">
        <v>74</v>
      </c>
      <c r="BS315" s="1" t="s">
        <v>3058</v>
      </c>
      <c r="BT315" s="1" t="str">
        <f>HYPERLINK("https%3A%2F%2Fwww.webofscience.com%2Fwos%2Fwoscc%2Ffull-record%2FWOS:001273695100001","View Full Record in Web of Science")</f>
        <v>View Full Record in Web of Science</v>
      </c>
    </row>
    <row r="316" ht="12.75" customHeight="1">
      <c r="A316" s="1" t="s">
        <v>72</v>
      </c>
      <c r="B316" s="1" t="s">
        <v>3059</v>
      </c>
      <c r="C316" s="1" t="s">
        <v>74</v>
      </c>
      <c r="D316" s="1" t="s">
        <v>74</v>
      </c>
      <c r="E316" s="1" t="s">
        <v>74</v>
      </c>
      <c r="F316" s="1" t="s">
        <v>3060</v>
      </c>
      <c r="G316" s="1" t="s">
        <v>74</v>
      </c>
      <c r="H316" s="1" t="s">
        <v>74</v>
      </c>
      <c r="I316" s="1" t="s">
        <v>3061</v>
      </c>
      <c r="J316" s="1" t="s">
        <v>3062</v>
      </c>
      <c r="K316" s="1" t="s">
        <v>74</v>
      </c>
      <c r="L316" s="1" t="s">
        <v>74</v>
      </c>
      <c r="M316" s="1" t="s">
        <v>74</v>
      </c>
      <c r="N316" s="1" t="s">
        <v>78</v>
      </c>
      <c r="O316" s="1" t="s">
        <v>74</v>
      </c>
      <c r="P316" s="1" t="s">
        <v>74</v>
      </c>
      <c r="Q316" s="1" t="s">
        <v>74</v>
      </c>
      <c r="R316" s="1" t="s">
        <v>74</v>
      </c>
      <c r="S316" s="1" t="s">
        <v>74</v>
      </c>
      <c r="T316" s="1" t="s">
        <v>3063</v>
      </c>
      <c r="U316" s="1" t="s">
        <v>74</v>
      </c>
      <c r="V316" s="1" t="s">
        <v>3064</v>
      </c>
      <c r="W316" s="1" t="s">
        <v>74</v>
      </c>
      <c r="X316" s="1" t="s">
        <v>74</v>
      </c>
      <c r="Y316" s="1" t="s">
        <v>74</v>
      </c>
      <c r="Z316" s="1" t="s">
        <v>74</v>
      </c>
      <c r="AA316" s="1" t="s">
        <v>74</v>
      </c>
      <c r="AB316" s="1" t="s">
        <v>74</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3065</v>
      </c>
      <c r="AP316" s="1" t="s">
        <v>3066</v>
      </c>
      <c r="AQ316" s="1" t="s">
        <v>74</v>
      </c>
      <c r="AR316" s="1" t="s">
        <v>74</v>
      </c>
      <c r="AS316" s="1" t="s">
        <v>74</v>
      </c>
      <c r="AT316" s="1" t="s">
        <v>736</v>
      </c>
      <c r="AU316" s="1">
        <v>2025.0</v>
      </c>
      <c r="AV316" s="1">
        <v>45.0</v>
      </c>
      <c r="AW316" s="1">
        <v>1.0</v>
      </c>
      <c r="AX316" s="1" t="s">
        <v>74</v>
      </c>
      <c r="AY316" s="1" t="s">
        <v>74</v>
      </c>
      <c r="AZ316" s="1" t="s">
        <v>74</v>
      </c>
      <c r="BA316" s="1" t="s">
        <v>74</v>
      </c>
      <c r="BB316" s="1">
        <v>43.0</v>
      </c>
      <c r="BC316" s="1">
        <v>55.0</v>
      </c>
      <c r="BD316" s="1" t="s">
        <v>74</v>
      </c>
      <c r="BE316" s="1" t="s">
        <v>3067</v>
      </c>
      <c r="BF316" s="2" t="str">
        <f>HYPERLINK("http://dx.doi.org/10.1109/MCG.2025.3548554","http://dx.doi.org/10.1109/MCG.2025.3548554")</f>
        <v>http://dx.doi.org/10.1109/MCG.2025.3548554</v>
      </c>
      <c r="BG316" s="1" t="s">
        <v>74</v>
      </c>
      <c r="BH316" s="1" t="s">
        <v>74</v>
      </c>
      <c r="BI316" s="1" t="s">
        <v>74</v>
      </c>
      <c r="BJ316" s="1" t="s">
        <v>74</v>
      </c>
      <c r="BK316" s="1" t="s">
        <v>74</v>
      </c>
      <c r="BL316" s="1" t="s">
        <v>174</v>
      </c>
      <c r="BM316" s="1" t="s">
        <v>74</v>
      </c>
      <c r="BN316" s="1" t="s">
        <v>74</v>
      </c>
      <c r="BO316" s="1" t="s">
        <v>576</v>
      </c>
      <c r="BP316" s="1" t="s">
        <v>74</v>
      </c>
      <c r="BQ316" s="1" t="s">
        <v>74</v>
      </c>
      <c r="BR316" s="1" t="s">
        <v>74</v>
      </c>
      <c r="BS316" s="1" t="s">
        <v>3068</v>
      </c>
      <c r="BT316" s="1" t="str">
        <f>HYPERLINK("https%3A%2F%2Fwww.webofscience.com%2Fwos%2Fwoscc%2Ffull-record%2FWOS:001470345300010","View Full Record in Web of Science")</f>
        <v>View Full Record in Web of Science</v>
      </c>
    </row>
    <row r="317" ht="12.75" customHeight="1">
      <c r="A317" s="1" t="s">
        <v>72</v>
      </c>
      <c r="B317" s="1" t="s">
        <v>3069</v>
      </c>
      <c r="C317" s="1" t="s">
        <v>74</v>
      </c>
      <c r="D317" s="1" t="s">
        <v>74</v>
      </c>
      <c r="E317" s="1" t="s">
        <v>74</v>
      </c>
      <c r="F317" s="1" t="s">
        <v>3070</v>
      </c>
      <c r="G317" s="1" t="s">
        <v>74</v>
      </c>
      <c r="H317" s="1" t="s">
        <v>74</v>
      </c>
      <c r="I317" s="1" t="s">
        <v>3071</v>
      </c>
      <c r="J317" s="1" t="s">
        <v>1512</v>
      </c>
      <c r="K317" s="1" t="s">
        <v>74</v>
      </c>
      <c r="L317" s="1" t="s">
        <v>74</v>
      </c>
      <c r="M317" s="1" t="s">
        <v>74</v>
      </c>
      <c r="N317" s="1" t="s">
        <v>78</v>
      </c>
      <c r="O317" s="1" t="s">
        <v>74</v>
      </c>
      <c r="P317" s="1" t="s">
        <v>74</v>
      </c>
      <c r="Q317" s="1" t="s">
        <v>74</v>
      </c>
      <c r="R317" s="1" t="s">
        <v>74</v>
      </c>
      <c r="S317" s="1" t="s">
        <v>74</v>
      </c>
      <c r="T317" s="1" t="s">
        <v>3072</v>
      </c>
      <c r="U317" s="1" t="s">
        <v>3073</v>
      </c>
      <c r="V317" s="1" t="s">
        <v>3074</v>
      </c>
      <c r="W317" s="1" t="s">
        <v>74</v>
      </c>
      <c r="X317" s="1" t="s">
        <v>74</v>
      </c>
      <c r="Y317" s="1" t="s">
        <v>74</v>
      </c>
      <c r="Z317" s="1" t="s">
        <v>74</v>
      </c>
      <c r="AA317" s="1" t="s">
        <v>74</v>
      </c>
      <c r="AB317" s="1" t="s">
        <v>74</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1515</v>
      </c>
      <c r="AP317" s="1" t="s">
        <v>74</v>
      </c>
      <c r="AQ317" s="1" t="s">
        <v>74</v>
      </c>
      <c r="AR317" s="1" t="s">
        <v>74</v>
      </c>
      <c r="AS317" s="1" t="s">
        <v>74</v>
      </c>
      <c r="AT317" s="1" t="s">
        <v>200</v>
      </c>
      <c r="AU317" s="1">
        <v>2025.0</v>
      </c>
      <c r="AV317" s="1">
        <v>28.0</v>
      </c>
      <c r="AW317" s="1" t="s">
        <v>74</v>
      </c>
      <c r="AX317" s="1" t="s">
        <v>74</v>
      </c>
      <c r="AY317" s="1" t="s">
        <v>74</v>
      </c>
      <c r="AZ317" s="1" t="s">
        <v>74</v>
      </c>
      <c r="BA317" s="1" t="s">
        <v>74</v>
      </c>
      <c r="BB317" s="1" t="s">
        <v>74</v>
      </c>
      <c r="BC317" s="1" t="s">
        <v>74</v>
      </c>
      <c r="BD317" s="1">
        <v>100547.0</v>
      </c>
      <c r="BE317" s="1" t="s">
        <v>3075</v>
      </c>
      <c r="BF317" s="2" t="str">
        <f>HYPERLINK("http://dx.doi.org/10.1016/j.array.2025.100547","http://dx.doi.org/10.1016/j.array.2025.100547")</f>
        <v>http://dx.doi.org/10.1016/j.array.2025.100547</v>
      </c>
      <c r="BG317" s="1" t="s">
        <v>74</v>
      </c>
      <c r="BH317" s="1" t="s">
        <v>811</v>
      </c>
      <c r="BI317" s="1" t="s">
        <v>74</v>
      </c>
      <c r="BJ317" s="1" t="s">
        <v>74</v>
      </c>
      <c r="BK317" s="1" t="s">
        <v>74</v>
      </c>
      <c r="BL317" s="1" t="s">
        <v>174</v>
      </c>
      <c r="BM317" s="1" t="s">
        <v>74</v>
      </c>
      <c r="BN317" s="1" t="s">
        <v>74</v>
      </c>
      <c r="BO317" s="1" t="s">
        <v>153</v>
      </c>
      <c r="BP317" s="1" t="s">
        <v>74</v>
      </c>
      <c r="BQ317" s="1" t="s">
        <v>74</v>
      </c>
      <c r="BR317" s="1" t="s">
        <v>74</v>
      </c>
      <c r="BS317" s="1" t="s">
        <v>3076</v>
      </c>
      <c r="BT317" s="1" t="str">
        <f>HYPERLINK("https%3A%2F%2Fwww.webofscience.com%2Fwos%2Fwoscc%2Ffull-record%2FWOS:001605626900001","View Full Record in Web of Science")</f>
        <v>View Full Record in Web of Science</v>
      </c>
    </row>
    <row r="318" ht="12.75" customHeight="1">
      <c r="A318" s="1" t="s">
        <v>72</v>
      </c>
      <c r="B318" s="1" t="s">
        <v>3077</v>
      </c>
      <c r="C318" s="1" t="s">
        <v>74</v>
      </c>
      <c r="D318" s="1" t="s">
        <v>74</v>
      </c>
      <c r="E318" s="1" t="s">
        <v>74</v>
      </c>
      <c r="F318" s="1" t="s">
        <v>3078</v>
      </c>
      <c r="G318" s="1" t="s">
        <v>74</v>
      </c>
      <c r="H318" s="1" t="s">
        <v>74</v>
      </c>
      <c r="I318" s="1" t="s">
        <v>3079</v>
      </c>
      <c r="J318" s="1" t="s">
        <v>3080</v>
      </c>
      <c r="K318" s="1" t="s">
        <v>74</v>
      </c>
      <c r="L318" s="1" t="s">
        <v>74</v>
      </c>
      <c r="M318" s="1" t="s">
        <v>74</v>
      </c>
      <c r="N318" s="1" t="s">
        <v>78</v>
      </c>
      <c r="O318" s="1" t="s">
        <v>74</v>
      </c>
      <c r="P318" s="1" t="s">
        <v>74</v>
      </c>
      <c r="Q318" s="1" t="s">
        <v>74</v>
      </c>
      <c r="R318" s="1" t="s">
        <v>74</v>
      </c>
      <c r="S318" s="1" t="s">
        <v>74</v>
      </c>
      <c r="T318" s="1" t="s">
        <v>3081</v>
      </c>
      <c r="U318" s="1" t="s">
        <v>3082</v>
      </c>
      <c r="V318" s="1" t="s">
        <v>3083</v>
      </c>
      <c r="W318" s="1" t="s">
        <v>74</v>
      </c>
      <c r="X318" s="1" t="s">
        <v>74</v>
      </c>
      <c r="Y318" s="1" t="s">
        <v>74</v>
      </c>
      <c r="Z318" s="1" t="s">
        <v>74</v>
      </c>
      <c r="AA318" s="1" t="s">
        <v>74</v>
      </c>
      <c r="AB318" s="1" t="s">
        <v>74</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3084</v>
      </c>
      <c r="AP318" s="1" t="s">
        <v>3085</v>
      </c>
      <c r="AQ318" s="1" t="s">
        <v>74</v>
      </c>
      <c r="AR318" s="1" t="s">
        <v>74</v>
      </c>
      <c r="AS318" s="1" t="s">
        <v>74</v>
      </c>
      <c r="AT318" s="1" t="s">
        <v>3086</v>
      </c>
      <c r="AU318" s="1">
        <v>2026.0</v>
      </c>
      <c r="AV318" s="1">
        <v>45.0</v>
      </c>
      <c r="AW318" s="1">
        <v>1.0</v>
      </c>
      <c r="AX318" s="1" t="s">
        <v>74</v>
      </c>
      <c r="AY318" s="1" t="s">
        <v>74</v>
      </c>
      <c r="AZ318" s="1" t="s">
        <v>74</v>
      </c>
      <c r="BA318" s="1" t="s">
        <v>74</v>
      </c>
      <c r="BB318" s="1" t="s">
        <v>74</v>
      </c>
      <c r="BC318" s="1" t="s">
        <v>74</v>
      </c>
      <c r="BD318" s="1" t="s">
        <v>74</v>
      </c>
      <c r="BE318" s="1" t="s">
        <v>3087</v>
      </c>
      <c r="BF318" s="2" t="str">
        <f>HYPERLINK("http://dx.doi.org/10.1287/mksc.2023.0611","http://dx.doi.org/10.1287/mksc.2023.0611")</f>
        <v>http://dx.doi.org/10.1287/mksc.2023.0611</v>
      </c>
      <c r="BG318" s="1" t="s">
        <v>74</v>
      </c>
      <c r="BH318" s="1" t="s">
        <v>255</v>
      </c>
      <c r="BI318" s="1" t="s">
        <v>74</v>
      </c>
      <c r="BJ318" s="1" t="s">
        <v>74</v>
      </c>
      <c r="BK318" s="1" t="s">
        <v>74</v>
      </c>
      <c r="BL318" s="1" t="s">
        <v>214</v>
      </c>
      <c r="BM318" s="1" t="s">
        <v>74</v>
      </c>
      <c r="BN318" s="1" t="s">
        <v>74</v>
      </c>
      <c r="BO318" s="1" t="s">
        <v>74</v>
      </c>
      <c r="BP318" s="1" t="s">
        <v>74</v>
      </c>
      <c r="BQ318" s="1" t="s">
        <v>74</v>
      </c>
      <c r="BR318" s="1" t="s">
        <v>74</v>
      </c>
      <c r="BS318" s="1" t="s">
        <v>3088</v>
      </c>
      <c r="BT318" s="1" t="str">
        <f>HYPERLINK("https%3A%2F%2Fwww.webofscience.com%2Fwos%2Fwoscc%2Ffull-record%2FWOS:001611991300001","View Full Record in Web of Science")</f>
        <v>View Full Record in Web of Science</v>
      </c>
    </row>
    <row r="319" ht="12.75" customHeight="1">
      <c r="A319" s="1" t="s">
        <v>72</v>
      </c>
      <c r="B319" s="1" t="s">
        <v>3089</v>
      </c>
      <c r="C319" s="1" t="s">
        <v>74</v>
      </c>
      <c r="D319" s="1" t="s">
        <v>74</v>
      </c>
      <c r="E319" s="1" t="s">
        <v>74</v>
      </c>
      <c r="F319" s="1" t="s">
        <v>3090</v>
      </c>
      <c r="G319" s="1" t="s">
        <v>74</v>
      </c>
      <c r="H319" s="1" t="s">
        <v>74</v>
      </c>
      <c r="I319" s="1" t="s">
        <v>3091</v>
      </c>
      <c r="J319" s="1" t="s">
        <v>3092</v>
      </c>
      <c r="K319" s="1" t="s">
        <v>74</v>
      </c>
      <c r="L319" s="1" t="s">
        <v>74</v>
      </c>
      <c r="M319" s="1" t="s">
        <v>74</v>
      </c>
      <c r="N319" s="1" t="s">
        <v>953</v>
      </c>
      <c r="O319" s="1" t="s">
        <v>74</v>
      </c>
      <c r="P319" s="1" t="s">
        <v>74</v>
      </c>
      <c r="Q319" s="1" t="s">
        <v>74</v>
      </c>
      <c r="R319" s="1" t="s">
        <v>74</v>
      </c>
      <c r="S319" s="1" t="s">
        <v>74</v>
      </c>
      <c r="T319" s="1" t="s">
        <v>3093</v>
      </c>
      <c r="U319" s="1" t="s">
        <v>74</v>
      </c>
      <c r="V319" s="1" t="s">
        <v>3094</v>
      </c>
      <c r="W319" s="1" t="s">
        <v>74</v>
      </c>
      <c r="X319" s="1" t="s">
        <v>74</v>
      </c>
      <c r="Y319" s="1" t="s">
        <v>74</v>
      </c>
      <c r="Z319" s="1" t="s">
        <v>74</v>
      </c>
      <c r="AA319" s="1" t="s">
        <v>74</v>
      </c>
      <c r="AB319" s="1" t="s">
        <v>74</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3095</v>
      </c>
      <c r="AP319" s="1" t="s">
        <v>3096</v>
      </c>
      <c r="AQ319" s="1" t="s">
        <v>74</v>
      </c>
      <c r="AR319" s="1" t="s">
        <v>74</v>
      </c>
      <c r="AS319" s="1" t="s">
        <v>74</v>
      </c>
      <c r="AT319" s="1" t="s">
        <v>3097</v>
      </c>
      <c r="AU319" s="1">
        <v>2025.0</v>
      </c>
      <c r="AV319" s="1" t="s">
        <v>74</v>
      </c>
      <c r="AW319" s="1" t="s">
        <v>74</v>
      </c>
      <c r="AX319" s="1" t="s">
        <v>74</v>
      </c>
      <c r="AY319" s="1" t="s">
        <v>74</v>
      </c>
      <c r="AZ319" s="1" t="s">
        <v>74</v>
      </c>
      <c r="BA319" s="1" t="s">
        <v>74</v>
      </c>
      <c r="BB319" s="1" t="s">
        <v>74</v>
      </c>
      <c r="BC319" s="1" t="s">
        <v>74</v>
      </c>
      <c r="BD319" s="1" t="s">
        <v>74</v>
      </c>
      <c r="BE319" s="1" t="s">
        <v>3098</v>
      </c>
      <c r="BF319" s="2" t="str">
        <f>HYPERLINK("http://dx.doi.org/10.1109/TCYB.2025.3624234","http://dx.doi.org/10.1109/TCYB.2025.3624234")</f>
        <v>http://dx.doi.org/10.1109/TCYB.2025.3624234</v>
      </c>
      <c r="BG319" s="1" t="s">
        <v>74</v>
      </c>
      <c r="BH319" s="1" t="s">
        <v>811</v>
      </c>
      <c r="BI319" s="1" t="s">
        <v>74</v>
      </c>
      <c r="BJ319" s="1" t="s">
        <v>74</v>
      </c>
      <c r="BK319" s="1" t="s">
        <v>74</v>
      </c>
      <c r="BL319" s="1" t="s">
        <v>780</v>
      </c>
      <c r="BM319" s="1" t="s">
        <v>74</v>
      </c>
      <c r="BN319" s="1" t="s">
        <v>74</v>
      </c>
      <c r="BO319" s="1" t="s">
        <v>74</v>
      </c>
      <c r="BP319" s="1" t="s">
        <v>74</v>
      </c>
      <c r="BQ319" s="1" t="s">
        <v>74</v>
      </c>
      <c r="BR319" s="1" t="s">
        <v>74</v>
      </c>
      <c r="BS319" s="1" t="s">
        <v>3099</v>
      </c>
      <c r="BT319" s="1" t="str">
        <f>HYPERLINK("https%3A%2F%2Fwww.webofscience.com%2Fwos%2Fwoscc%2Ffull-record%2FWOS:001606861800001","View Full Record in Web of Science")</f>
        <v>View Full Record in Web of Science</v>
      </c>
    </row>
    <row r="320" ht="12.75" customHeight="1">
      <c r="A320" s="1" t="s">
        <v>72</v>
      </c>
      <c r="B320" s="1" t="s">
        <v>3100</v>
      </c>
      <c r="C320" s="1" t="s">
        <v>74</v>
      </c>
      <c r="D320" s="1" t="s">
        <v>74</v>
      </c>
      <c r="E320" s="1" t="s">
        <v>74</v>
      </c>
      <c r="F320" s="1" t="s">
        <v>3101</v>
      </c>
      <c r="G320" s="1" t="s">
        <v>74</v>
      </c>
      <c r="H320" s="1" t="s">
        <v>74</v>
      </c>
      <c r="I320" s="1" t="s">
        <v>3102</v>
      </c>
      <c r="J320" s="1" t="s">
        <v>399</v>
      </c>
      <c r="K320" s="1" t="s">
        <v>74</v>
      </c>
      <c r="L320" s="1" t="s">
        <v>74</v>
      </c>
      <c r="M320" s="1" t="s">
        <v>74</v>
      </c>
      <c r="N320" s="1" t="s">
        <v>78</v>
      </c>
      <c r="O320" s="1" t="s">
        <v>74</v>
      </c>
      <c r="P320" s="1" t="s">
        <v>74</v>
      </c>
      <c r="Q320" s="1" t="s">
        <v>74</v>
      </c>
      <c r="R320" s="1" t="s">
        <v>74</v>
      </c>
      <c r="S320" s="1" t="s">
        <v>74</v>
      </c>
      <c r="T320" s="1" t="s">
        <v>3103</v>
      </c>
      <c r="U320" s="1" t="s">
        <v>3104</v>
      </c>
      <c r="V320" s="1" t="s">
        <v>3105</v>
      </c>
      <c r="W320" s="1" t="s">
        <v>74</v>
      </c>
      <c r="X320" s="1" t="s">
        <v>74</v>
      </c>
      <c r="Y320" s="1" t="s">
        <v>74</v>
      </c>
      <c r="Z320" s="1" t="s">
        <v>74</v>
      </c>
      <c r="AA320" s="1" t="s">
        <v>74</v>
      </c>
      <c r="AB320" s="1" t="s">
        <v>74</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402</v>
      </c>
      <c r="AP320" s="1" t="s">
        <v>403</v>
      </c>
      <c r="AQ320" s="1" t="s">
        <v>74</v>
      </c>
      <c r="AR320" s="1" t="s">
        <v>74</v>
      </c>
      <c r="AS320" s="1" t="s">
        <v>74</v>
      </c>
      <c r="AT320" s="1" t="s">
        <v>200</v>
      </c>
      <c r="AU320" s="1">
        <v>2023.0</v>
      </c>
      <c r="AV320" s="1">
        <v>47.0</v>
      </c>
      <c r="AW320" s="1">
        <v>8.0</v>
      </c>
      <c r="AX320" s="1" t="s">
        <v>74</v>
      </c>
      <c r="AY320" s="1" t="s">
        <v>74</v>
      </c>
      <c r="AZ320" s="1" t="s">
        <v>74</v>
      </c>
      <c r="BA320" s="1" t="s">
        <v>74</v>
      </c>
      <c r="BB320" s="1">
        <v>1345.0</v>
      </c>
      <c r="BC320" s="1">
        <v>1365.0</v>
      </c>
      <c r="BD320" s="1" t="s">
        <v>74</v>
      </c>
      <c r="BE320" s="1" t="s">
        <v>3106</v>
      </c>
      <c r="BF320" s="2" t="str">
        <f>HYPERLINK("http://dx.doi.org/10.1007/s10514-023-10131-7","http://dx.doi.org/10.1007/s10514-023-10131-7")</f>
        <v>http://dx.doi.org/10.1007/s10514-023-10131-7</v>
      </c>
      <c r="BG320" s="1" t="s">
        <v>74</v>
      </c>
      <c r="BH320" s="1" t="s">
        <v>74</v>
      </c>
      <c r="BI320" s="1" t="s">
        <v>74</v>
      </c>
      <c r="BJ320" s="1" t="s">
        <v>74</v>
      </c>
      <c r="BK320" s="1" t="s">
        <v>74</v>
      </c>
      <c r="BL320" s="1" t="s">
        <v>405</v>
      </c>
      <c r="BM320" s="1" t="s">
        <v>74</v>
      </c>
      <c r="BN320" s="1" t="s">
        <v>74</v>
      </c>
      <c r="BO320" s="1" t="s">
        <v>74</v>
      </c>
      <c r="BP320" s="1" t="s">
        <v>74</v>
      </c>
      <c r="BQ320" s="1" t="s">
        <v>74</v>
      </c>
      <c r="BR320" s="1" t="s">
        <v>74</v>
      </c>
      <c r="BS320" s="1" t="s">
        <v>3107</v>
      </c>
      <c r="BT320" s="1" t="str">
        <f>HYPERLINK("https%3A%2F%2Fwww.webofscience.com%2Fwos%2Fwoscc%2Ffull-record%2FWOS:001281797200002","View Full Record in Web of Science")</f>
        <v>View Full Record in Web of Science</v>
      </c>
    </row>
    <row r="321" ht="12.75" customHeight="1">
      <c r="A321" s="1" t="s">
        <v>72</v>
      </c>
      <c r="B321" s="1" t="s">
        <v>3108</v>
      </c>
      <c r="C321" s="1" t="s">
        <v>74</v>
      </c>
      <c r="D321" s="1" t="s">
        <v>74</v>
      </c>
      <c r="E321" s="1" t="s">
        <v>74</v>
      </c>
      <c r="F321" s="1" t="s">
        <v>3109</v>
      </c>
      <c r="G321" s="1" t="s">
        <v>74</v>
      </c>
      <c r="H321" s="1" t="s">
        <v>74</v>
      </c>
      <c r="I321" s="1" t="s">
        <v>3110</v>
      </c>
      <c r="J321" s="1" t="s">
        <v>966</v>
      </c>
      <c r="K321" s="1" t="s">
        <v>74</v>
      </c>
      <c r="L321" s="1" t="s">
        <v>74</v>
      </c>
      <c r="M321" s="1" t="s">
        <v>74</v>
      </c>
      <c r="N321" s="1" t="s">
        <v>78</v>
      </c>
      <c r="O321" s="1" t="s">
        <v>74</v>
      </c>
      <c r="P321" s="1" t="s">
        <v>74</v>
      </c>
      <c r="Q321" s="1" t="s">
        <v>74</v>
      </c>
      <c r="R321" s="1" t="s">
        <v>74</v>
      </c>
      <c r="S321" s="1" t="s">
        <v>74</v>
      </c>
      <c r="T321" s="1" t="s">
        <v>3111</v>
      </c>
      <c r="U321" s="1" t="s">
        <v>74</v>
      </c>
      <c r="V321" s="1" t="s">
        <v>3112</v>
      </c>
      <c r="W321" s="1" t="s">
        <v>74</v>
      </c>
      <c r="X321" s="1" t="s">
        <v>74</v>
      </c>
      <c r="Y321" s="1" t="s">
        <v>74</v>
      </c>
      <c r="Z321" s="1" t="s">
        <v>74</v>
      </c>
      <c r="AA321" s="1" t="s">
        <v>74</v>
      </c>
      <c r="AB321" s="1" t="s">
        <v>74</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969</v>
      </c>
      <c r="AP321" s="1" t="s">
        <v>970</v>
      </c>
      <c r="AQ321" s="1" t="s">
        <v>74</v>
      </c>
      <c r="AR321" s="1" t="s">
        <v>74</v>
      </c>
      <c r="AS321" s="1" t="s">
        <v>74</v>
      </c>
      <c r="AT321" s="1" t="s">
        <v>971</v>
      </c>
      <c r="AU321" s="1">
        <v>2025.0</v>
      </c>
      <c r="AV321" s="1">
        <v>326.0</v>
      </c>
      <c r="AW321" s="1" t="s">
        <v>74</v>
      </c>
      <c r="AX321" s="1" t="s">
        <v>74</v>
      </c>
      <c r="AY321" s="1" t="s">
        <v>74</v>
      </c>
      <c r="AZ321" s="1" t="s">
        <v>74</v>
      </c>
      <c r="BA321" s="1" t="s">
        <v>74</v>
      </c>
      <c r="BB321" s="1" t="s">
        <v>74</v>
      </c>
      <c r="BC321" s="1" t="s">
        <v>74</v>
      </c>
      <c r="BD321" s="1">
        <v>114064.0</v>
      </c>
      <c r="BE321" s="1" t="s">
        <v>3113</v>
      </c>
      <c r="BF321" s="2" t="str">
        <f>HYPERLINK("http://dx.doi.org/10.1016/j.knosys.2025.114064","http://dx.doi.org/10.1016/j.knosys.2025.114064")</f>
        <v>http://dx.doi.org/10.1016/j.knosys.2025.114064</v>
      </c>
      <c r="BG321" s="1" t="s">
        <v>74</v>
      </c>
      <c r="BH321" s="1" t="s">
        <v>738</v>
      </c>
      <c r="BI321" s="1" t="s">
        <v>74</v>
      </c>
      <c r="BJ321" s="1" t="s">
        <v>74</v>
      </c>
      <c r="BK321" s="1" t="s">
        <v>74</v>
      </c>
      <c r="BL321" s="1" t="s">
        <v>174</v>
      </c>
      <c r="BM321" s="1" t="s">
        <v>74</v>
      </c>
      <c r="BN321" s="1" t="s">
        <v>74</v>
      </c>
      <c r="BO321" s="1" t="s">
        <v>74</v>
      </c>
      <c r="BP321" s="1" t="s">
        <v>74</v>
      </c>
      <c r="BQ321" s="1" t="s">
        <v>74</v>
      </c>
      <c r="BR321" s="1" t="s">
        <v>74</v>
      </c>
      <c r="BS321" s="1" t="s">
        <v>3114</v>
      </c>
      <c r="BT321" s="1" t="str">
        <f>HYPERLINK("https%3A%2F%2Fwww.webofscience.com%2Fwos%2Fwoscc%2Ffull-record%2FWOS:001539008300001","View Full Record in Web of Science")</f>
        <v>View Full Record in Web of Science</v>
      </c>
    </row>
    <row r="322" ht="12.75" customHeight="1">
      <c r="A322" s="1" t="s">
        <v>72</v>
      </c>
      <c r="B322" s="1" t="s">
        <v>3115</v>
      </c>
      <c r="C322" s="1" t="s">
        <v>74</v>
      </c>
      <c r="D322" s="1" t="s">
        <v>74</v>
      </c>
      <c r="E322" s="1" t="s">
        <v>74</v>
      </c>
      <c r="F322" s="1" t="s">
        <v>3116</v>
      </c>
      <c r="G322" s="1" t="s">
        <v>74</v>
      </c>
      <c r="H322" s="1" t="s">
        <v>74</v>
      </c>
      <c r="I322" s="1" t="s">
        <v>3117</v>
      </c>
      <c r="J322" s="1" t="s">
        <v>239</v>
      </c>
      <c r="K322" s="1" t="s">
        <v>74</v>
      </c>
      <c r="L322" s="1" t="s">
        <v>74</v>
      </c>
      <c r="M322" s="1" t="s">
        <v>74</v>
      </c>
      <c r="N322" s="1" t="s">
        <v>78</v>
      </c>
      <c r="O322" s="1" t="s">
        <v>74</v>
      </c>
      <c r="P322" s="1" t="s">
        <v>74</v>
      </c>
      <c r="Q322" s="1" t="s">
        <v>74</v>
      </c>
      <c r="R322" s="1" t="s">
        <v>74</v>
      </c>
      <c r="S322" s="1" t="s">
        <v>74</v>
      </c>
      <c r="T322" s="1" t="s">
        <v>3118</v>
      </c>
      <c r="U322" s="1" t="s">
        <v>74</v>
      </c>
      <c r="V322" s="1" t="s">
        <v>3119</v>
      </c>
      <c r="W322" s="1" t="s">
        <v>74</v>
      </c>
      <c r="X322" s="1" t="s">
        <v>74</v>
      </c>
      <c r="Y322" s="1" t="s">
        <v>74</v>
      </c>
      <c r="Z322" s="1" t="s">
        <v>74</v>
      </c>
      <c r="AA322" s="1" t="s">
        <v>74</v>
      </c>
      <c r="AB322" s="1" t="s">
        <v>74</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242</v>
      </c>
      <c r="AP322" s="1" t="s">
        <v>74</v>
      </c>
      <c r="AQ322" s="1" t="s">
        <v>74</v>
      </c>
      <c r="AR322" s="1" t="s">
        <v>74</v>
      </c>
      <c r="AS322" s="1" t="s">
        <v>74</v>
      </c>
      <c r="AT322" s="1" t="s">
        <v>225</v>
      </c>
      <c r="AU322" s="1">
        <v>2023.0</v>
      </c>
      <c r="AV322" s="1">
        <v>12.0</v>
      </c>
      <c r="AW322" s="1">
        <v>13.0</v>
      </c>
      <c r="AX322" s="1" t="s">
        <v>74</v>
      </c>
      <c r="AY322" s="1" t="s">
        <v>74</v>
      </c>
      <c r="AZ322" s="1" t="s">
        <v>74</v>
      </c>
      <c r="BA322" s="1" t="s">
        <v>74</v>
      </c>
      <c r="BB322" s="1" t="s">
        <v>74</v>
      </c>
      <c r="BC322" s="1" t="s">
        <v>74</v>
      </c>
      <c r="BD322" s="1">
        <v>2814.0</v>
      </c>
      <c r="BE322" s="1" t="s">
        <v>3120</v>
      </c>
      <c r="BF322" s="2" t="str">
        <f>HYPERLINK("http://dx.doi.org/10.3390/electronics12132814","http://dx.doi.org/10.3390/electronics12132814")</f>
        <v>http://dx.doi.org/10.3390/electronics12132814</v>
      </c>
      <c r="BG322" s="1" t="s">
        <v>74</v>
      </c>
      <c r="BH322" s="1" t="s">
        <v>74</v>
      </c>
      <c r="BI322" s="1" t="s">
        <v>74</v>
      </c>
      <c r="BJ322" s="1" t="s">
        <v>74</v>
      </c>
      <c r="BK322" s="1" t="s">
        <v>74</v>
      </c>
      <c r="BL322" s="1" t="s">
        <v>244</v>
      </c>
      <c r="BM322" s="1" t="s">
        <v>74</v>
      </c>
      <c r="BN322" s="1" t="s">
        <v>74</v>
      </c>
      <c r="BO322" s="1" t="s">
        <v>153</v>
      </c>
      <c r="BP322" s="1" t="s">
        <v>74</v>
      </c>
      <c r="BQ322" s="1" t="s">
        <v>74</v>
      </c>
      <c r="BR322" s="1" t="s">
        <v>74</v>
      </c>
      <c r="BS322" s="1" t="s">
        <v>3121</v>
      </c>
      <c r="BT322" s="1" t="str">
        <f>HYPERLINK("https%3A%2F%2Fwww.webofscience.com%2Fwos%2Fwoscc%2Ffull-record%2FWOS:001028580200001","View Full Record in Web of Science")</f>
        <v>View Full Record in Web of Science</v>
      </c>
    </row>
    <row r="323" ht="12.75" customHeight="1">
      <c r="A323" s="1" t="s">
        <v>72</v>
      </c>
      <c r="B323" s="1" t="s">
        <v>3122</v>
      </c>
      <c r="C323" s="1" t="s">
        <v>74</v>
      </c>
      <c r="D323" s="1" t="s">
        <v>74</v>
      </c>
      <c r="E323" s="1" t="s">
        <v>74</v>
      </c>
      <c r="F323" s="1" t="s">
        <v>3123</v>
      </c>
      <c r="G323" s="1" t="s">
        <v>74</v>
      </c>
      <c r="H323" s="1" t="s">
        <v>74</v>
      </c>
      <c r="I323" s="1" t="s">
        <v>3124</v>
      </c>
      <c r="J323" s="1" t="s">
        <v>3125</v>
      </c>
      <c r="K323" s="1" t="s">
        <v>74</v>
      </c>
      <c r="L323" s="1" t="s">
        <v>74</v>
      </c>
      <c r="M323" s="1" t="s">
        <v>74</v>
      </c>
      <c r="N323" s="1" t="s">
        <v>158</v>
      </c>
      <c r="O323" s="1" t="s">
        <v>74</v>
      </c>
      <c r="P323" s="1" t="s">
        <v>74</v>
      </c>
      <c r="Q323" s="1" t="s">
        <v>74</v>
      </c>
      <c r="R323" s="1" t="s">
        <v>74</v>
      </c>
      <c r="S323" s="1" t="s">
        <v>74</v>
      </c>
      <c r="T323" s="1" t="s">
        <v>3126</v>
      </c>
      <c r="U323" s="1" t="s">
        <v>3127</v>
      </c>
      <c r="V323" s="1" t="s">
        <v>3128</v>
      </c>
      <c r="W323" s="1" t="s">
        <v>74</v>
      </c>
      <c r="X323" s="1" t="s">
        <v>74</v>
      </c>
      <c r="Y323" s="1" t="s">
        <v>74</v>
      </c>
      <c r="Z323" s="1" t="s">
        <v>74</v>
      </c>
      <c r="AA323" s="1" t="s">
        <v>74</v>
      </c>
      <c r="AB323" s="1" t="s">
        <v>74</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3129</v>
      </c>
      <c r="AP323" s="1" t="s">
        <v>3130</v>
      </c>
      <c r="AQ323" s="1" t="s">
        <v>74</v>
      </c>
      <c r="AR323" s="1" t="s">
        <v>74</v>
      </c>
      <c r="AS323" s="1" t="s">
        <v>74</v>
      </c>
      <c r="AT323" s="1" t="s">
        <v>688</v>
      </c>
      <c r="AU323" s="1">
        <v>2025.0</v>
      </c>
      <c r="AV323" s="1">
        <v>41.0</v>
      </c>
      <c r="AW323" s="1">
        <v>4.0</v>
      </c>
      <c r="AX323" s="1" t="s">
        <v>74</v>
      </c>
      <c r="AY323" s="1" t="s">
        <v>74</v>
      </c>
      <c r="AZ323" s="1" t="s">
        <v>74</v>
      </c>
      <c r="BA323" s="1" t="s">
        <v>74</v>
      </c>
      <c r="BB323" s="1">
        <v>2953.0</v>
      </c>
      <c r="BC323" s="1">
        <v>2972.0</v>
      </c>
      <c r="BD323" s="1" t="s">
        <v>74</v>
      </c>
      <c r="BE323" s="1" t="s">
        <v>3131</v>
      </c>
      <c r="BF323" s="2" t="str">
        <f>HYPERLINK("http://dx.doi.org/10.1007/s00371-024-03579-w","http://dx.doi.org/10.1007/s00371-024-03579-w")</f>
        <v>http://dx.doi.org/10.1007/s00371-024-03579-w</v>
      </c>
      <c r="BG323" s="1" t="s">
        <v>74</v>
      </c>
      <c r="BH323" s="1" t="s">
        <v>545</v>
      </c>
      <c r="BI323" s="1" t="s">
        <v>74</v>
      </c>
      <c r="BJ323" s="1" t="s">
        <v>74</v>
      </c>
      <c r="BK323" s="1" t="s">
        <v>74</v>
      </c>
      <c r="BL323" s="1" t="s">
        <v>174</v>
      </c>
      <c r="BM323" s="1" t="s">
        <v>74</v>
      </c>
      <c r="BN323" s="1" t="s">
        <v>74</v>
      </c>
      <c r="BO323" s="1" t="s">
        <v>74</v>
      </c>
      <c r="BP323" s="1" t="s">
        <v>74</v>
      </c>
      <c r="BQ323" s="1" t="s">
        <v>74</v>
      </c>
      <c r="BR323" s="1" t="s">
        <v>74</v>
      </c>
      <c r="BS323" s="1" t="s">
        <v>3132</v>
      </c>
      <c r="BT323" s="1" t="str">
        <f>HYPERLINK("https%3A%2F%2Fwww.webofscience.com%2Fwos%2Fwoscc%2Ffull-record%2FWOS:001279191900001","View Full Record in Web of Science")</f>
        <v>View Full Record in Web of Science</v>
      </c>
    </row>
    <row r="324" ht="12.75" customHeight="1">
      <c r="A324" s="1" t="s">
        <v>72</v>
      </c>
      <c r="B324" s="1" t="s">
        <v>3133</v>
      </c>
      <c r="C324" s="1" t="s">
        <v>74</v>
      </c>
      <c r="D324" s="1" t="s">
        <v>74</v>
      </c>
      <c r="E324" s="1" t="s">
        <v>74</v>
      </c>
      <c r="F324" s="1" t="s">
        <v>3134</v>
      </c>
      <c r="G324" s="1" t="s">
        <v>74</v>
      </c>
      <c r="H324" s="1" t="s">
        <v>74</v>
      </c>
      <c r="I324" s="1" t="s">
        <v>3135</v>
      </c>
      <c r="J324" s="1" t="s">
        <v>1116</v>
      </c>
      <c r="K324" s="1" t="s">
        <v>74</v>
      </c>
      <c r="L324" s="1" t="s">
        <v>74</v>
      </c>
      <c r="M324" s="1" t="s">
        <v>74</v>
      </c>
      <c r="N324" s="1" t="s">
        <v>78</v>
      </c>
      <c r="O324" s="1" t="s">
        <v>74</v>
      </c>
      <c r="P324" s="1" t="s">
        <v>74</v>
      </c>
      <c r="Q324" s="1" t="s">
        <v>74</v>
      </c>
      <c r="R324" s="1" t="s">
        <v>74</v>
      </c>
      <c r="S324" s="1" t="s">
        <v>74</v>
      </c>
      <c r="T324" s="1" t="s">
        <v>3136</v>
      </c>
      <c r="U324" s="1" t="s">
        <v>3137</v>
      </c>
      <c r="V324" s="1" t="s">
        <v>3138</v>
      </c>
      <c r="W324" s="1" t="s">
        <v>74</v>
      </c>
      <c r="X324" s="1" t="s">
        <v>74</v>
      </c>
      <c r="Y324" s="1" t="s">
        <v>74</v>
      </c>
      <c r="Z324" s="1" t="s">
        <v>74</v>
      </c>
      <c r="AA324" s="1" t="s">
        <v>74</v>
      </c>
      <c r="AB324" s="1" t="s">
        <v>74</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1119</v>
      </c>
      <c r="AP324" s="1" t="s">
        <v>1120</v>
      </c>
      <c r="AQ324" s="1" t="s">
        <v>74</v>
      </c>
      <c r="AR324" s="1" t="s">
        <v>74</v>
      </c>
      <c r="AS324" s="1" t="s">
        <v>74</v>
      </c>
      <c r="AT324" s="1" t="s">
        <v>84</v>
      </c>
      <c r="AU324" s="1">
        <v>2025.0</v>
      </c>
      <c r="AV324" s="1">
        <v>24.0</v>
      </c>
      <c r="AW324" s="1">
        <v>5.0</v>
      </c>
      <c r="AX324" s="1" t="s">
        <v>74</v>
      </c>
      <c r="AY324" s="1" t="s">
        <v>74</v>
      </c>
      <c r="AZ324" s="1" t="s">
        <v>74</v>
      </c>
      <c r="BA324" s="1" t="s">
        <v>74</v>
      </c>
      <c r="BB324" s="1">
        <v>4136.0</v>
      </c>
      <c r="BC324" s="1">
        <v>4152.0</v>
      </c>
      <c r="BD324" s="1" t="s">
        <v>74</v>
      </c>
      <c r="BE324" s="1" t="s">
        <v>3139</v>
      </c>
      <c r="BF324" s="2" t="str">
        <f>HYPERLINK("http://dx.doi.org/10.1109/TMC.2024.3522130","http://dx.doi.org/10.1109/TMC.2024.3522130")</f>
        <v>http://dx.doi.org/10.1109/TMC.2024.3522130</v>
      </c>
      <c r="BG324" s="1" t="s">
        <v>74</v>
      </c>
      <c r="BH324" s="1" t="s">
        <v>74</v>
      </c>
      <c r="BI324" s="1" t="s">
        <v>74</v>
      </c>
      <c r="BJ324" s="1" t="s">
        <v>74</v>
      </c>
      <c r="BK324" s="1" t="s">
        <v>74</v>
      </c>
      <c r="BL324" s="1" t="s">
        <v>394</v>
      </c>
      <c r="BM324" s="1" t="s">
        <v>74</v>
      </c>
      <c r="BN324" s="1" t="s">
        <v>74</v>
      </c>
      <c r="BO324" s="1" t="s">
        <v>74</v>
      </c>
      <c r="BP324" s="1" t="s">
        <v>74</v>
      </c>
      <c r="BQ324" s="1" t="s">
        <v>74</v>
      </c>
      <c r="BR324" s="1" t="s">
        <v>74</v>
      </c>
      <c r="BS324" s="1" t="s">
        <v>3140</v>
      </c>
      <c r="BT324" s="1" t="str">
        <f>HYPERLINK("https%3A%2F%2Fwww.webofscience.com%2Fwos%2Fwoscc%2Ffull-record%2FWOS:001459643400025","View Full Record in Web of Science")</f>
        <v>View Full Record in Web of Science</v>
      </c>
    </row>
    <row r="325" ht="12.75" customHeight="1">
      <c r="A325" s="1" t="s">
        <v>72</v>
      </c>
      <c r="B325" s="1" t="s">
        <v>3141</v>
      </c>
      <c r="C325" s="1" t="s">
        <v>74</v>
      </c>
      <c r="D325" s="1" t="s">
        <v>74</v>
      </c>
      <c r="E325" s="1" t="s">
        <v>74</v>
      </c>
      <c r="F325" s="1" t="s">
        <v>3142</v>
      </c>
      <c r="G325" s="1" t="s">
        <v>74</v>
      </c>
      <c r="H325" s="1" t="s">
        <v>74</v>
      </c>
      <c r="I325" s="1" t="s">
        <v>3143</v>
      </c>
      <c r="J325" s="1" t="s">
        <v>3144</v>
      </c>
      <c r="K325" s="1" t="s">
        <v>74</v>
      </c>
      <c r="L325" s="1" t="s">
        <v>74</v>
      </c>
      <c r="M325" s="1" t="s">
        <v>74</v>
      </c>
      <c r="N325" s="1" t="s">
        <v>78</v>
      </c>
      <c r="O325" s="1" t="s">
        <v>74</v>
      </c>
      <c r="P325" s="1" t="s">
        <v>74</v>
      </c>
      <c r="Q325" s="1" t="s">
        <v>74</v>
      </c>
      <c r="R325" s="1" t="s">
        <v>74</v>
      </c>
      <c r="S325" s="1" t="s">
        <v>74</v>
      </c>
      <c r="T325" s="1" t="s">
        <v>3145</v>
      </c>
      <c r="U325" s="1" t="s">
        <v>3146</v>
      </c>
      <c r="V325" s="1" t="s">
        <v>3147</v>
      </c>
      <c r="W325" s="1" t="s">
        <v>74</v>
      </c>
      <c r="X325" s="1" t="s">
        <v>74</v>
      </c>
      <c r="Y325" s="1" t="s">
        <v>74</v>
      </c>
      <c r="Z325" s="1" t="s">
        <v>74</v>
      </c>
      <c r="AA325" s="1" t="s">
        <v>74</v>
      </c>
      <c r="AB325" s="1" t="s">
        <v>74</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3148</v>
      </c>
      <c r="AP325" s="1" t="s">
        <v>3149</v>
      </c>
      <c r="AQ325" s="1" t="s">
        <v>74</v>
      </c>
      <c r="AR325" s="1" t="s">
        <v>74</v>
      </c>
      <c r="AS325" s="1" t="s">
        <v>74</v>
      </c>
      <c r="AT325" s="1" t="s">
        <v>74</v>
      </c>
      <c r="AU325" s="1">
        <v>2025.0</v>
      </c>
      <c r="AV325" s="1">
        <v>2025.0</v>
      </c>
      <c r="AW325" s="1">
        <v>1.0</v>
      </c>
      <c r="AX325" s="1" t="s">
        <v>74</v>
      </c>
      <c r="AY325" s="1" t="s">
        <v>74</v>
      </c>
      <c r="AZ325" s="1" t="s">
        <v>74</v>
      </c>
      <c r="BA325" s="1" t="s">
        <v>74</v>
      </c>
      <c r="BB325" s="1" t="s">
        <v>74</v>
      </c>
      <c r="BC325" s="1" t="s">
        <v>74</v>
      </c>
      <c r="BD325" s="1">
        <v>2376097.0</v>
      </c>
      <c r="BE325" s="1" t="s">
        <v>3150</v>
      </c>
      <c r="BF325" s="2" t="str">
        <f>HYPERLINK("http://dx.doi.org/10.1155/int/2376097","http://dx.doi.org/10.1155/int/2376097")</f>
        <v>http://dx.doi.org/10.1155/int/2376097</v>
      </c>
      <c r="BG325" s="1" t="s">
        <v>74</v>
      </c>
      <c r="BH325" s="1" t="s">
        <v>74</v>
      </c>
      <c r="BI325" s="1" t="s">
        <v>74</v>
      </c>
      <c r="BJ325" s="1" t="s">
        <v>74</v>
      </c>
      <c r="BK325" s="1" t="s">
        <v>74</v>
      </c>
      <c r="BL325" s="1" t="s">
        <v>174</v>
      </c>
      <c r="BM325" s="1" t="s">
        <v>74</v>
      </c>
      <c r="BN325" s="1" t="s">
        <v>74</v>
      </c>
      <c r="BO325" s="1" t="s">
        <v>114</v>
      </c>
      <c r="BP325" s="1" t="s">
        <v>74</v>
      </c>
      <c r="BQ325" s="1" t="s">
        <v>74</v>
      </c>
      <c r="BR325" s="1" t="s">
        <v>74</v>
      </c>
      <c r="BS325" s="1" t="s">
        <v>3151</v>
      </c>
      <c r="BT325" s="1" t="str">
        <f>HYPERLINK("https%3A%2F%2Fwww.webofscience.com%2Fwos%2Fwoscc%2Ffull-record%2FWOS:001546697500001","View Full Record in Web of Science")</f>
        <v>View Full Record in Web of Science</v>
      </c>
    </row>
    <row r="326" ht="12.75" customHeight="1">
      <c r="A326" s="1" t="s">
        <v>72</v>
      </c>
      <c r="B326" s="1" t="s">
        <v>3152</v>
      </c>
      <c r="C326" s="1" t="s">
        <v>74</v>
      </c>
      <c r="D326" s="1" t="s">
        <v>74</v>
      </c>
      <c r="E326" s="1" t="s">
        <v>74</v>
      </c>
      <c r="F326" s="1" t="s">
        <v>3153</v>
      </c>
      <c r="G326" s="1" t="s">
        <v>74</v>
      </c>
      <c r="H326" s="1" t="s">
        <v>74</v>
      </c>
      <c r="I326" s="1" t="s">
        <v>3154</v>
      </c>
      <c r="J326" s="1" t="s">
        <v>3155</v>
      </c>
      <c r="K326" s="1" t="s">
        <v>74</v>
      </c>
      <c r="L326" s="1" t="s">
        <v>74</v>
      </c>
      <c r="M326" s="1" t="s">
        <v>74</v>
      </c>
      <c r="N326" s="1" t="s">
        <v>953</v>
      </c>
      <c r="O326" s="1" t="s">
        <v>74</v>
      </c>
      <c r="P326" s="1" t="s">
        <v>74</v>
      </c>
      <c r="Q326" s="1" t="s">
        <v>74</v>
      </c>
      <c r="R326" s="1" t="s">
        <v>74</v>
      </c>
      <c r="S326" s="1" t="s">
        <v>74</v>
      </c>
      <c r="T326" s="1" t="s">
        <v>3156</v>
      </c>
      <c r="U326" s="1" t="s">
        <v>74</v>
      </c>
      <c r="V326" s="1" t="s">
        <v>3157</v>
      </c>
      <c r="W326" s="1" t="s">
        <v>74</v>
      </c>
      <c r="X326" s="1" t="s">
        <v>74</v>
      </c>
      <c r="Y326" s="1" t="s">
        <v>74</v>
      </c>
      <c r="Z326" s="1" t="s">
        <v>74</v>
      </c>
      <c r="AA326" s="1" t="s">
        <v>74</v>
      </c>
      <c r="AB326" s="1" t="s">
        <v>74</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3158</v>
      </c>
      <c r="AP326" s="1" t="s">
        <v>3159</v>
      </c>
      <c r="AQ326" s="1" t="s">
        <v>74</v>
      </c>
      <c r="AR326" s="1" t="s">
        <v>74</v>
      </c>
      <c r="AS326" s="1" t="s">
        <v>74</v>
      </c>
      <c r="AT326" s="1" t="s">
        <v>3160</v>
      </c>
      <c r="AU326" s="1">
        <v>2025.0</v>
      </c>
      <c r="AV326" s="1" t="s">
        <v>74</v>
      </c>
      <c r="AW326" s="1" t="s">
        <v>74</v>
      </c>
      <c r="AX326" s="1" t="s">
        <v>74</v>
      </c>
      <c r="AY326" s="1" t="s">
        <v>74</v>
      </c>
      <c r="AZ326" s="1" t="s">
        <v>74</v>
      </c>
      <c r="BA326" s="1" t="s">
        <v>74</v>
      </c>
      <c r="BB326" s="1" t="s">
        <v>74</v>
      </c>
      <c r="BC326" s="1" t="s">
        <v>74</v>
      </c>
      <c r="BD326" s="1" t="s">
        <v>74</v>
      </c>
      <c r="BE326" s="1" t="s">
        <v>3161</v>
      </c>
      <c r="BF326" s="2" t="str">
        <f>HYPERLINK("http://dx.doi.org/10.1080/17477778.2025.2536663","http://dx.doi.org/10.1080/17477778.2025.2536663")</f>
        <v>http://dx.doi.org/10.1080/17477778.2025.2536663</v>
      </c>
      <c r="BG326" s="1" t="s">
        <v>74</v>
      </c>
      <c r="BH326" s="1" t="s">
        <v>738</v>
      </c>
      <c r="BI326" s="1" t="s">
        <v>74</v>
      </c>
      <c r="BJ326" s="1" t="s">
        <v>74</v>
      </c>
      <c r="BK326" s="1" t="s">
        <v>74</v>
      </c>
      <c r="BL326" s="1" t="s">
        <v>3162</v>
      </c>
      <c r="BM326" s="1" t="s">
        <v>74</v>
      </c>
      <c r="BN326" s="1" t="s">
        <v>74</v>
      </c>
      <c r="BO326" s="1" t="s">
        <v>74</v>
      </c>
      <c r="BP326" s="1" t="s">
        <v>74</v>
      </c>
      <c r="BQ326" s="1" t="s">
        <v>74</v>
      </c>
      <c r="BR326" s="1" t="s">
        <v>74</v>
      </c>
      <c r="BS326" s="1" t="s">
        <v>3163</v>
      </c>
      <c r="BT326" s="1" t="str">
        <f>HYPERLINK("https%3A%2F%2Fwww.webofscience.com%2Fwos%2Fwoscc%2Ffull-record%2FWOS:001562602400001","View Full Record in Web of Science")</f>
        <v>View Full Record in Web of Science</v>
      </c>
    </row>
    <row r="327" ht="12.75" customHeight="1">
      <c r="A327" s="1" t="s">
        <v>72</v>
      </c>
      <c r="B327" s="1" t="s">
        <v>3164</v>
      </c>
      <c r="C327" s="1" t="s">
        <v>74</v>
      </c>
      <c r="D327" s="1" t="s">
        <v>74</v>
      </c>
      <c r="E327" s="1" t="s">
        <v>74</v>
      </c>
      <c r="F327" s="1" t="s">
        <v>3165</v>
      </c>
      <c r="G327" s="1" t="s">
        <v>74</v>
      </c>
      <c r="H327" s="1" t="s">
        <v>74</v>
      </c>
      <c r="I327" s="1" t="s">
        <v>3166</v>
      </c>
      <c r="J327" s="1" t="s">
        <v>1376</v>
      </c>
      <c r="K327" s="1" t="s">
        <v>74</v>
      </c>
      <c r="L327" s="1" t="s">
        <v>74</v>
      </c>
      <c r="M327" s="1" t="s">
        <v>74</v>
      </c>
      <c r="N327" s="1" t="s">
        <v>78</v>
      </c>
      <c r="O327" s="1" t="s">
        <v>74</v>
      </c>
      <c r="P327" s="1" t="s">
        <v>74</v>
      </c>
      <c r="Q327" s="1" t="s">
        <v>74</v>
      </c>
      <c r="R327" s="1" t="s">
        <v>74</v>
      </c>
      <c r="S327" s="1" t="s">
        <v>74</v>
      </c>
      <c r="T327" s="1" t="s">
        <v>3167</v>
      </c>
      <c r="U327" s="1" t="s">
        <v>74</v>
      </c>
      <c r="V327" s="1" t="s">
        <v>3168</v>
      </c>
      <c r="W327" s="1" t="s">
        <v>74</v>
      </c>
      <c r="X327" s="1" t="s">
        <v>74</v>
      </c>
      <c r="Y327" s="1" t="s">
        <v>74</v>
      </c>
      <c r="Z327" s="1" t="s">
        <v>74</v>
      </c>
      <c r="AA327" s="1" t="s">
        <v>74</v>
      </c>
      <c r="AB327" s="1" t="s">
        <v>74</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74</v>
      </c>
      <c r="AP327" s="1" t="s">
        <v>2256</v>
      </c>
      <c r="AQ327" s="1" t="s">
        <v>74</v>
      </c>
      <c r="AR327" s="1" t="s">
        <v>74</v>
      </c>
      <c r="AS327" s="1" t="s">
        <v>74</v>
      </c>
      <c r="AT327" s="1" t="s">
        <v>3169</v>
      </c>
      <c r="AU327" s="1">
        <v>2025.0</v>
      </c>
      <c r="AV327" s="1">
        <v>6.0</v>
      </c>
      <c r="AW327" s="1">
        <v>4.0</v>
      </c>
      <c r="AX327" s="1" t="s">
        <v>74</v>
      </c>
      <c r="AY327" s="1" t="s">
        <v>74</v>
      </c>
      <c r="AZ327" s="1" t="s">
        <v>74</v>
      </c>
      <c r="BA327" s="1" t="s">
        <v>74</v>
      </c>
      <c r="BB327" s="1" t="s">
        <v>74</v>
      </c>
      <c r="BC327" s="1" t="s">
        <v>74</v>
      </c>
      <c r="BD327" s="1">
        <v>64.0</v>
      </c>
      <c r="BE327" s="1" t="s">
        <v>3170</v>
      </c>
      <c r="BF327" s="2" t="str">
        <f>HYPERLINK("http://dx.doi.org/10.3390/ai6040064","http://dx.doi.org/10.3390/ai6040064")</f>
        <v>http://dx.doi.org/10.3390/ai6040064</v>
      </c>
      <c r="BG327" s="1" t="s">
        <v>74</v>
      </c>
      <c r="BH327" s="1" t="s">
        <v>74</v>
      </c>
      <c r="BI327" s="1" t="s">
        <v>74</v>
      </c>
      <c r="BJ327" s="1" t="s">
        <v>74</v>
      </c>
      <c r="BK327" s="1" t="s">
        <v>74</v>
      </c>
      <c r="BL327" s="1" t="s">
        <v>174</v>
      </c>
      <c r="BM327" s="1" t="s">
        <v>74</v>
      </c>
      <c r="BN327" s="1" t="s">
        <v>74</v>
      </c>
      <c r="BO327" s="1" t="s">
        <v>163</v>
      </c>
      <c r="BP327" s="1" t="s">
        <v>74</v>
      </c>
      <c r="BQ327" s="1" t="s">
        <v>74</v>
      </c>
      <c r="BR327" s="1" t="s">
        <v>74</v>
      </c>
      <c r="BS327" s="1" t="s">
        <v>3171</v>
      </c>
      <c r="BT327" s="1" t="str">
        <f>HYPERLINK("https%3A%2F%2Fwww.webofscience.com%2Fwos%2Fwoscc%2Ffull-record%2FWOS:001474697200001","View Full Record in Web of Science")</f>
        <v>View Full Record in Web of Science</v>
      </c>
    </row>
    <row r="328" ht="12.75" customHeight="1">
      <c r="A328" s="1" t="s">
        <v>72</v>
      </c>
      <c r="B328" s="1" t="s">
        <v>3172</v>
      </c>
      <c r="C328" s="1" t="s">
        <v>74</v>
      </c>
      <c r="D328" s="1" t="s">
        <v>74</v>
      </c>
      <c r="E328" s="1" t="s">
        <v>74</v>
      </c>
      <c r="F328" s="1" t="s">
        <v>3173</v>
      </c>
      <c r="G328" s="1" t="s">
        <v>74</v>
      </c>
      <c r="H328" s="1" t="s">
        <v>74</v>
      </c>
      <c r="I328" s="1" t="s">
        <v>3174</v>
      </c>
      <c r="J328" s="1" t="s">
        <v>2995</v>
      </c>
      <c r="K328" s="1" t="s">
        <v>74</v>
      </c>
      <c r="L328" s="1" t="s">
        <v>74</v>
      </c>
      <c r="M328" s="1" t="s">
        <v>74</v>
      </c>
      <c r="N328" s="1" t="s">
        <v>78</v>
      </c>
      <c r="O328" s="1" t="s">
        <v>74</v>
      </c>
      <c r="P328" s="1" t="s">
        <v>74</v>
      </c>
      <c r="Q328" s="1" t="s">
        <v>74</v>
      </c>
      <c r="R328" s="1" t="s">
        <v>74</v>
      </c>
      <c r="S328" s="1" t="s">
        <v>74</v>
      </c>
      <c r="T328" s="1" t="s">
        <v>3175</v>
      </c>
      <c r="U328" s="1" t="s">
        <v>3176</v>
      </c>
      <c r="V328" s="1" t="s">
        <v>3177</v>
      </c>
      <c r="W328" s="1" t="s">
        <v>74</v>
      </c>
      <c r="X328" s="1" t="s">
        <v>74</v>
      </c>
      <c r="Y328" s="1" t="s">
        <v>74</v>
      </c>
      <c r="Z328" s="1" t="s">
        <v>74</v>
      </c>
      <c r="AA328" s="1" t="s">
        <v>74</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2998</v>
      </c>
      <c r="AP328" s="1" t="s">
        <v>2999</v>
      </c>
      <c r="AQ328" s="1" t="s">
        <v>74</v>
      </c>
      <c r="AR328" s="1" t="s">
        <v>74</v>
      </c>
      <c r="AS328" s="1" t="s">
        <v>74</v>
      </c>
      <c r="AT328" s="1" t="s">
        <v>124</v>
      </c>
      <c r="AU328" s="1">
        <v>2025.0</v>
      </c>
      <c r="AV328" s="1">
        <v>186.0</v>
      </c>
      <c r="AW328" s="1" t="s">
        <v>74</v>
      </c>
      <c r="AX328" s="1" t="s">
        <v>74</v>
      </c>
      <c r="AY328" s="1" t="s">
        <v>74</v>
      </c>
      <c r="AZ328" s="1" t="s">
        <v>74</v>
      </c>
      <c r="BA328" s="1" t="s">
        <v>74</v>
      </c>
      <c r="BB328" s="1" t="s">
        <v>74</v>
      </c>
      <c r="BC328" s="1" t="s">
        <v>74</v>
      </c>
      <c r="BD328" s="1">
        <v>104915.0</v>
      </c>
      <c r="BE328" s="1" t="s">
        <v>3178</v>
      </c>
      <c r="BF328" s="2" t="str">
        <f>HYPERLINK("http://dx.doi.org/10.1016/j.robot.2025.104915","http://dx.doi.org/10.1016/j.robot.2025.104915")</f>
        <v>http://dx.doi.org/10.1016/j.robot.2025.104915</v>
      </c>
      <c r="BG328" s="1" t="s">
        <v>74</v>
      </c>
      <c r="BH328" s="1" t="s">
        <v>141</v>
      </c>
      <c r="BI328" s="1" t="s">
        <v>74</v>
      </c>
      <c r="BJ328" s="1" t="s">
        <v>74</v>
      </c>
      <c r="BK328" s="1" t="s">
        <v>74</v>
      </c>
      <c r="BL328" s="1" t="s">
        <v>3001</v>
      </c>
      <c r="BM328" s="1" t="s">
        <v>74</v>
      </c>
      <c r="BN328" s="1" t="s">
        <v>74</v>
      </c>
      <c r="BO328" s="1" t="s">
        <v>74</v>
      </c>
      <c r="BP328" s="1" t="s">
        <v>74</v>
      </c>
      <c r="BQ328" s="1" t="s">
        <v>74</v>
      </c>
      <c r="BR328" s="1" t="s">
        <v>74</v>
      </c>
      <c r="BS328" s="1" t="s">
        <v>3179</v>
      </c>
      <c r="BT328" s="1" t="str">
        <f>HYPERLINK("https%3A%2F%2Fwww.webofscience.com%2Fwos%2Fwoscc%2Ffull-record%2FWOS:001402736800001","View Full Record in Web of Science")</f>
        <v>View Full Record in Web of Science</v>
      </c>
    </row>
    <row r="329" ht="12.75" customHeight="1">
      <c r="A329" s="1" t="s">
        <v>72</v>
      </c>
      <c r="B329" s="1" t="s">
        <v>3180</v>
      </c>
      <c r="C329" s="1" t="s">
        <v>74</v>
      </c>
      <c r="D329" s="1" t="s">
        <v>74</v>
      </c>
      <c r="E329" s="1" t="s">
        <v>74</v>
      </c>
      <c r="F329" s="1" t="s">
        <v>3181</v>
      </c>
      <c r="G329" s="1" t="s">
        <v>74</v>
      </c>
      <c r="H329" s="1" t="s">
        <v>74</v>
      </c>
      <c r="I329" s="1" t="s">
        <v>3182</v>
      </c>
      <c r="J329" s="1" t="s">
        <v>2895</v>
      </c>
      <c r="K329" s="1" t="s">
        <v>74</v>
      </c>
      <c r="L329" s="1" t="s">
        <v>74</v>
      </c>
      <c r="M329" s="1" t="s">
        <v>74</v>
      </c>
      <c r="N329" s="1" t="s">
        <v>158</v>
      </c>
      <c r="O329" s="1" t="s">
        <v>74</v>
      </c>
      <c r="P329" s="1" t="s">
        <v>74</v>
      </c>
      <c r="Q329" s="1" t="s">
        <v>74</v>
      </c>
      <c r="R329" s="1" t="s">
        <v>74</v>
      </c>
      <c r="S329" s="1" t="s">
        <v>74</v>
      </c>
      <c r="T329" s="1" t="s">
        <v>3183</v>
      </c>
      <c r="U329" s="1" t="s">
        <v>3184</v>
      </c>
      <c r="V329" s="1" t="s">
        <v>3185</v>
      </c>
      <c r="W329" s="1" t="s">
        <v>74</v>
      </c>
      <c r="X329" s="1" t="s">
        <v>74</v>
      </c>
      <c r="Y329" s="1" t="s">
        <v>74</v>
      </c>
      <c r="Z329" s="1" t="s">
        <v>74</v>
      </c>
      <c r="AA329" s="1" t="s">
        <v>74</v>
      </c>
      <c r="AB329" s="1" t="s">
        <v>74</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74</v>
      </c>
      <c r="AP329" s="1" t="s">
        <v>2898</v>
      </c>
      <c r="AQ329" s="1" t="s">
        <v>74</v>
      </c>
      <c r="AR329" s="1" t="s">
        <v>74</v>
      </c>
      <c r="AS329" s="1" t="s">
        <v>74</v>
      </c>
      <c r="AT329" s="1" t="s">
        <v>357</v>
      </c>
      <c r="AU329" s="1">
        <v>2025.0</v>
      </c>
      <c r="AV329" s="1">
        <v>7.0</v>
      </c>
      <c r="AW329" s="1">
        <v>10.0</v>
      </c>
      <c r="AX329" s="1" t="s">
        <v>74</v>
      </c>
      <c r="AY329" s="1" t="s">
        <v>74</v>
      </c>
      <c r="AZ329" s="1" t="s">
        <v>74</v>
      </c>
      <c r="BA329" s="1" t="s">
        <v>74</v>
      </c>
      <c r="BB329" s="1" t="s">
        <v>74</v>
      </c>
      <c r="BC329" s="1" t="s">
        <v>74</v>
      </c>
      <c r="BD329" s="1" t="s">
        <v>3186</v>
      </c>
      <c r="BE329" s="1" t="s">
        <v>3187</v>
      </c>
      <c r="BF329" s="2" t="str">
        <f>HYPERLINK("http://dx.doi.org/10.1002/eng2.70437","http://dx.doi.org/10.1002/eng2.70437")</f>
        <v>http://dx.doi.org/10.1002/eng2.70437</v>
      </c>
      <c r="BG329" s="1" t="s">
        <v>74</v>
      </c>
      <c r="BH329" s="1" t="s">
        <v>74</v>
      </c>
      <c r="BI329" s="1" t="s">
        <v>74</v>
      </c>
      <c r="BJ329" s="1" t="s">
        <v>74</v>
      </c>
      <c r="BK329" s="1" t="s">
        <v>74</v>
      </c>
      <c r="BL329" s="1" t="s">
        <v>2901</v>
      </c>
      <c r="BM329" s="1" t="s">
        <v>74</v>
      </c>
      <c r="BN329" s="1" t="s">
        <v>74</v>
      </c>
      <c r="BO329" s="1" t="s">
        <v>163</v>
      </c>
      <c r="BP329" s="1" t="s">
        <v>74</v>
      </c>
      <c r="BQ329" s="1" t="s">
        <v>74</v>
      </c>
      <c r="BR329" s="1" t="s">
        <v>74</v>
      </c>
      <c r="BS329" s="1" t="s">
        <v>3188</v>
      </c>
      <c r="BT329" s="1" t="str">
        <f>HYPERLINK("https%3A%2F%2Fwww.webofscience.com%2Fwos%2Fwoscc%2Ffull-record%2FWOS:001606158100026","View Full Record in Web of Science")</f>
        <v>View Full Record in Web of Science</v>
      </c>
    </row>
    <row r="330" ht="12.75" customHeight="1">
      <c r="A330" s="1" t="s">
        <v>72</v>
      </c>
      <c r="B330" s="1" t="s">
        <v>3189</v>
      </c>
      <c r="C330" s="1" t="s">
        <v>74</v>
      </c>
      <c r="D330" s="1" t="s">
        <v>74</v>
      </c>
      <c r="E330" s="1" t="s">
        <v>74</v>
      </c>
      <c r="F330" s="1" t="s">
        <v>3190</v>
      </c>
      <c r="G330" s="1" t="s">
        <v>74</v>
      </c>
      <c r="H330" s="1" t="s">
        <v>74</v>
      </c>
      <c r="I330" s="1" t="s">
        <v>3191</v>
      </c>
      <c r="J330" s="1" t="s">
        <v>675</v>
      </c>
      <c r="K330" s="1" t="s">
        <v>74</v>
      </c>
      <c r="L330" s="1" t="s">
        <v>74</v>
      </c>
      <c r="M330" s="1" t="s">
        <v>74</v>
      </c>
      <c r="N330" s="1" t="s">
        <v>78</v>
      </c>
      <c r="O330" s="1" t="s">
        <v>74</v>
      </c>
      <c r="P330" s="1" t="s">
        <v>74</v>
      </c>
      <c r="Q330" s="1" t="s">
        <v>74</v>
      </c>
      <c r="R330" s="1" t="s">
        <v>74</v>
      </c>
      <c r="S330" s="1" t="s">
        <v>74</v>
      </c>
      <c r="T330" s="1" t="s">
        <v>3192</v>
      </c>
      <c r="U330" s="1" t="s">
        <v>3193</v>
      </c>
      <c r="V330" s="1" t="s">
        <v>3194</v>
      </c>
      <c r="W330" s="1" t="s">
        <v>74</v>
      </c>
      <c r="X330" s="1" t="s">
        <v>74</v>
      </c>
      <c r="Y330" s="1" t="s">
        <v>74</v>
      </c>
      <c r="Z330" s="1" t="s">
        <v>74</v>
      </c>
      <c r="AA330" s="1" t="s">
        <v>74</v>
      </c>
      <c r="AB330" s="1" t="s">
        <v>74</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74</v>
      </c>
      <c r="AP330" s="1" t="s">
        <v>679</v>
      </c>
      <c r="AQ330" s="1" t="s">
        <v>74</v>
      </c>
      <c r="AR330" s="1" t="s">
        <v>74</v>
      </c>
      <c r="AS330" s="1" t="s">
        <v>74</v>
      </c>
      <c r="AT330" s="1" t="s">
        <v>3195</v>
      </c>
      <c r="AU330" s="1">
        <v>2025.0</v>
      </c>
      <c r="AV330" s="1">
        <v>8.0</v>
      </c>
      <c r="AW330" s="1" t="s">
        <v>74</v>
      </c>
      <c r="AX330" s="1" t="s">
        <v>74</v>
      </c>
      <c r="AY330" s="1" t="s">
        <v>74</v>
      </c>
      <c r="AZ330" s="1" t="s">
        <v>74</v>
      </c>
      <c r="BA330" s="1" t="s">
        <v>74</v>
      </c>
      <c r="BB330" s="1" t="s">
        <v>74</v>
      </c>
      <c r="BC330" s="1" t="s">
        <v>74</v>
      </c>
      <c r="BD330" s="1">
        <v>1618378.0</v>
      </c>
      <c r="BE330" s="1" t="s">
        <v>3196</v>
      </c>
      <c r="BF330" s="2" t="str">
        <f>HYPERLINK("http://dx.doi.org/10.3389/frai.2025.1618378","http://dx.doi.org/10.3389/frai.2025.1618378")</f>
        <v>http://dx.doi.org/10.3389/frai.2025.1618378</v>
      </c>
      <c r="BG330" s="1" t="s">
        <v>74</v>
      </c>
      <c r="BH330" s="1" t="s">
        <v>74</v>
      </c>
      <c r="BI330" s="1" t="s">
        <v>74</v>
      </c>
      <c r="BJ330" s="1" t="s">
        <v>74</v>
      </c>
      <c r="BK330" s="1" t="s">
        <v>74</v>
      </c>
      <c r="BL330" s="1" t="s">
        <v>174</v>
      </c>
      <c r="BM330" s="1" t="s">
        <v>74</v>
      </c>
      <c r="BN330" s="1" t="s">
        <v>74</v>
      </c>
      <c r="BO330" s="1" t="s">
        <v>153</v>
      </c>
      <c r="BP330" s="1" t="s">
        <v>74</v>
      </c>
      <c r="BQ330" s="1" t="s">
        <v>74</v>
      </c>
      <c r="BR330" s="1" t="s">
        <v>74</v>
      </c>
      <c r="BS330" s="1" t="s">
        <v>3197</v>
      </c>
      <c r="BT330" s="1" t="str">
        <f>HYPERLINK("https%3A%2F%2Fwww.webofscience.com%2Fwos%2Fwoscc%2Ffull-record%2FWOS:001589626200001","View Full Record in Web of Science")</f>
        <v>View Full Record in Web of Science</v>
      </c>
    </row>
    <row r="331" ht="12.75" customHeight="1">
      <c r="A331" s="1" t="s">
        <v>72</v>
      </c>
      <c r="B331" s="1" t="s">
        <v>3198</v>
      </c>
      <c r="C331" s="1" t="s">
        <v>74</v>
      </c>
      <c r="D331" s="1" t="s">
        <v>74</v>
      </c>
      <c r="E331" s="1" t="s">
        <v>74</v>
      </c>
      <c r="F331" s="1" t="s">
        <v>3199</v>
      </c>
      <c r="G331" s="1" t="s">
        <v>74</v>
      </c>
      <c r="H331" s="1" t="s">
        <v>74</v>
      </c>
      <c r="I331" s="1" t="s">
        <v>3200</v>
      </c>
      <c r="J331" s="1" t="s">
        <v>3201</v>
      </c>
      <c r="K331" s="1" t="s">
        <v>74</v>
      </c>
      <c r="L331" s="1" t="s">
        <v>74</v>
      </c>
      <c r="M331" s="1" t="s">
        <v>74</v>
      </c>
      <c r="N331" s="1" t="s">
        <v>3202</v>
      </c>
      <c r="O331" s="1" t="s">
        <v>74</v>
      </c>
      <c r="P331" s="1" t="s">
        <v>74</v>
      </c>
      <c r="Q331" s="1" t="s">
        <v>74</v>
      </c>
      <c r="R331" s="1" t="s">
        <v>74</v>
      </c>
      <c r="S331" s="1" t="s">
        <v>74</v>
      </c>
      <c r="T331" s="1" t="s">
        <v>3203</v>
      </c>
      <c r="U331" s="1" t="s">
        <v>74</v>
      </c>
      <c r="V331" s="1" t="s">
        <v>3204</v>
      </c>
      <c r="W331" s="1" t="s">
        <v>74</v>
      </c>
      <c r="X331" s="1" t="s">
        <v>74</v>
      </c>
      <c r="Y331" s="1" t="s">
        <v>74</v>
      </c>
      <c r="Z331" s="1" t="s">
        <v>74</v>
      </c>
      <c r="AA331" s="1" t="s">
        <v>74</v>
      </c>
      <c r="AB331" s="1" t="s">
        <v>74</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74</v>
      </c>
      <c r="AP331" s="1" t="s">
        <v>3205</v>
      </c>
      <c r="AQ331" s="1" t="s">
        <v>74</v>
      </c>
      <c r="AR331" s="1" t="s">
        <v>74</v>
      </c>
      <c r="AS331" s="1" t="s">
        <v>74</v>
      </c>
      <c r="AT331" s="1" t="s">
        <v>357</v>
      </c>
      <c r="AU331" s="1">
        <v>2025.0</v>
      </c>
      <c r="AV331" s="1">
        <v>54.0</v>
      </c>
      <c r="AW331" s="1" t="s">
        <v>74</v>
      </c>
      <c r="AX331" s="1" t="s">
        <v>74</v>
      </c>
      <c r="AY331" s="1" t="s">
        <v>3206</v>
      </c>
      <c r="AZ331" s="1" t="s">
        <v>74</v>
      </c>
      <c r="BA331" s="1" t="s">
        <v>74</v>
      </c>
      <c r="BB331" s="1" t="s">
        <v>74</v>
      </c>
      <c r="BC331" s="1" t="s">
        <v>74</v>
      </c>
      <c r="BD331" s="1">
        <v>301987.0</v>
      </c>
      <c r="BE331" s="1" t="s">
        <v>3207</v>
      </c>
      <c r="BF331" s="2" t="str">
        <f>HYPERLINK("http://dx.doi.org/10.1016/j.fsidi.2025.301987","http://dx.doi.org/10.1016/j.fsidi.2025.301987")</f>
        <v>http://dx.doi.org/10.1016/j.fsidi.2025.301987</v>
      </c>
      <c r="BG331" s="1" t="s">
        <v>74</v>
      </c>
      <c r="BH331" s="1" t="s">
        <v>811</v>
      </c>
      <c r="BI331" s="1" t="s">
        <v>74</v>
      </c>
      <c r="BJ331" s="1" t="s">
        <v>74</v>
      </c>
      <c r="BK331" s="1" t="s">
        <v>74</v>
      </c>
      <c r="BL331" s="1" t="s">
        <v>174</v>
      </c>
      <c r="BM331" s="1" t="s">
        <v>74</v>
      </c>
      <c r="BN331" s="1" t="s">
        <v>74</v>
      </c>
      <c r="BO331" s="1" t="s">
        <v>114</v>
      </c>
      <c r="BP331" s="1" t="s">
        <v>74</v>
      </c>
      <c r="BQ331" s="1" t="s">
        <v>74</v>
      </c>
      <c r="BR331" s="1" t="s">
        <v>74</v>
      </c>
      <c r="BS331" s="1" t="s">
        <v>3208</v>
      </c>
      <c r="BT331" s="1" t="str">
        <f>HYPERLINK("https%3A%2F%2Fwww.webofscience.com%2Fwos%2Fwoscc%2Ffull-record%2FWOS:001619629200008","View Full Record in Web of Science")</f>
        <v>View Full Record in Web of Science</v>
      </c>
    </row>
    <row r="332" ht="12.75" customHeight="1">
      <c r="A332" s="1" t="s">
        <v>72</v>
      </c>
      <c r="B332" s="1" t="s">
        <v>3209</v>
      </c>
      <c r="C332" s="1" t="s">
        <v>74</v>
      </c>
      <c r="D332" s="1" t="s">
        <v>74</v>
      </c>
      <c r="E332" s="1" t="s">
        <v>74</v>
      </c>
      <c r="F332" s="1" t="s">
        <v>3210</v>
      </c>
      <c r="G332" s="1" t="s">
        <v>74</v>
      </c>
      <c r="H332" s="1" t="s">
        <v>74</v>
      </c>
      <c r="I332" s="1" t="s">
        <v>3211</v>
      </c>
      <c r="J332" s="1" t="s">
        <v>3212</v>
      </c>
      <c r="K332" s="1" t="s">
        <v>74</v>
      </c>
      <c r="L332" s="1" t="s">
        <v>74</v>
      </c>
      <c r="M332" s="1" t="s">
        <v>74</v>
      </c>
      <c r="N332" s="1" t="s">
        <v>78</v>
      </c>
      <c r="O332" s="1" t="s">
        <v>74</v>
      </c>
      <c r="P332" s="1" t="s">
        <v>74</v>
      </c>
      <c r="Q332" s="1" t="s">
        <v>74</v>
      </c>
      <c r="R332" s="1" t="s">
        <v>74</v>
      </c>
      <c r="S332" s="1" t="s">
        <v>74</v>
      </c>
      <c r="T332" s="1" t="s">
        <v>3213</v>
      </c>
      <c r="U332" s="1" t="s">
        <v>74</v>
      </c>
      <c r="V332" s="1" t="s">
        <v>3214</v>
      </c>
      <c r="W332" s="1" t="s">
        <v>74</v>
      </c>
      <c r="X332" s="1" t="s">
        <v>74</v>
      </c>
      <c r="Y332" s="1" t="s">
        <v>74</v>
      </c>
      <c r="Z332" s="1" t="s">
        <v>74</v>
      </c>
      <c r="AA332" s="1" t="s">
        <v>74</v>
      </c>
      <c r="AB332" s="1" t="s">
        <v>74</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3215</v>
      </c>
      <c r="AP332" s="1" t="s">
        <v>3216</v>
      </c>
      <c r="AQ332" s="1" t="s">
        <v>74</v>
      </c>
      <c r="AR332" s="1" t="s">
        <v>74</v>
      </c>
      <c r="AS332" s="1" t="s">
        <v>74</v>
      </c>
      <c r="AT332" s="1" t="s">
        <v>335</v>
      </c>
      <c r="AU332" s="1">
        <v>2025.0</v>
      </c>
      <c r="AV332" s="1">
        <v>67.0</v>
      </c>
      <c r="AW332" s="1">
        <v>6.0</v>
      </c>
      <c r="AX332" s="1" t="s">
        <v>74</v>
      </c>
      <c r="AY332" s="1" t="s">
        <v>74</v>
      </c>
      <c r="AZ332" s="1" t="s">
        <v>74</v>
      </c>
      <c r="BA332" s="1" t="s">
        <v>74</v>
      </c>
      <c r="BB332" s="1">
        <v>5271.0</v>
      </c>
      <c r="BC332" s="1">
        <v>5300.0</v>
      </c>
      <c r="BD332" s="1" t="s">
        <v>74</v>
      </c>
      <c r="BE332" s="1" t="s">
        <v>3217</v>
      </c>
      <c r="BF332" s="2" t="str">
        <f>HYPERLINK("http://dx.doi.org/10.1007/s10115-025-02347-z","http://dx.doi.org/10.1007/s10115-025-02347-z")</f>
        <v>http://dx.doi.org/10.1007/s10115-025-02347-z</v>
      </c>
      <c r="BG332" s="1" t="s">
        <v>74</v>
      </c>
      <c r="BH332" s="1" t="s">
        <v>347</v>
      </c>
      <c r="BI332" s="1" t="s">
        <v>74</v>
      </c>
      <c r="BJ332" s="1" t="s">
        <v>74</v>
      </c>
      <c r="BK332" s="1" t="s">
        <v>74</v>
      </c>
      <c r="BL332" s="1" t="s">
        <v>174</v>
      </c>
      <c r="BM332" s="1" t="s">
        <v>74</v>
      </c>
      <c r="BN332" s="1" t="s">
        <v>74</v>
      </c>
      <c r="BO332" s="1" t="s">
        <v>74</v>
      </c>
      <c r="BP332" s="1" t="s">
        <v>74</v>
      </c>
      <c r="BQ332" s="1" t="s">
        <v>74</v>
      </c>
      <c r="BR332" s="1" t="s">
        <v>74</v>
      </c>
      <c r="BS332" s="1" t="s">
        <v>3218</v>
      </c>
      <c r="BT332" s="1" t="str">
        <f>HYPERLINK("https%3A%2F%2Fwww.webofscience.com%2Fwos%2Fwoscc%2Ffull-record%2FWOS:001444585600001","View Full Record in Web of Science")</f>
        <v>View Full Record in Web of Science</v>
      </c>
    </row>
    <row r="333" ht="12.75" customHeight="1">
      <c r="A333" s="1" t="s">
        <v>72</v>
      </c>
      <c r="B333" s="1" t="s">
        <v>3219</v>
      </c>
      <c r="C333" s="1" t="s">
        <v>74</v>
      </c>
      <c r="D333" s="1" t="s">
        <v>74</v>
      </c>
      <c r="E333" s="1" t="s">
        <v>74</v>
      </c>
      <c r="F333" s="1" t="s">
        <v>3220</v>
      </c>
      <c r="G333" s="1" t="s">
        <v>74</v>
      </c>
      <c r="H333" s="1" t="s">
        <v>74</v>
      </c>
      <c r="I333" s="1" t="s">
        <v>3221</v>
      </c>
      <c r="J333" s="1" t="s">
        <v>610</v>
      </c>
      <c r="K333" s="1" t="s">
        <v>74</v>
      </c>
      <c r="L333" s="1" t="s">
        <v>74</v>
      </c>
      <c r="M333" s="1" t="s">
        <v>74</v>
      </c>
      <c r="N333" s="1" t="s">
        <v>78</v>
      </c>
      <c r="O333" s="1" t="s">
        <v>74</v>
      </c>
      <c r="P333" s="1" t="s">
        <v>74</v>
      </c>
      <c r="Q333" s="1" t="s">
        <v>74</v>
      </c>
      <c r="R333" s="1" t="s">
        <v>74</v>
      </c>
      <c r="S333" s="1" t="s">
        <v>74</v>
      </c>
      <c r="T333" s="1" t="s">
        <v>3222</v>
      </c>
      <c r="U333" s="1" t="s">
        <v>3223</v>
      </c>
      <c r="V333" s="1" t="s">
        <v>3224</v>
      </c>
      <c r="W333" s="1" t="s">
        <v>74</v>
      </c>
      <c r="X333" s="1" t="s">
        <v>74</v>
      </c>
      <c r="Y333" s="1" t="s">
        <v>74</v>
      </c>
      <c r="Z333" s="1" t="s">
        <v>74</v>
      </c>
      <c r="AA333" s="1" t="s">
        <v>74</v>
      </c>
      <c r="AB333" s="1" t="s">
        <v>74</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613</v>
      </c>
      <c r="AP333" s="1" t="s">
        <v>74</v>
      </c>
      <c r="AQ333" s="1" t="s">
        <v>74</v>
      </c>
      <c r="AR333" s="1" t="s">
        <v>74</v>
      </c>
      <c r="AS333" s="1" t="s">
        <v>74</v>
      </c>
      <c r="AT333" s="1" t="s">
        <v>688</v>
      </c>
      <c r="AU333" s="1">
        <v>2025.0</v>
      </c>
      <c r="AV333" s="1">
        <v>12.0</v>
      </c>
      <c r="AW333" s="1">
        <v>1.0</v>
      </c>
      <c r="AX333" s="1" t="s">
        <v>74</v>
      </c>
      <c r="AY333" s="1" t="s">
        <v>74</v>
      </c>
      <c r="AZ333" s="1" t="s">
        <v>74</v>
      </c>
      <c r="BA333" s="1" t="s">
        <v>74</v>
      </c>
      <c r="BB333" s="1" t="s">
        <v>74</v>
      </c>
      <c r="BC333" s="1" t="s">
        <v>74</v>
      </c>
      <c r="BD333" s="1">
        <v>2.0539517241306344E16</v>
      </c>
      <c r="BE333" s="1" t="s">
        <v>3225</v>
      </c>
      <c r="BF333" s="2" t="str">
        <f>HYPERLINK("http://dx.doi.org/10.1177/20539517241306345","http://dx.doi.org/10.1177/20539517241306345")</f>
        <v>http://dx.doi.org/10.1177/20539517241306345</v>
      </c>
      <c r="BG333" s="1" t="s">
        <v>74</v>
      </c>
      <c r="BH333" s="1" t="s">
        <v>74</v>
      </c>
      <c r="BI333" s="1" t="s">
        <v>74</v>
      </c>
      <c r="BJ333" s="1" t="s">
        <v>74</v>
      </c>
      <c r="BK333" s="1" t="s">
        <v>74</v>
      </c>
      <c r="BL333" s="1" t="s">
        <v>615</v>
      </c>
      <c r="BM333" s="1" t="s">
        <v>74</v>
      </c>
      <c r="BN333" s="1" t="s">
        <v>74</v>
      </c>
      <c r="BO333" s="1" t="s">
        <v>163</v>
      </c>
      <c r="BP333" s="1" t="s">
        <v>74</v>
      </c>
      <c r="BQ333" s="1" t="s">
        <v>74</v>
      </c>
      <c r="BR333" s="1" t="s">
        <v>74</v>
      </c>
      <c r="BS333" s="1" t="s">
        <v>3226</v>
      </c>
      <c r="BT333" s="1" t="str">
        <f>HYPERLINK("https%3A%2F%2Fwww.webofscience.com%2Fwos%2Fwoscc%2Ffull-record%2FWOS:001449937400001","View Full Record in Web of Science")</f>
        <v>View Full Record in Web of Science</v>
      </c>
    </row>
    <row r="334" ht="12.75" customHeight="1">
      <c r="A334" s="1" t="s">
        <v>72</v>
      </c>
      <c r="B334" s="1" t="s">
        <v>3227</v>
      </c>
      <c r="C334" s="1" t="s">
        <v>74</v>
      </c>
      <c r="D334" s="1" t="s">
        <v>74</v>
      </c>
      <c r="E334" s="1" t="s">
        <v>74</v>
      </c>
      <c r="F334" s="1" t="s">
        <v>3228</v>
      </c>
      <c r="G334" s="1" t="s">
        <v>74</v>
      </c>
      <c r="H334" s="1" t="s">
        <v>74</v>
      </c>
      <c r="I334" s="1" t="s">
        <v>3229</v>
      </c>
      <c r="J334" s="1" t="s">
        <v>3230</v>
      </c>
      <c r="K334" s="1" t="s">
        <v>74</v>
      </c>
      <c r="L334" s="1" t="s">
        <v>74</v>
      </c>
      <c r="M334" s="1" t="s">
        <v>74</v>
      </c>
      <c r="N334" s="1" t="s">
        <v>78</v>
      </c>
      <c r="O334" s="1" t="s">
        <v>74</v>
      </c>
      <c r="P334" s="1" t="s">
        <v>74</v>
      </c>
      <c r="Q334" s="1" t="s">
        <v>74</v>
      </c>
      <c r="R334" s="1" t="s">
        <v>74</v>
      </c>
      <c r="S334" s="1" t="s">
        <v>74</v>
      </c>
      <c r="T334" s="1" t="s">
        <v>3231</v>
      </c>
      <c r="U334" s="1" t="s">
        <v>3232</v>
      </c>
      <c r="V334" s="1" t="s">
        <v>3233</v>
      </c>
      <c r="W334" s="1" t="s">
        <v>74</v>
      </c>
      <c r="X334" s="1" t="s">
        <v>74</v>
      </c>
      <c r="Y334" s="1" t="s">
        <v>74</v>
      </c>
      <c r="Z334" s="1" t="s">
        <v>74</v>
      </c>
      <c r="AA334" s="1" t="s">
        <v>74</v>
      </c>
      <c r="AB334" s="1" t="s">
        <v>74</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3234</v>
      </c>
      <c r="AP334" s="1" t="s">
        <v>3235</v>
      </c>
      <c r="AQ334" s="1" t="s">
        <v>74</v>
      </c>
      <c r="AR334" s="1" t="s">
        <v>74</v>
      </c>
      <c r="AS334" s="1" t="s">
        <v>74</v>
      </c>
      <c r="AT334" s="1" t="s">
        <v>3236</v>
      </c>
      <c r="AU334" s="1">
        <v>2025.0</v>
      </c>
      <c r="AV334" s="1">
        <v>9.0</v>
      </c>
      <c r="AW334" s="1">
        <v>4.0</v>
      </c>
      <c r="AX334" s="1" t="s">
        <v>74</v>
      </c>
      <c r="AY334" s="1" t="s">
        <v>74</v>
      </c>
      <c r="AZ334" s="1" t="s">
        <v>74</v>
      </c>
      <c r="BA334" s="1" t="s">
        <v>74</v>
      </c>
      <c r="BB334" s="1">
        <v>747.0</v>
      </c>
      <c r="BC334" s="1">
        <v>796.0</v>
      </c>
      <c r="BD334" s="1" t="s">
        <v>74</v>
      </c>
      <c r="BE334" s="1" t="s">
        <v>3237</v>
      </c>
      <c r="BF334" s="2" t="str">
        <f>HYPERLINK("http://dx.doi.org/10.1080/20964471.2025.2581425","http://dx.doi.org/10.1080/20964471.2025.2581425")</f>
        <v>http://dx.doi.org/10.1080/20964471.2025.2581425</v>
      </c>
      <c r="BG334" s="1" t="s">
        <v>74</v>
      </c>
      <c r="BH334" s="1" t="s">
        <v>255</v>
      </c>
      <c r="BI334" s="1" t="s">
        <v>74</v>
      </c>
      <c r="BJ334" s="1" t="s">
        <v>74</v>
      </c>
      <c r="BK334" s="1" t="s">
        <v>74</v>
      </c>
      <c r="BL334" s="1" t="s">
        <v>3238</v>
      </c>
      <c r="BM334" s="1" t="s">
        <v>74</v>
      </c>
      <c r="BN334" s="1" t="s">
        <v>74</v>
      </c>
      <c r="BO334" s="1" t="s">
        <v>163</v>
      </c>
      <c r="BP334" s="1" t="s">
        <v>74</v>
      </c>
      <c r="BQ334" s="1" t="s">
        <v>74</v>
      </c>
      <c r="BR334" s="1" t="s">
        <v>74</v>
      </c>
      <c r="BS334" s="1" t="s">
        <v>3239</v>
      </c>
      <c r="BT334" s="1" t="str">
        <f>HYPERLINK("https%3A%2F%2Fwww.webofscience.com%2Fwos%2Fwoscc%2Ffull-record%2FWOS:001611077500001","View Full Record in Web of Science")</f>
        <v>View Full Record in Web of Science</v>
      </c>
    </row>
    <row r="335" ht="12.75" customHeight="1">
      <c r="A335" s="1" t="s">
        <v>72</v>
      </c>
      <c r="B335" s="1" t="s">
        <v>3240</v>
      </c>
      <c r="C335" s="1" t="s">
        <v>74</v>
      </c>
      <c r="D335" s="1" t="s">
        <v>74</v>
      </c>
      <c r="E335" s="1" t="s">
        <v>74</v>
      </c>
      <c r="F335" s="1" t="s">
        <v>3241</v>
      </c>
      <c r="G335" s="1" t="s">
        <v>74</v>
      </c>
      <c r="H335" s="1" t="s">
        <v>74</v>
      </c>
      <c r="I335" s="1" t="s">
        <v>3242</v>
      </c>
      <c r="J335" s="1" t="s">
        <v>2961</v>
      </c>
      <c r="K335" s="1" t="s">
        <v>74</v>
      </c>
      <c r="L335" s="1" t="s">
        <v>74</v>
      </c>
      <c r="M335" s="1" t="s">
        <v>74</v>
      </c>
      <c r="N335" s="1" t="s">
        <v>78</v>
      </c>
      <c r="O335" s="1" t="s">
        <v>74</v>
      </c>
      <c r="P335" s="1" t="s">
        <v>74</v>
      </c>
      <c r="Q335" s="1" t="s">
        <v>74</v>
      </c>
      <c r="R335" s="1" t="s">
        <v>74</v>
      </c>
      <c r="S335" s="1" t="s">
        <v>74</v>
      </c>
      <c r="T335" s="1" t="s">
        <v>3243</v>
      </c>
      <c r="U335" s="1" t="s">
        <v>74</v>
      </c>
      <c r="V335" s="1" t="s">
        <v>3244</v>
      </c>
      <c r="W335" s="1" t="s">
        <v>74</v>
      </c>
      <c r="X335" s="1" t="s">
        <v>74</v>
      </c>
      <c r="Y335" s="1" t="s">
        <v>74</v>
      </c>
      <c r="Z335" s="1" t="s">
        <v>74</v>
      </c>
      <c r="AA335" s="1" t="s">
        <v>74</v>
      </c>
      <c r="AB335" s="1" t="s">
        <v>74</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2964</v>
      </c>
      <c r="AP335" s="1" t="s">
        <v>2965</v>
      </c>
      <c r="AQ335" s="1" t="s">
        <v>74</v>
      </c>
      <c r="AR335" s="1" t="s">
        <v>74</v>
      </c>
      <c r="AS335" s="1" t="s">
        <v>74</v>
      </c>
      <c r="AT335" s="1" t="s">
        <v>262</v>
      </c>
      <c r="AU335" s="1">
        <v>2025.0</v>
      </c>
      <c r="AV335" s="1">
        <v>8.0</v>
      </c>
      <c r="AW335" s="1">
        <v>5.0</v>
      </c>
      <c r="AX335" s="1" t="s">
        <v>74</v>
      </c>
      <c r="AY335" s="1" t="s">
        <v>74</v>
      </c>
      <c r="AZ335" s="1" t="s">
        <v>74</v>
      </c>
      <c r="BA335" s="1" t="s">
        <v>74</v>
      </c>
      <c r="BB335" s="1">
        <v>88.0</v>
      </c>
      <c r="BC335" s="1">
        <v>96.0</v>
      </c>
      <c r="BD335" s="1" t="s">
        <v>74</v>
      </c>
      <c r="BE335" s="1" t="s">
        <v>3245</v>
      </c>
      <c r="BF335" s="2" t="str">
        <f>HYPERLINK("http://dx.doi.org/10.1109/MIOT.2025.3575927","http://dx.doi.org/10.1109/MIOT.2025.3575927")</f>
        <v>http://dx.doi.org/10.1109/MIOT.2025.3575927</v>
      </c>
      <c r="BG335" s="1" t="s">
        <v>74</v>
      </c>
      <c r="BH335" s="1" t="s">
        <v>74</v>
      </c>
      <c r="BI335" s="1" t="s">
        <v>74</v>
      </c>
      <c r="BJ335" s="1" t="s">
        <v>74</v>
      </c>
      <c r="BK335" s="1" t="s">
        <v>74</v>
      </c>
      <c r="BL335" s="1" t="s">
        <v>152</v>
      </c>
      <c r="BM335" s="1" t="s">
        <v>74</v>
      </c>
      <c r="BN335" s="1" t="s">
        <v>74</v>
      </c>
      <c r="BO335" s="1" t="s">
        <v>74</v>
      </c>
      <c r="BP335" s="1" t="s">
        <v>74</v>
      </c>
      <c r="BQ335" s="1" t="s">
        <v>74</v>
      </c>
      <c r="BR335" s="1" t="s">
        <v>74</v>
      </c>
      <c r="BS335" s="1" t="s">
        <v>3246</v>
      </c>
      <c r="BT335" s="1" t="str">
        <f>HYPERLINK("https%3A%2F%2Fwww.webofscience.com%2Fwos%2Fwoscc%2Ffull-record%2FWOS:001635054300014","View Full Record in Web of Science")</f>
        <v>View Full Record in Web of Science</v>
      </c>
    </row>
    <row r="336" ht="12.75" customHeight="1">
      <c r="A336" s="1" t="s">
        <v>72</v>
      </c>
      <c r="B336" s="1" t="s">
        <v>3247</v>
      </c>
      <c r="C336" s="1" t="s">
        <v>74</v>
      </c>
      <c r="D336" s="1" t="s">
        <v>74</v>
      </c>
      <c r="E336" s="1" t="s">
        <v>74</v>
      </c>
      <c r="F336" s="1" t="s">
        <v>3248</v>
      </c>
      <c r="G336" s="1" t="s">
        <v>74</v>
      </c>
      <c r="H336" s="1" t="s">
        <v>74</v>
      </c>
      <c r="I336" s="1" t="s">
        <v>3249</v>
      </c>
      <c r="J336" s="1" t="s">
        <v>147</v>
      </c>
      <c r="K336" s="1" t="s">
        <v>74</v>
      </c>
      <c r="L336" s="1" t="s">
        <v>74</v>
      </c>
      <c r="M336" s="1" t="s">
        <v>74</v>
      </c>
      <c r="N336" s="1" t="s">
        <v>78</v>
      </c>
      <c r="O336" s="1" t="s">
        <v>74</v>
      </c>
      <c r="P336" s="1" t="s">
        <v>74</v>
      </c>
      <c r="Q336" s="1" t="s">
        <v>74</v>
      </c>
      <c r="R336" s="1" t="s">
        <v>74</v>
      </c>
      <c r="S336" s="1" t="s">
        <v>74</v>
      </c>
      <c r="T336" s="1" t="s">
        <v>3250</v>
      </c>
      <c r="U336" s="1" t="s">
        <v>3251</v>
      </c>
      <c r="V336" s="1" t="s">
        <v>3252</v>
      </c>
      <c r="W336" s="1" t="s">
        <v>74</v>
      </c>
      <c r="X336" s="1" t="s">
        <v>74</v>
      </c>
      <c r="Y336" s="1" t="s">
        <v>74</v>
      </c>
      <c r="Z336" s="1" t="s">
        <v>74</v>
      </c>
      <c r="AA336" s="1" t="s">
        <v>74</v>
      </c>
      <c r="AB336" s="1" t="s">
        <v>74</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150</v>
      </c>
      <c r="AP336" s="1" t="s">
        <v>74</v>
      </c>
      <c r="AQ336" s="1" t="s">
        <v>74</v>
      </c>
      <c r="AR336" s="1" t="s">
        <v>74</v>
      </c>
      <c r="AS336" s="1" t="s">
        <v>74</v>
      </c>
      <c r="AT336" s="1" t="s">
        <v>74</v>
      </c>
      <c r="AU336" s="1">
        <v>2025.0</v>
      </c>
      <c r="AV336" s="1">
        <v>13.0</v>
      </c>
      <c r="AW336" s="1" t="s">
        <v>74</v>
      </c>
      <c r="AX336" s="1" t="s">
        <v>74</v>
      </c>
      <c r="AY336" s="1" t="s">
        <v>74</v>
      </c>
      <c r="AZ336" s="1" t="s">
        <v>74</v>
      </c>
      <c r="BA336" s="1" t="s">
        <v>74</v>
      </c>
      <c r="BB336" s="1">
        <v>149777.0</v>
      </c>
      <c r="BC336" s="1">
        <v>149788.0</v>
      </c>
      <c r="BD336" s="1" t="s">
        <v>74</v>
      </c>
      <c r="BE336" s="1" t="s">
        <v>3253</v>
      </c>
      <c r="BF336" s="2" t="str">
        <f>HYPERLINK("http://dx.doi.org/10.1109/ACCESS.2025.3601518","http://dx.doi.org/10.1109/ACCESS.2025.3601518")</f>
        <v>http://dx.doi.org/10.1109/ACCESS.2025.3601518</v>
      </c>
      <c r="BG336" s="1" t="s">
        <v>74</v>
      </c>
      <c r="BH336" s="1" t="s">
        <v>74</v>
      </c>
      <c r="BI336" s="1" t="s">
        <v>74</v>
      </c>
      <c r="BJ336" s="1" t="s">
        <v>74</v>
      </c>
      <c r="BK336" s="1" t="s">
        <v>74</v>
      </c>
      <c r="BL336" s="1" t="s">
        <v>152</v>
      </c>
      <c r="BM336" s="1" t="s">
        <v>74</v>
      </c>
      <c r="BN336" s="1" t="s">
        <v>74</v>
      </c>
      <c r="BO336" s="1" t="s">
        <v>153</v>
      </c>
      <c r="BP336" s="1" t="s">
        <v>74</v>
      </c>
      <c r="BQ336" s="1" t="s">
        <v>74</v>
      </c>
      <c r="BR336" s="1" t="s">
        <v>74</v>
      </c>
      <c r="BS336" s="1" t="s">
        <v>3254</v>
      </c>
      <c r="BT336" s="1" t="str">
        <f>HYPERLINK("https%3A%2F%2Fwww.webofscience.com%2Fwos%2Fwoscc%2Ffull-record%2FWOS:001565196500019","View Full Record in Web of Science")</f>
        <v>View Full Record in Web of Science</v>
      </c>
    </row>
    <row r="337" ht="12.75" customHeight="1">
      <c r="A337" s="1" t="s">
        <v>72</v>
      </c>
      <c r="B337" s="1" t="s">
        <v>3255</v>
      </c>
      <c r="C337" s="1" t="s">
        <v>74</v>
      </c>
      <c r="D337" s="1" t="s">
        <v>74</v>
      </c>
      <c r="E337" s="1" t="s">
        <v>74</v>
      </c>
      <c r="F337" s="1" t="s">
        <v>3256</v>
      </c>
      <c r="G337" s="1" t="s">
        <v>74</v>
      </c>
      <c r="H337" s="1" t="s">
        <v>74</v>
      </c>
      <c r="I337" s="1" t="s">
        <v>3257</v>
      </c>
      <c r="J337" s="1" t="s">
        <v>103</v>
      </c>
      <c r="K337" s="1" t="s">
        <v>74</v>
      </c>
      <c r="L337" s="1" t="s">
        <v>74</v>
      </c>
      <c r="M337" s="1" t="s">
        <v>74</v>
      </c>
      <c r="N337" s="1" t="s">
        <v>78</v>
      </c>
      <c r="O337" s="1" t="s">
        <v>74</v>
      </c>
      <c r="P337" s="1" t="s">
        <v>74</v>
      </c>
      <c r="Q337" s="1" t="s">
        <v>74</v>
      </c>
      <c r="R337" s="1" t="s">
        <v>74</v>
      </c>
      <c r="S337" s="1" t="s">
        <v>74</v>
      </c>
      <c r="T337" s="1" t="s">
        <v>3258</v>
      </c>
      <c r="U337" s="1" t="s">
        <v>74</v>
      </c>
      <c r="V337" s="1" t="s">
        <v>3259</v>
      </c>
      <c r="W337" s="1" t="s">
        <v>74</v>
      </c>
      <c r="X337" s="1" t="s">
        <v>74</v>
      </c>
      <c r="Y337" s="1" t="s">
        <v>74</v>
      </c>
      <c r="Z337" s="1" t="s">
        <v>74</v>
      </c>
      <c r="AA337" s="1" t="s">
        <v>74</v>
      </c>
      <c r="AB337" s="1" t="s">
        <v>74</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107</v>
      </c>
      <c r="AP337" s="1" t="s">
        <v>108</v>
      </c>
      <c r="AQ337" s="1" t="s">
        <v>74</v>
      </c>
      <c r="AR337" s="1" t="s">
        <v>74</v>
      </c>
      <c r="AS337" s="1" t="s">
        <v>74</v>
      </c>
      <c r="AT337" s="1" t="s">
        <v>1305</v>
      </c>
      <c r="AU337" s="1">
        <v>2025.0</v>
      </c>
      <c r="AV337" s="1">
        <v>159.0</v>
      </c>
      <c r="AW337" s="1" t="s">
        <v>74</v>
      </c>
      <c r="AX337" s="1" t="s">
        <v>1409</v>
      </c>
      <c r="AY337" s="1" t="s">
        <v>74</v>
      </c>
      <c r="AZ337" s="1" t="s">
        <v>74</v>
      </c>
      <c r="BA337" s="1" t="s">
        <v>74</v>
      </c>
      <c r="BB337" s="1" t="s">
        <v>74</v>
      </c>
      <c r="BC337" s="1" t="s">
        <v>74</v>
      </c>
      <c r="BD337" s="1">
        <v>111622.0</v>
      </c>
      <c r="BE337" s="1" t="s">
        <v>3260</v>
      </c>
      <c r="BF337" s="2" t="str">
        <f>HYPERLINK("http://dx.doi.org/10.1016/j.engappai.2025.111622","http://dx.doi.org/10.1016/j.engappai.2025.111622")</f>
        <v>http://dx.doi.org/10.1016/j.engappai.2025.111622</v>
      </c>
      <c r="BG337" s="1" t="s">
        <v>74</v>
      </c>
      <c r="BH337" s="1" t="s">
        <v>973</v>
      </c>
      <c r="BI337" s="1" t="s">
        <v>74</v>
      </c>
      <c r="BJ337" s="1" t="s">
        <v>74</v>
      </c>
      <c r="BK337" s="1" t="s">
        <v>74</v>
      </c>
      <c r="BL337" s="1" t="s">
        <v>113</v>
      </c>
      <c r="BM337" s="1" t="s">
        <v>74</v>
      </c>
      <c r="BN337" s="1" t="s">
        <v>74</v>
      </c>
      <c r="BO337" s="1" t="s">
        <v>74</v>
      </c>
      <c r="BP337" s="1" t="s">
        <v>74</v>
      </c>
      <c r="BQ337" s="1" t="s">
        <v>74</v>
      </c>
      <c r="BR337" s="1" t="s">
        <v>74</v>
      </c>
      <c r="BS337" s="1" t="s">
        <v>3261</v>
      </c>
      <c r="BT337" s="1" t="str">
        <f>HYPERLINK("https%3A%2F%2Fwww.webofscience.com%2Fwos%2Fwoscc%2Ffull-record%2FWOS:001526899700007","View Full Record in Web of Science")</f>
        <v>View Full Record in Web of Science</v>
      </c>
    </row>
    <row r="338" ht="12.75" customHeight="1">
      <c r="A338" s="1" t="s">
        <v>72</v>
      </c>
      <c r="B338" s="1" t="s">
        <v>3262</v>
      </c>
      <c r="C338" s="1" t="s">
        <v>74</v>
      </c>
      <c r="D338" s="1" t="s">
        <v>74</v>
      </c>
      <c r="E338" s="1" t="s">
        <v>74</v>
      </c>
      <c r="F338" s="1" t="s">
        <v>3263</v>
      </c>
      <c r="G338" s="1" t="s">
        <v>74</v>
      </c>
      <c r="H338" s="1" t="s">
        <v>74</v>
      </c>
      <c r="I338" s="1" t="s">
        <v>3264</v>
      </c>
      <c r="J338" s="1" t="s">
        <v>1230</v>
      </c>
      <c r="K338" s="1" t="s">
        <v>74</v>
      </c>
      <c r="L338" s="1" t="s">
        <v>74</v>
      </c>
      <c r="M338" s="1" t="s">
        <v>74</v>
      </c>
      <c r="N338" s="1" t="s">
        <v>78</v>
      </c>
      <c r="O338" s="1" t="s">
        <v>74</v>
      </c>
      <c r="P338" s="1" t="s">
        <v>74</v>
      </c>
      <c r="Q338" s="1" t="s">
        <v>74</v>
      </c>
      <c r="R338" s="1" t="s">
        <v>74</v>
      </c>
      <c r="S338" s="1" t="s">
        <v>74</v>
      </c>
      <c r="T338" s="1" t="s">
        <v>3265</v>
      </c>
      <c r="U338" s="1" t="s">
        <v>74</v>
      </c>
      <c r="V338" s="1" t="s">
        <v>3266</v>
      </c>
      <c r="W338" s="1" t="s">
        <v>74</v>
      </c>
      <c r="X338" s="1" t="s">
        <v>74</v>
      </c>
      <c r="Y338" s="1" t="s">
        <v>74</v>
      </c>
      <c r="Z338" s="1" t="s">
        <v>74</v>
      </c>
      <c r="AA338" s="1" t="s">
        <v>74</v>
      </c>
      <c r="AB338" s="1" t="s">
        <v>74</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1233</v>
      </c>
      <c r="AP338" s="1" t="s">
        <v>1234</v>
      </c>
      <c r="AQ338" s="1" t="s">
        <v>74</v>
      </c>
      <c r="AR338" s="1" t="s">
        <v>74</v>
      </c>
      <c r="AS338" s="1" t="s">
        <v>74</v>
      </c>
      <c r="AT338" s="1" t="s">
        <v>1476</v>
      </c>
      <c r="AU338" s="1">
        <v>2025.0</v>
      </c>
      <c r="AV338" s="1">
        <v>282.0</v>
      </c>
      <c r="AW338" s="1" t="s">
        <v>74</v>
      </c>
      <c r="AX338" s="1" t="s">
        <v>74</v>
      </c>
      <c r="AY338" s="1" t="s">
        <v>74</v>
      </c>
      <c r="AZ338" s="1" t="s">
        <v>74</v>
      </c>
      <c r="BA338" s="1" t="s">
        <v>74</v>
      </c>
      <c r="BB338" s="1" t="s">
        <v>74</v>
      </c>
      <c r="BC338" s="1" t="s">
        <v>74</v>
      </c>
      <c r="BD338" s="1">
        <v>127717.0</v>
      </c>
      <c r="BE338" s="1" t="s">
        <v>3267</v>
      </c>
      <c r="BF338" s="2" t="str">
        <f>HYPERLINK("http://dx.doi.org/10.1016/j.eswa.2025.127717","http://dx.doi.org/10.1016/j.eswa.2025.127717")</f>
        <v>http://dx.doi.org/10.1016/j.eswa.2025.127717</v>
      </c>
      <c r="BG338" s="1" t="s">
        <v>74</v>
      </c>
      <c r="BH338" s="1" t="s">
        <v>526</v>
      </c>
      <c r="BI338" s="1" t="s">
        <v>74</v>
      </c>
      <c r="BJ338" s="1" t="s">
        <v>74</v>
      </c>
      <c r="BK338" s="1" t="s">
        <v>74</v>
      </c>
      <c r="BL338" s="1" t="s">
        <v>1237</v>
      </c>
      <c r="BM338" s="1" t="s">
        <v>74</v>
      </c>
      <c r="BN338" s="1" t="s">
        <v>74</v>
      </c>
      <c r="BO338" s="1" t="s">
        <v>74</v>
      </c>
      <c r="BP338" s="1" t="s">
        <v>74</v>
      </c>
      <c r="BQ338" s="1" t="s">
        <v>74</v>
      </c>
      <c r="BR338" s="1" t="s">
        <v>74</v>
      </c>
      <c r="BS338" s="1" t="s">
        <v>3268</v>
      </c>
      <c r="BT338" s="1" t="str">
        <f>HYPERLINK("https%3A%2F%2Fwww.webofscience.com%2Fwos%2Fwoscc%2Ffull-record%2FWOS:001482508500001","View Full Record in Web of Science")</f>
        <v>View Full Record in Web of Science</v>
      </c>
    </row>
    <row r="339" ht="12.75" customHeight="1">
      <c r="A339" s="1" t="s">
        <v>72</v>
      </c>
      <c r="B339" s="1" t="s">
        <v>3269</v>
      </c>
      <c r="C339" s="1" t="s">
        <v>74</v>
      </c>
      <c r="D339" s="1" t="s">
        <v>74</v>
      </c>
      <c r="E339" s="1" t="s">
        <v>74</v>
      </c>
      <c r="F339" s="1" t="s">
        <v>3270</v>
      </c>
      <c r="G339" s="1" t="s">
        <v>74</v>
      </c>
      <c r="H339" s="1" t="s">
        <v>74</v>
      </c>
      <c r="I339" s="1" t="s">
        <v>3271</v>
      </c>
      <c r="J339" s="1" t="s">
        <v>147</v>
      </c>
      <c r="K339" s="1" t="s">
        <v>74</v>
      </c>
      <c r="L339" s="1" t="s">
        <v>74</v>
      </c>
      <c r="M339" s="1" t="s">
        <v>74</v>
      </c>
      <c r="N339" s="1" t="s">
        <v>78</v>
      </c>
      <c r="O339" s="1" t="s">
        <v>74</v>
      </c>
      <c r="P339" s="1" t="s">
        <v>74</v>
      </c>
      <c r="Q339" s="1" t="s">
        <v>74</v>
      </c>
      <c r="R339" s="1" t="s">
        <v>74</v>
      </c>
      <c r="S339" s="1" t="s">
        <v>74</v>
      </c>
      <c r="T339" s="1" t="s">
        <v>3272</v>
      </c>
      <c r="U339" s="1" t="s">
        <v>74</v>
      </c>
      <c r="V339" s="1" t="s">
        <v>3273</v>
      </c>
      <c r="W339" s="1" t="s">
        <v>74</v>
      </c>
      <c r="X339" s="1" t="s">
        <v>74</v>
      </c>
      <c r="Y339" s="1" t="s">
        <v>74</v>
      </c>
      <c r="Z339" s="1" t="s">
        <v>74</v>
      </c>
      <c r="AA339" s="1" t="s">
        <v>74</v>
      </c>
      <c r="AB339" s="1" t="s">
        <v>74</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150</v>
      </c>
      <c r="AP339" s="1" t="s">
        <v>74</v>
      </c>
      <c r="AQ339" s="1" t="s">
        <v>74</v>
      </c>
      <c r="AR339" s="1" t="s">
        <v>74</v>
      </c>
      <c r="AS339" s="1" t="s">
        <v>74</v>
      </c>
      <c r="AT339" s="1" t="s">
        <v>74</v>
      </c>
      <c r="AU339" s="1">
        <v>2025.0</v>
      </c>
      <c r="AV339" s="1">
        <v>13.0</v>
      </c>
      <c r="AW339" s="1" t="s">
        <v>74</v>
      </c>
      <c r="AX339" s="1" t="s">
        <v>74</v>
      </c>
      <c r="AY339" s="1" t="s">
        <v>74</v>
      </c>
      <c r="AZ339" s="1" t="s">
        <v>74</v>
      </c>
      <c r="BA339" s="1" t="s">
        <v>74</v>
      </c>
      <c r="BB339" s="1">
        <v>65643.0</v>
      </c>
      <c r="BC339" s="1">
        <v>65658.0</v>
      </c>
      <c r="BD339" s="1" t="s">
        <v>74</v>
      </c>
      <c r="BE339" s="1" t="s">
        <v>3274</v>
      </c>
      <c r="BF339" s="2" t="str">
        <f>HYPERLINK("http://dx.doi.org/10.1109/ACCESS.2025.3560254","http://dx.doi.org/10.1109/ACCESS.2025.3560254")</f>
        <v>http://dx.doi.org/10.1109/ACCESS.2025.3560254</v>
      </c>
      <c r="BG339" s="1" t="s">
        <v>74</v>
      </c>
      <c r="BH339" s="1" t="s">
        <v>74</v>
      </c>
      <c r="BI339" s="1" t="s">
        <v>74</v>
      </c>
      <c r="BJ339" s="1" t="s">
        <v>74</v>
      </c>
      <c r="BK339" s="1" t="s">
        <v>74</v>
      </c>
      <c r="BL339" s="1" t="s">
        <v>152</v>
      </c>
      <c r="BM339" s="1" t="s">
        <v>74</v>
      </c>
      <c r="BN339" s="1" t="s">
        <v>74</v>
      </c>
      <c r="BO339" s="1" t="s">
        <v>153</v>
      </c>
      <c r="BP339" s="1" t="s">
        <v>74</v>
      </c>
      <c r="BQ339" s="1" t="s">
        <v>74</v>
      </c>
      <c r="BR339" s="1" t="s">
        <v>74</v>
      </c>
      <c r="BS339" s="1" t="s">
        <v>3275</v>
      </c>
      <c r="BT339" s="1" t="str">
        <f>HYPERLINK("https%3A%2F%2Fwww.webofscience.com%2Fwos%2Fwoscc%2Ffull-record%2FWOS:001470367900010","View Full Record in Web of Science")</f>
        <v>View Full Record in Web of Science</v>
      </c>
    </row>
    <row r="340" ht="12.75" customHeight="1">
      <c r="A340" s="1" t="s">
        <v>72</v>
      </c>
      <c r="B340" s="1" t="s">
        <v>3276</v>
      </c>
      <c r="C340" s="1" t="s">
        <v>74</v>
      </c>
      <c r="D340" s="1" t="s">
        <v>74</v>
      </c>
      <c r="E340" s="1" t="s">
        <v>74</v>
      </c>
      <c r="F340" s="1" t="s">
        <v>3277</v>
      </c>
      <c r="G340" s="1" t="s">
        <v>74</v>
      </c>
      <c r="H340" s="1" t="s">
        <v>74</v>
      </c>
      <c r="I340" s="1" t="s">
        <v>3278</v>
      </c>
      <c r="J340" s="1" t="s">
        <v>1230</v>
      </c>
      <c r="K340" s="1" t="s">
        <v>74</v>
      </c>
      <c r="L340" s="1" t="s">
        <v>74</v>
      </c>
      <c r="M340" s="1" t="s">
        <v>74</v>
      </c>
      <c r="N340" s="1" t="s">
        <v>78</v>
      </c>
      <c r="O340" s="1" t="s">
        <v>74</v>
      </c>
      <c r="P340" s="1" t="s">
        <v>74</v>
      </c>
      <c r="Q340" s="1" t="s">
        <v>74</v>
      </c>
      <c r="R340" s="1" t="s">
        <v>74</v>
      </c>
      <c r="S340" s="1" t="s">
        <v>74</v>
      </c>
      <c r="T340" s="1" t="s">
        <v>3279</v>
      </c>
      <c r="U340" s="1" t="s">
        <v>74</v>
      </c>
      <c r="V340" s="1" t="s">
        <v>3280</v>
      </c>
      <c r="W340" s="1" t="s">
        <v>74</v>
      </c>
      <c r="X340" s="1" t="s">
        <v>74</v>
      </c>
      <c r="Y340" s="1" t="s">
        <v>74</v>
      </c>
      <c r="Z340" s="1" t="s">
        <v>74</v>
      </c>
      <c r="AA340" s="1" t="s">
        <v>74</v>
      </c>
      <c r="AB340" s="1" t="s">
        <v>74</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1233</v>
      </c>
      <c r="AP340" s="1" t="s">
        <v>1234</v>
      </c>
      <c r="AQ340" s="1" t="s">
        <v>74</v>
      </c>
      <c r="AR340" s="1" t="s">
        <v>74</v>
      </c>
      <c r="AS340" s="1" t="s">
        <v>74</v>
      </c>
      <c r="AT340" s="1" t="s">
        <v>2661</v>
      </c>
      <c r="AU340" s="1">
        <v>2026.0</v>
      </c>
      <c r="AV340" s="1">
        <v>302.0</v>
      </c>
      <c r="AW340" s="1" t="s">
        <v>74</v>
      </c>
      <c r="AX340" s="1" t="s">
        <v>74</v>
      </c>
      <c r="AY340" s="1" t="s">
        <v>74</v>
      </c>
      <c r="AZ340" s="1" t="s">
        <v>74</v>
      </c>
      <c r="BA340" s="1" t="s">
        <v>74</v>
      </c>
      <c r="BB340" s="1" t="s">
        <v>74</v>
      </c>
      <c r="BC340" s="1" t="s">
        <v>74</v>
      </c>
      <c r="BD340" s="1">
        <v>130590.0</v>
      </c>
      <c r="BE340" s="1" t="s">
        <v>3281</v>
      </c>
      <c r="BF340" s="2" t="str">
        <f>HYPERLINK("http://dx.doi.org/10.1016/j.eswa.2025.130590","http://dx.doi.org/10.1016/j.eswa.2025.130590")</f>
        <v>http://dx.doi.org/10.1016/j.eswa.2025.130590</v>
      </c>
      <c r="BG340" s="1" t="s">
        <v>74</v>
      </c>
      <c r="BH340" s="1" t="s">
        <v>605</v>
      </c>
      <c r="BI340" s="1" t="s">
        <v>74</v>
      </c>
      <c r="BJ340" s="1" t="s">
        <v>74</v>
      </c>
      <c r="BK340" s="1" t="s">
        <v>74</v>
      </c>
      <c r="BL340" s="1" t="s">
        <v>1237</v>
      </c>
      <c r="BM340" s="1" t="s">
        <v>74</v>
      </c>
      <c r="BN340" s="1" t="s">
        <v>74</v>
      </c>
      <c r="BO340" s="1" t="s">
        <v>74</v>
      </c>
      <c r="BP340" s="1" t="s">
        <v>74</v>
      </c>
      <c r="BQ340" s="1" t="s">
        <v>74</v>
      </c>
      <c r="BR340" s="1" t="s">
        <v>74</v>
      </c>
      <c r="BS340" s="1" t="s">
        <v>3282</v>
      </c>
      <c r="BT340" s="1" t="str">
        <f>HYPERLINK("https%3A%2F%2Fwww.webofscience.com%2Fwos%2Fwoscc%2Ffull-record%2FWOS:001636690000001","View Full Record in Web of Science")</f>
        <v>View Full Record in Web of Science</v>
      </c>
    </row>
    <row r="341" ht="12.75" customHeight="1">
      <c r="A341" s="1" t="s">
        <v>72</v>
      </c>
      <c r="B341" s="1" t="s">
        <v>3283</v>
      </c>
      <c r="C341" s="1" t="s">
        <v>74</v>
      </c>
      <c r="D341" s="1" t="s">
        <v>74</v>
      </c>
      <c r="E341" s="1" t="s">
        <v>74</v>
      </c>
      <c r="F341" s="1" t="s">
        <v>3284</v>
      </c>
      <c r="G341" s="1" t="s">
        <v>74</v>
      </c>
      <c r="H341" s="1" t="s">
        <v>74</v>
      </c>
      <c r="I341" s="1" t="s">
        <v>3285</v>
      </c>
      <c r="J341" s="1" t="s">
        <v>3286</v>
      </c>
      <c r="K341" s="1" t="s">
        <v>74</v>
      </c>
      <c r="L341" s="1" t="s">
        <v>74</v>
      </c>
      <c r="M341" s="1" t="s">
        <v>74</v>
      </c>
      <c r="N341" s="1" t="s">
        <v>78</v>
      </c>
      <c r="O341" s="1" t="s">
        <v>74</v>
      </c>
      <c r="P341" s="1" t="s">
        <v>74</v>
      </c>
      <c r="Q341" s="1" t="s">
        <v>74</v>
      </c>
      <c r="R341" s="1" t="s">
        <v>74</v>
      </c>
      <c r="S341" s="1" t="s">
        <v>74</v>
      </c>
      <c r="T341" s="1" t="s">
        <v>3287</v>
      </c>
      <c r="U341" s="1" t="s">
        <v>3288</v>
      </c>
      <c r="V341" s="1" t="s">
        <v>3289</v>
      </c>
      <c r="W341" s="1" t="s">
        <v>74</v>
      </c>
      <c r="X341" s="1" t="s">
        <v>74</v>
      </c>
      <c r="Y341" s="1" t="s">
        <v>74</v>
      </c>
      <c r="Z341" s="1" t="s">
        <v>74</v>
      </c>
      <c r="AA341" s="1" t="s">
        <v>74</v>
      </c>
      <c r="AB341" s="1" t="s">
        <v>74</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3290</v>
      </c>
      <c r="AP341" s="1" t="s">
        <v>3291</v>
      </c>
      <c r="AQ341" s="1" t="s">
        <v>74</v>
      </c>
      <c r="AR341" s="1" t="s">
        <v>74</v>
      </c>
      <c r="AS341" s="1" t="s">
        <v>74</v>
      </c>
      <c r="AT341" s="1" t="s">
        <v>84</v>
      </c>
      <c r="AU341" s="1">
        <v>2023.0</v>
      </c>
      <c r="AV341" s="1">
        <v>40.0</v>
      </c>
      <c r="AW341" s="1">
        <v>2.0</v>
      </c>
      <c r="AX341" s="1" t="s">
        <v>74</v>
      </c>
      <c r="AY341" s="1" t="s">
        <v>74</v>
      </c>
      <c r="AZ341" s="1" t="s">
        <v>74</v>
      </c>
      <c r="BA341" s="1" t="s">
        <v>74</v>
      </c>
      <c r="BB341" s="1">
        <v>806.0</v>
      </c>
      <c r="BC341" s="1">
        <v>841.0</v>
      </c>
      <c r="BD341" s="1" t="s">
        <v>74</v>
      </c>
      <c r="BE341" s="1" t="s">
        <v>3292</v>
      </c>
      <c r="BF341" s="2" t="str">
        <f>HYPERLINK("http://dx.doi.org/10.1111/1911-3846.12832","http://dx.doi.org/10.1111/1911-3846.12832")</f>
        <v>http://dx.doi.org/10.1111/1911-3846.12832</v>
      </c>
      <c r="BG341" s="1" t="s">
        <v>74</v>
      </c>
      <c r="BH341" s="1" t="s">
        <v>3293</v>
      </c>
      <c r="BI341" s="1" t="s">
        <v>74</v>
      </c>
      <c r="BJ341" s="1" t="s">
        <v>74</v>
      </c>
      <c r="BK341" s="1" t="s">
        <v>74</v>
      </c>
      <c r="BL341" s="1" t="s">
        <v>214</v>
      </c>
      <c r="BM341" s="1" t="s">
        <v>74</v>
      </c>
      <c r="BN341" s="1" t="s">
        <v>74</v>
      </c>
      <c r="BO341" s="1" t="s">
        <v>114</v>
      </c>
      <c r="BP341" s="1" t="s">
        <v>74</v>
      </c>
      <c r="BQ341" s="1" t="s">
        <v>74</v>
      </c>
      <c r="BR341" s="1" t="s">
        <v>74</v>
      </c>
      <c r="BS341" s="1" t="s">
        <v>3294</v>
      </c>
      <c r="BT341" s="1" t="str">
        <f>HYPERLINK("https%3A%2F%2Fwww.webofscience.com%2Fwos%2Fwoscc%2Ffull-record%2FWOS:000909014900001","View Full Record in Web of Science")</f>
        <v>View Full Record in Web of Science</v>
      </c>
    </row>
    <row r="342" ht="12.75" customHeight="1">
      <c r="A342" s="1" t="s">
        <v>72</v>
      </c>
      <c r="B342" s="1" t="s">
        <v>3295</v>
      </c>
      <c r="C342" s="1" t="s">
        <v>74</v>
      </c>
      <c r="D342" s="1" t="s">
        <v>74</v>
      </c>
      <c r="E342" s="1" t="s">
        <v>74</v>
      </c>
      <c r="F342" s="1" t="s">
        <v>3296</v>
      </c>
      <c r="G342" s="1" t="s">
        <v>74</v>
      </c>
      <c r="H342" s="1" t="s">
        <v>74</v>
      </c>
      <c r="I342" s="1" t="s">
        <v>3297</v>
      </c>
      <c r="J342" s="1" t="s">
        <v>2479</v>
      </c>
      <c r="K342" s="1" t="s">
        <v>74</v>
      </c>
      <c r="L342" s="1" t="s">
        <v>74</v>
      </c>
      <c r="M342" s="1" t="s">
        <v>74</v>
      </c>
      <c r="N342" s="1" t="s">
        <v>78</v>
      </c>
      <c r="O342" s="1" t="s">
        <v>74</v>
      </c>
      <c r="P342" s="1" t="s">
        <v>74</v>
      </c>
      <c r="Q342" s="1" t="s">
        <v>74</v>
      </c>
      <c r="R342" s="1" t="s">
        <v>74</v>
      </c>
      <c r="S342" s="1" t="s">
        <v>74</v>
      </c>
      <c r="T342" s="1" t="s">
        <v>3298</v>
      </c>
      <c r="U342" s="1" t="s">
        <v>74</v>
      </c>
      <c r="V342" s="1" t="s">
        <v>3299</v>
      </c>
      <c r="W342" s="1" t="s">
        <v>74</v>
      </c>
      <c r="X342" s="1" t="s">
        <v>74</v>
      </c>
      <c r="Y342" s="1" t="s">
        <v>74</v>
      </c>
      <c r="Z342" s="1" t="s">
        <v>74</v>
      </c>
      <c r="AA342" s="1" t="s">
        <v>74</v>
      </c>
      <c r="AB342" s="1" t="s">
        <v>74</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2483</v>
      </c>
      <c r="AP342" s="1" t="s">
        <v>2484</v>
      </c>
      <c r="AQ342" s="1" t="s">
        <v>74</v>
      </c>
      <c r="AR342" s="1" t="s">
        <v>74</v>
      </c>
      <c r="AS342" s="1" t="s">
        <v>74</v>
      </c>
      <c r="AT342" s="1" t="s">
        <v>262</v>
      </c>
      <c r="AU342" s="1">
        <v>2025.0</v>
      </c>
      <c r="AV342" s="1">
        <v>43.0</v>
      </c>
      <c r="AW342" s="1">
        <v>5.0</v>
      </c>
      <c r="AX342" s="1" t="s">
        <v>74</v>
      </c>
      <c r="AY342" s="1" t="s">
        <v>74</v>
      </c>
      <c r="AZ342" s="1" t="s">
        <v>74</v>
      </c>
      <c r="BA342" s="1" t="s">
        <v>74</v>
      </c>
      <c r="BB342" s="1" t="s">
        <v>74</v>
      </c>
      <c r="BC342" s="1" t="s">
        <v>74</v>
      </c>
      <c r="BD342" s="1">
        <v>116.0</v>
      </c>
      <c r="BE342" s="1" t="s">
        <v>3300</v>
      </c>
      <c r="BF342" s="2" t="str">
        <f>HYPERLINK("http://dx.doi.org/10.1145/3725885","http://dx.doi.org/10.1145/3725885")</f>
        <v>http://dx.doi.org/10.1145/3725885</v>
      </c>
      <c r="BG342" s="1" t="s">
        <v>74</v>
      </c>
      <c r="BH342" s="1" t="s">
        <v>74</v>
      </c>
      <c r="BI342" s="1" t="s">
        <v>74</v>
      </c>
      <c r="BJ342" s="1" t="s">
        <v>74</v>
      </c>
      <c r="BK342" s="1" t="s">
        <v>74</v>
      </c>
      <c r="BL342" s="1" t="s">
        <v>174</v>
      </c>
      <c r="BM342" s="1" t="s">
        <v>74</v>
      </c>
      <c r="BN342" s="1" t="s">
        <v>74</v>
      </c>
      <c r="BO342" s="1" t="s">
        <v>74</v>
      </c>
      <c r="BP342" s="1" t="s">
        <v>74</v>
      </c>
      <c r="BQ342" s="1" t="s">
        <v>74</v>
      </c>
      <c r="BR342" s="1" t="s">
        <v>74</v>
      </c>
      <c r="BS342" s="1" t="s">
        <v>3301</v>
      </c>
      <c r="BT342" s="1" t="str">
        <f>HYPERLINK("https%3A%2F%2Fwww.webofscience.com%2Fwos%2Fwoscc%2Ffull-record%2FWOS:001552812400001","View Full Record in Web of Science")</f>
        <v>View Full Record in Web of Science</v>
      </c>
    </row>
    <row r="343" ht="12.75" customHeight="1">
      <c r="A343" s="1" t="s">
        <v>72</v>
      </c>
      <c r="B343" s="1" t="s">
        <v>3302</v>
      </c>
      <c r="C343" s="1" t="s">
        <v>74</v>
      </c>
      <c r="D343" s="1" t="s">
        <v>74</v>
      </c>
      <c r="E343" s="1" t="s">
        <v>74</v>
      </c>
      <c r="F343" s="1" t="s">
        <v>3303</v>
      </c>
      <c r="G343" s="1" t="s">
        <v>74</v>
      </c>
      <c r="H343" s="1" t="s">
        <v>74</v>
      </c>
      <c r="I343" s="1" t="s">
        <v>3304</v>
      </c>
      <c r="J343" s="1" t="s">
        <v>3305</v>
      </c>
      <c r="K343" s="1" t="s">
        <v>74</v>
      </c>
      <c r="L343" s="1" t="s">
        <v>74</v>
      </c>
      <c r="M343" s="1" t="s">
        <v>74</v>
      </c>
      <c r="N343" s="1" t="s">
        <v>78</v>
      </c>
      <c r="O343" s="1" t="s">
        <v>74</v>
      </c>
      <c r="P343" s="1" t="s">
        <v>74</v>
      </c>
      <c r="Q343" s="1" t="s">
        <v>74</v>
      </c>
      <c r="R343" s="1" t="s">
        <v>74</v>
      </c>
      <c r="S343" s="1" t="s">
        <v>74</v>
      </c>
      <c r="T343" s="1" t="s">
        <v>3306</v>
      </c>
      <c r="U343" s="1" t="s">
        <v>74</v>
      </c>
      <c r="V343" s="1" t="s">
        <v>3307</v>
      </c>
      <c r="W343" s="1" t="s">
        <v>74</v>
      </c>
      <c r="X343" s="1" t="s">
        <v>74</v>
      </c>
      <c r="Y343" s="1" t="s">
        <v>74</v>
      </c>
      <c r="Z343" s="1" t="s">
        <v>74</v>
      </c>
      <c r="AA343" s="1" t="s">
        <v>74</v>
      </c>
      <c r="AB343" s="1" t="s">
        <v>74</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3308</v>
      </c>
      <c r="AP343" s="1" t="s">
        <v>3309</v>
      </c>
      <c r="AQ343" s="1" t="s">
        <v>74</v>
      </c>
      <c r="AR343" s="1" t="s">
        <v>74</v>
      </c>
      <c r="AS343" s="1" t="s">
        <v>74</v>
      </c>
      <c r="AT343" s="1" t="s">
        <v>357</v>
      </c>
      <c r="AU343" s="1">
        <v>2025.0</v>
      </c>
      <c r="AV343" s="1">
        <v>127.0</v>
      </c>
      <c r="AW343" s="1" t="s">
        <v>74</v>
      </c>
      <c r="AX343" s="1" t="s">
        <v>110</v>
      </c>
      <c r="AY343" s="1" t="s">
        <v>74</v>
      </c>
      <c r="AZ343" s="1" t="s">
        <v>74</v>
      </c>
      <c r="BA343" s="1" t="s">
        <v>74</v>
      </c>
      <c r="BB343" s="1" t="s">
        <v>74</v>
      </c>
      <c r="BC343" s="1" t="s">
        <v>74</v>
      </c>
      <c r="BD343" s="1">
        <v>110607.0</v>
      </c>
      <c r="BE343" s="1" t="s">
        <v>3310</v>
      </c>
      <c r="BF343" s="2" t="str">
        <f>HYPERLINK("http://dx.doi.org/10.1016/j.compeleceng.2025.110607","http://dx.doi.org/10.1016/j.compeleceng.2025.110607")</f>
        <v>http://dx.doi.org/10.1016/j.compeleceng.2025.110607</v>
      </c>
      <c r="BG343" s="1" t="s">
        <v>74</v>
      </c>
      <c r="BH343" s="1" t="s">
        <v>276</v>
      </c>
      <c r="BI343" s="1" t="s">
        <v>74</v>
      </c>
      <c r="BJ343" s="1" t="s">
        <v>74</v>
      </c>
      <c r="BK343" s="1" t="s">
        <v>74</v>
      </c>
      <c r="BL343" s="1" t="s">
        <v>98</v>
      </c>
      <c r="BM343" s="1" t="s">
        <v>74</v>
      </c>
      <c r="BN343" s="1" t="s">
        <v>74</v>
      </c>
      <c r="BO343" s="1" t="s">
        <v>74</v>
      </c>
      <c r="BP343" s="1" t="s">
        <v>74</v>
      </c>
      <c r="BQ343" s="1" t="s">
        <v>74</v>
      </c>
      <c r="BR343" s="1" t="s">
        <v>74</v>
      </c>
      <c r="BS343" s="1" t="s">
        <v>3311</v>
      </c>
      <c r="BT343" s="1" t="str">
        <f>HYPERLINK("https%3A%2F%2Fwww.webofscience.com%2Fwos%2Fwoscc%2Ffull-record%2FWOS:001602606500002","View Full Record in Web of Science")</f>
        <v>View Full Record in Web of Science</v>
      </c>
    </row>
    <row r="344" ht="12.75" customHeight="1">
      <c r="A344" s="1" t="s">
        <v>72</v>
      </c>
      <c r="B344" s="1" t="s">
        <v>3312</v>
      </c>
      <c r="C344" s="1" t="s">
        <v>74</v>
      </c>
      <c r="D344" s="1" t="s">
        <v>74</v>
      </c>
      <c r="E344" s="1" t="s">
        <v>74</v>
      </c>
      <c r="F344" s="1" t="s">
        <v>3313</v>
      </c>
      <c r="G344" s="1" t="s">
        <v>74</v>
      </c>
      <c r="H344" s="1" t="s">
        <v>74</v>
      </c>
      <c r="I344" s="1" t="s">
        <v>3314</v>
      </c>
      <c r="J344" s="1" t="s">
        <v>3315</v>
      </c>
      <c r="K344" s="1" t="s">
        <v>74</v>
      </c>
      <c r="L344" s="1" t="s">
        <v>74</v>
      </c>
      <c r="M344" s="1" t="s">
        <v>74</v>
      </c>
      <c r="N344" s="1" t="s">
        <v>78</v>
      </c>
      <c r="O344" s="1" t="s">
        <v>74</v>
      </c>
      <c r="P344" s="1" t="s">
        <v>74</v>
      </c>
      <c r="Q344" s="1" t="s">
        <v>74</v>
      </c>
      <c r="R344" s="1" t="s">
        <v>74</v>
      </c>
      <c r="S344" s="1" t="s">
        <v>74</v>
      </c>
      <c r="T344" s="1" t="s">
        <v>3316</v>
      </c>
      <c r="U344" s="1" t="s">
        <v>3317</v>
      </c>
      <c r="V344" s="1" t="s">
        <v>3318</v>
      </c>
      <c r="W344" s="1" t="s">
        <v>74</v>
      </c>
      <c r="X344" s="1" t="s">
        <v>74</v>
      </c>
      <c r="Y344" s="1" t="s">
        <v>74</v>
      </c>
      <c r="Z344" s="1" t="s">
        <v>74</v>
      </c>
      <c r="AA344" s="1" t="s">
        <v>74</v>
      </c>
      <c r="AB344" s="1" t="s">
        <v>74</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3319</v>
      </c>
      <c r="AP344" s="1" t="s">
        <v>3320</v>
      </c>
      <c r="AQ344" s="1" t="s">
        <v>74</v>
      </c>
      <c r="AR344" s="1" t="s">
        <v>74</v>
      </c>
      <c r="AS344" s="1" t="s">
        <v>74</v>
      </c>
      <c r="AT344" s="1" t="s">
        <v>139</v>
      </c>
      <c r="AU344" s="1">
        <v>2025.0</v>
      </c>
      <c r="AV344" s="1">
        <v>20.0</v>
      </c>
      <c r="AW344" s="1">
        <v>1.0</v>
      </c>
      <c r="AX344" s="1" t="s">
        <v>74</v>
      </c>
      <c r="AY344" s="1" t="s">
        <v>74</v>
      </c>
      <c r="AZ344" s="1" t="s">
        <v>74</v>
      </c>
      <c r="BA344" s="1" t="s">
        <v>74</v>
      </c>
      <c r="BB344" s="1">
        <v>89.0</v>
      </c>
      <c r="BC344" s="1">
        <v>106.0</v>
      </c>
      <c r="BD344" s="1" t="s">
        <v>74</v>
      </c>
      <c r="BE344" s="1" t="s">
        <v>3321</v>
      </c>
      <c r="BF344" s="2" t="str">
        <f>HYPERLINK("http://dx.doi.org/10.1177/15705838251334528","http://dx.doi.org/10.1177/15705838251334528")</f>
        <v>http://dx.doi.org/10.1177/15705838251334528</v>
      </c>
      <c r="BG344" s="1" t="s">
        <v>74</v>
      </c>
      <c r="BH344" s="1" t="s">
        <v>1150</v>
      </c>
      <c r="BI344" s="1" t="s">
        <v>74</v>
      </c>
      <c r="BJ344" s="1" t="s">
        <v>74</v>
      </c>
      <c r="BK344" s="1" t="s">
        <v>74</v>
      </c>
      <c r="BL344" s="1" t="s">
        <v>174</v>
      </c>
      <c r="BM344" s="1" t="s">
        <v>74</v>
      </c>
      <c r="BN344" s="1" t="s">
        <v>74</v>
      </c>
      <c r="BO344" s="1" t="s">
        <v>74</v>
      </c>
      <c r="BP344" s="1" t="s">
        <v>74</v>
      </c>
      <c r="BQ344" s="1" t="s">
        <v>74</v>
      </c>
      <c r="BR344" s="1" t="s">
        <v>74</v>
      </c>
      <c r="BS344" s="1" t="s">
        <v>3322</v>
      </c>
      <c r="BT344" s="1" t="str">
        <f>HYPERLINK("https%3A%2F%2Fwww.webofscience.com%2Fwos%2Fwoscc%2Ffull-record%2FWOS:001493433800001","View Full Record in Web of Science")</f>
        <v>View Full Record in Web of Science</v>
      </c>
    </row>
    <row r="345" ht="12.75" customHeight="1">
      <c r="A345" s="1" t="s">
        <v>72</v>
      </c>
      <c r="B345" s="1" t="s">
        <v>3323</v>
      </c>
      <c r="C345" s="1" t="s">
        <v>74</v>
      </c>
      <c r="D345" s="1" t="s">
        <v>74</v>
      </c>
      <c r="E345" s="1" t="s">
        <v>74</v>
      </c>
      <c r="F345" s="1" t="s">
        <v>3324</v>
      </c>
      <c r="G345" s="1" t="s">
        <v>74</v>
      </c>
      <c r="H345" s="1" t="s">
        <v>74</v>
      </c>
      <c r="I345" s="1" t="s">
        <v>3325</v>
      </c>
      <c r="J345" s="1" t="s">
        <v>966</v>
      </c>
      <c r="K345" s="1" t="s">
        <v>74</v>
      </c>
      <c r="L345" s="1" t="s">
        <v>74</v>
      </c>
      <c r="M345" s="1" t="s">
        <v>74</v>
      </c>
      <c r="N345" s="1" t="s">
        <v>78</v>
      </c>
      <c r="O345" s="1" t="s">
        <v>74</v>
      </c>
      <c r="P345" s="1" t="s">
        <v>74</v>
      </c>
      <c r="Q345" s="1" t="s">
        <v>74</v>
      </c>
      <c r="R345" s="1" t="s">
        <v>74</v>
      </c>
      <c r="S345" s="1" t="s">
        <v>74</v>
      </c>
      <c r="T345" s="1" t="s">
        <v>3326</v>
      </c>
      <c r="U345" s="1" t="s">
        <v>74</v>
      </c>
      <c r="V345" s="1" t="s">
        <v>3327</v>
      </c>
      <c r="W345" s="1" t="s">
        <v>74</v>
      </c>
      <c r="X345" s="1" t="s">
        <v>74</v>
      </c>
      <c r="Y345" s="1" t="s">
        <v>74</v>
      </c>
      <c r="Z345" s="1" t="s">
        <v>74</v>
      </c>
      <c r="AA345" s="1" t="s">
        <v>74</v>
      </c>
      <c r="AB345" s="1" t="s">
        <v>74</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969</v>
      </c>
      <c r="AP345" s="1" t="s">
        <v>970</v>
      </c>
      <c r="AQ345" s="1" t="s">
        <v>74</v>
      </c>
      <c r="AR345" s="1" t="s">
        <v>74</v>
      </c>
      <c r="AS345" s="1" t="s">
        <v>74</v>
      </c>
      <c r="AT345" s="1" t="s">
        <v>1255</v>
      </c>
      <c r="AU345" s="1">
        <v>2025.0</v>
      </c>
      <c r="AV345" s="1">
        <v>329.0</v>
      </c>
      <c r="AW345" s="1" t="s">
        <v>74</v>
      </c>
      <c r="AX345" s="1" t="s">
        <v>110</v>
      </c>
      <c r="AY345" s="1" t="s">
        <v>74</v>
      </c>
      <c r="AZ345" s="1" t="s">
        <v>74</v>
      </c>
      <c r="BA345" s="1" t="s">
        <v>74</v>
      </c>
      <c r="BB345" s="1" t="s">
        <v>74</v>
      </c>
      <c r="BC345" s="1" t="s">
        <v>74</v>
      </c>
      <c r="BD345" s="1">
        <v>114361.0</v>
      </c>
      <c r="BE345" s="1" t="s">
        <v>3328</v>
      </c>
      <c r="BF345" s="2" t="str">
        <f>HYPERLINK("http://dx.doi.org/10.1016/j.knosys.2025.114361","http://dx.doi.org/10.1016/j.knosys.2025.114361")</f>
        <v>http://dx.doi.org/10.1016/j.knosys.2025.114361</v>
      </c>
      <c r="BG345" s="1" t="s">
        <v>74</v>
      </c>
      <c r="BH345" s="1" t="s">
        <v>738</v>
      </c>
      <c r="BI345" s="1" t="s">
        <v>74</v>
      </c>
      <c r="BJ345" s="1" t="s">
        <v>74</v>
      </c>
      <c r="BK345" s="1" t="s">
        <v>74</v>
      </c>
      <c r="BL345" s="1" t="s">
        <v>174</v>
      </c>
      <c r="BM345" s="1" t="s">
        <v>74</v>
      </c>
      <c r="BN345" s="1" t="s">
        <v>74</v>
      </c>
      <c r="BO345" s="1" t="s">
        <v>114</v>
      </c>
      <c r="BP345" s="1" t="s">
        <v>74</v>
      </c>
      <c r="BQ345" s="1" t="s">
        <v>74</v>
      </c>
      <c r="BR345" s="1" t="s">
        <v>74</v>
      </c>
      <c r="BS345" s="1" t="s">
        <v>3329</v>
      </c>
      <c r="BT345" s="1" t="str">
        <f>HYPERLINK("https%3A%2F%2Fwww.webofscience.com%2Fwos%2Fwoscc%2Ffull-record%2FWOS:001566974900002","View Full Record in Web of Science")</f>
        <v>View Full Record in Web of Science</v>
      </c>
    </row>
    <row r="346" ht="12.75" customHeight="1">
      <c r="A346" s="1" t="s">
        <v>72</v>
      </c>
      <c r="B346" s="1" t="s">
        <v>3330</v>
      </c>
      <c r="C346" s="1" t="s">
        <v>74</v>
      </c>
      <c r="D346" s="1" t="s">
        <v>74</v>
      </c>
      <c r="E346" s="1" t="s">
        <v>74</v>
      </c>
      <c r="F346" s="1" t="s">
        <v>3331</v>
      </c>
      <c r="G346" s="1" t="s">
        <v>74</v>
      </c>
      <c r="H346" s="1" t="s">
        <v>74</v>
      </c>
      <c r="I346" s="1" t="s">
        <v>3332</v>
      </c>
      <c r="J346" s="1" t="s">
        <v>3333</v>
      </c>
      <c r="K346" s="1" t="s">
        <v>74</v>
      </c>
      <c r="L346" s="1" t="s">
        <v>74</v>
      </c>
      <c r="M346" s="1" t="s">
        <v>74</v>
      </c>
      <c r="N346" s="1" t="s">
        <v>78</v>
      </c>
      <c r="O346" s="1" t="s">
        <v>74</v>
      </c>
      <c r="P346" s="1" t="s">
        <v>74</v>
      </c>
      <c r="Q346" s="1" t="s">
        <v>74</v>
      </c>
      <c r="R346" s="1" t="s">
        <v>74</v>
      </c>
      <c r="S346" s="1" t="s">
        <v>74</v>
      </c>
      <c r="T346" s="1" t="s">
        <v>74</v>
      </c>
      <c r="U346" s="1" t="s">
        <v>74</v>
      </c>
      <c r="V346" s="1" t="s">
        <v>3334</v>
      </c>
      <c r="W346" s="1" t="s">
        <v>74</v>
      </c>
      <c r="X346" s="1" t="s">
        <v>74</v>
      </c>
      <c r="Y346" s="1" t="s">
        <v>74</v>
      </c>
      <c r="Z346" s="1" t="s">
        <v>74</v>
      </c>
      <c r="AA346" s="1" t="s">
        <v>74</v>
      </c>
      <c r="AB346" s="1" t="s">
        <v>74</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74</v>
      </c>
      <c r="AP346" s="1" t="s">
        <v>3335</v>
      </c>
      <c r="AQ346" s="1" t="s">
        <v>74</v>
      </c>
      <c r="AR346" s="1" t="s">
        <v>74</v>
      </c>
      <c r="AS346" s="1" t="s">
        <v>74</v>
      </c>
      <c r="AT346" s="1" t="s">
        <v>3336</v>
      </c>
      <c r="AU346" s="1">
        <v>2025.0</v>
      </c>
      <c r="AV346" s="1">
        <v>4.0</v>
      </c>
      <c r="AW346" s="1" t="s">
        <v>74</v>
      </c>
      <c r="AX346" s="1" t="s">
        <v>74</v>
      </c>
      <c r="AY346" s="1" t="s">
        <v>74</v>
      </c>
      <c r="AZ346" s="1" t="s">
        <v>74</v>
      </c>
      <c r="BA346" s="1" t="s">
        <v>74</v>
      </c>
      <c r="BB346" s="1" t="s">
        <v>74</v>
      </c>
      <c r="BC346" s="1" t="s">
        <v>74</v>
      </c>
      <c r="BD346" s="1">
        <v>176.0</v>
      </c>
      <c r="BE346" s="1" t="s">
        <v>3337</v>
      </c>
      <c r="BF346" s="2" t="str">
        <f>HYPERLINK("http://dx.doi.org/10.34133/icomputing.0176","http://dx.doi.org/10.34133/icomputing.0176")</f>
        <v>http://dx.doi.org/10.34133/icomputing.0176</v>
      </c>
      <c r="BG346" s="1" t="s">
        <v>74</v>
      </c>
      <c r="BH346" s="1" t="s">
        <v>74</v>
      </c>
      <c r="BI346" s="1" t="s">
        <v>74</v>
      </c>
      <c r="BJ346" s="1" t="s">
        <v>74</v>
      </c>
      <c r="BK346" s="1" t="s">
        <v>74</v>
      </c>
      <c r="BL346" s="1" t="s">
        <v>174</v>
      </c>
      <c r="BM346" s="1" t="s">
        <v>74</v>
      </c>
      <c r="BN346" s="1" t="s">
        <v>74</v>
      </c>
      <c r="BO346" s="1" t="s">
        <v>153</v>
      </c>
      <c r="BP346" s="1" t="s">
        <v>74</v>
      </c>
      <c r="BQ346" s="1" t="s">
        <v>74</v>
      </c>
      <c r="BR346" s="1" t="s">
        <v>74</v>
      </c>
      <c r="BS346" s="1" t="s">
        <v>3338</v>
      </c>
      <c r="BT346" s="1" t="str">
        <f>HYPERLINK("https%3A%2F%2Fwww.webofscience.com%2Fwos%2Fwoscc%2Ffull-record%2FWOS:001643425200001","View Full Record in Web of Science")</f>
        <v>View Full Record in Web of Science</v>
      </c>
    </row>
    <row r="347" ht="12.75" customHeight="1">
      <c r="A347" s="1" t="s">
        <v>72</v>
      </c>
      <c r="B347" s="1" t="s">
        <v>3339</v>
      </c>
      <c r="C347" s="1" t="s">
        <v>74</v>
      </c>
      <c r="D347" s="1" t="s">
        <v>74</v>
      </c>
      <c r="E347" s="1" t="s">
        <v>74</v>
      </c>
      <c r="F347" s="1" t="s">
        <v>3340</v>
      </c>
      <c r="G347" s="1" t="s">
        <v>74</v>
      </c>
      <c r="H347" s="1" t="s">
        <v>74</v>
      </c>
      <c r="I347" s="1" t="s">
        <v>3341</v>
      </c>
      <c r="J347" s="1" t="s">
        <v>3342</v>
      </c>
      <c r="K347" s="1" t="s">
        <v>74</v>
      </c>
      <c r="L347" s="1" t="s">
        <v>74</v>
      </c>
      <c r="M347" s="1" t="s">
        <v>74</v>
      </c>
      <c r="N347" s="1" t="s">
        <v>78</v>
      </c>
      <c r="O347" s="1" t="s">
        <v>74</v>
      </c>
      <c r="P347" s="1" t="s">
        <v>74</v>
      </c>
      <c r="Q347" s="1" t="s">
        <v>74</v>
      </c>
      <c r="R347" s="1" t="s">
        <v>74</v>
      </c>
      <c r="S347" s="1" t="s">
        <v>74</v>
      </c>
      <c r="T347" s="1" t="s">
        <v>3343</v>
      </c>
      <c r="U347" s="1" t="s">
        <v>74</v>
      </c>
      <c r="V347" s="1" t="s">
        <v>3344</v>
      </c>
      <c r="W347" s="1" t="s">
        <v>74</v>
      </c>
      <c r="X347" s="1" t="s">
        <v>74</v>
      </c>
      <c r="Y347" s="1" t="s">
        <v>74</v>
      </c>
      <c r="Z347" s="1" t="s">
        <v>74</v>
      </c>
      <c r="AA347" s="1" t="s">
        <v>74</v>
      </c>
      <c r="AB347" s="1" t="s">
        <v>74</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3345</v>
      </c>
      <c r="AP347" s="1" t="s">
        <v>3346</v>
      </c>
      <c r="AQ347" s="1" t="s">
        <v>74</v>
      </c>
      <c r="AR347" s="1" t="s">
        <v>74</v>
      </c>
      <c r="AS347" s="1" t="s">
        <v>74</v>
      </c>
      <c r="AT347" s="1" t="s">
        <v>3169</v>
      </c>
      <c r="AU347" s="1">
        <v>2025.0</v>
      </c>
      <c r="AV347" s="1">
        <v>55.0</v>
      </c>
      <c r="AW347" s="1">
        <v>7.0</v>
      </c>
      <c r="AX347" s="1" t="s">
        <v>74</v>
      </c>
      <c r="AY347" s="1" t="s">
        <v>74</v>
      </c>
      <c r="AZ347" s="1" t="s">
        <v>74</v>
      </c>
      <c r="BA347" s="1" t="s">
        <v>74</v>
      </c>
      <c r="BB347" s="1" t="s">
        <v>74</v>
      </c>
      <c r="BC347" s="1" t="s">
        <v>74</v>
      </c>
      <c r="BD347" s="1">
        <v>574.0</v>
      </c>
      <c r="BE347" s="1" t="s">
        <v>3347</v>
      </c>
      <c r="BF347" s="2" t="str">
        <f>HYPERLINK("http://dx.doi.org/10.1007/s10489-025-06430-4","http://dx.doi.org/10.1007/s10489-025-06430-4")</f>
        <v>http://dx.doi.org/10.1007/s10489-025-06430-4</v>
      </c>
      <c r="BG347" s="1" t="s">
        <v>74</v>
      </c>
      <c r="BH347" s="1" t="s">
        <v>74</v>
      </c>
      <c r="BI347" s="1" t="s">
        <v>74</v>
      </c>
      <c r="BJ347" s="1" t="s">
        <v>74</v>
      </c>
      <c r="BK347" s="1" t="s">
        <v>74</v>
      </c>
      <c r="BL347" s="1" t="s">
        <v>174</v>
      </c>
      <c r="BM347" s="1" t="s">
        <v>74</v>
      </c>
      <c r="BN347" s="1" t="s">
        <v>74</v>
      </c>
      <c r="BO347" s="1" t="s">
        <v>74</v>
      </c>
      <c r="BP347" s="1" t="s">
        <v>74</v>
      </c>
      <c r="BQ347" s="1" t="s">
        <v>74</v>
      </c>
      <c r="BR347" s="1" t="s">
        <v>74</v>
      </c>
      <c r="BS347" s="1" t="s">
        <v>3348</v>
      </c>
      <c r="BT347" s="1" t="str">
        <f>HYPERLINK("https%3A%2F%2Fwww.webofscience.com%2Fwos%2Fwoscc%2Ffull-record%2FWOS:001451871300003","View Full Record in Web of Science")</f>
        <v>View Full Record in Web of Science</v>
      </c>
    </row>
    <row r="348" ht="12.75" customHeight="1">
      <c r="A348" s="1" t="s">
        <v>72</v>
      </c>
      <c r="B348" s="1" t="s">
        <v>3349</v>
      </c>
      <c r="C348" s="1" t="s">
        <v>74</v>
      </c>
      <c r="D348" s="1" t="s">
        <v>74</v>
      </c>
      <c r="E348" s="1" t="s">
        <v>74</v>
      </c>
      <c r="F348" s="1" t="s">
        <v>3350</v>
      </c>
      <c r="G348" s="1" t="s">
        <v>74</v>
      </c>
      <c r="H348" s="1" t="s">
        <v>74</v>
      </c>
      <c r="I348" s="1" t="s">
        <v>3351</v>
      </c>
      <c r="J348" s="1" t="s">
        <v>985</v>
      </c>
      <c r="K348" s="1" t="s">
        <v>74</v>
      </c>
      <c r="L348" s="1" t="s">
        <v>74</v>
      </c>
      <c r="M348" s="1" t="s">
        <v>74</v>
      </c>
      <c r="N348" s="1" t="s">
        <v>78</v>
      </c>
      <c r="O348" s="1" t="s">
        <v>74</v>
      </c>
      <c r="P348" s="1" t="s">
        <v>74</v>
      </c>
      <c r="Q348" s="1" t="s">
        <v>74</v>
      </c>
      <c r="R348" s="1" t="s">
        <v>74</v>
      </c>
      <c r="S348" s="1" t="s">
        <v>74</v>
      </c>
      <c r="T348" s="1" t="s">
        <v>3352</v>
      </c>
      <c r="U348" s="1" t="s">
        <v>74</v>
      </c>
      <c r="V348" s="1" t="s">
        <v>3353</v>
      </c>
      <c r="W348" s="1" t="s">
        <v>74</v>
      </c>
      <c r="X348" s="1" t="s">
        <v>74</v>
      </c>
      <c r="Y348" s="1" t="s">
        <v>74</v>
      </c>
      <c r="Z348" s="1" t="s">
        <v>74</v>
      </c>
      <c r="AA348" s="1" t="s">
        <v>74</v>
      </c>
      <c r="AB348" s="1" t="s">
        <v>74</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988</v>
      </c>
      <c r="AP348" s="1" t="s">
        <v>989</v>
      </c>
      <c r="AQ348" s="1" t="s">
        <v>74</v>
      </c>
      <c r="AR348" s="1" t="s">
        <v>74</v>
      </c>
      <c r="AS348" s="1" t="s">
        <v>74</v>
      </c>
      <c r="AT348" s="1" t="s">
        <v>74</v>
      </c>
      <c r="AU348" s="1">
        <v>2025.0</v>
      </c>
      <c r="AV348" s="1">
        <v>16.0</v>
      </c>
      <c r="AW348" s="1">
        <v>11.0</v>
      </c>
      <c r="AX348" s="1" t="s">
        <v>74</v>
      </c>
      <c r="AY348" s="1" t="s">
        <v>74</v>
      </c>
      <c r="AZ348" s="1" t="s">
        <v>74</v>
      </c>
      <c r="BA348" s="1" t="s">
        <v>74</v>
      </c>
      <c r="BB348" s="1">
        <v>592.0</v>
      </c>
      <c r="BC348" s="1">
        <v>603.0</v>
      </c>
      <c r="BD348" s="1" t="s">
        <v>74</v>
      </c>
      <c r="BE348" s="1" t="s">
        <v>74</v>
      </c>
      <c r="BF348" s="1" t="s">
        <v>74</v>
      </c>
      <c r="BG348" s="1" t="s">
        <v>74</v>
      </c>
      <c r="BH348" s="1" t="s">
        <v>74</v>
      </c>
      <c r="BI348" s="1" t="s">
        <v>74</v>
      </c>
      <c r="BJ348" s="1" t="s">
        <v>74</v>
      </c>
      <c r="BK348" s="1" t="s">
        <v>74</v>
      </c>
      <c r="BL348" s="1" t="s">
        <v>174</v>
      </c>
      <c r="BM348" s="1" t="s">
        <v>74</v>
      </c>
      <c r="BN348" s="1" t="s">
        <v>74</v>
      </c>
      <c r="BO348" s="1" t="s">
        <v>74</v>
      </c>
      <c r="BP348" s="1" t="s">
        <v>74</v>
      </c>
      <c r="BQ348" s="1" t="s">
        <v>74</v>
      </c>
      <c r="BR348" s="1" t="s">
        <v>74</v>
      </c>
      <c r="BS348" s="1" t="s">
        <v>3354</v>
      </c>
      <c r="BT348" s="1" t="str">
        <f>HYPERLINK("https%3A%2F%2Fwww.webofscience.com%2Fwos%2Fwoscc%2Ffull-record%2FWOS:001638683900001","View Full Record in Web of Science")</f>
        <v>View Full Record in Web of Science</v>
      </c>
    </row>
    <row r="349" ht="12.75" customHeight="1">
      <c r="A349" s="1" t="s">
        <v>72</v>
      </c>
      <c r="B349" s="1" t="s">
        <v>3355</v>
      </c>
      <c r="C349" s="1" t="s">
        <v>74</v>
      </c>
      <c r="D349" s="1" t="s">
        <v>74</v>
      </c>
      <c r="E349" s="1" t="s">
        <v>74</v>
      </c>
      <c r="F349" s="1" t="s">
        <v>3356</v>
      </c>
      <c r="G349" s="1" t="s">
        <v>74</v>
      </c>
      <c r="H349" s="1" t="s">
        <v>74</v>
      </c>
      <c r="I349" s="1" t="s">
        <v>3357</v>
      </c>
      <c r="J349" s="1" t="s">
        <v>3358</v>
      </c>
      <c r="K349" s="1" t="s">
        <v>74</v>
      </c>
      <c r="L349" s="1" t="s">
        <v>74</v>
      </c>
      <c r="M349" s="1" t="s">
        <v>74</v>
      </c>
      <c r="N349" s="1" t="s">
        <v>158</v>
      </c>
      <c r="O349" s="1" t="s">
        <v>74</v>
      </c>
      <c r="P349" s="1" t="s">
        <v>74</v>
      </c>
      <c r="Q349" s="1" t="s">
        <v>74</v>
      </c>
      <c r="R349" s="1" t="s">
        <v>74</v>
      </c>
      <c r="S349" s="1" t="s">
        <v>74</v>
      </c>
      <c r="T349" s="1" t="s">
        <v>3359</v>
      </c>
      <c r="U349" s="1" t="s">
        <v>74</v>
      </c>
      <c r="V349" s="1" t="s">
        <v>3360</v>
      </c>
      <c r="W349" s="1" t="s">
        <v>74</v>
      </c>
      <c r="X349" s="1" t="s">
        <v>74</v>
      </c>
      <c r="Y349" s="1" t="s">
        <v>74</v>
      </c>
      <c r="Z349" s="1" t="s">
        <v>74</v>
      </c>
      <c r="AA349" s="1" t="s">
        <v>74</v>
      </c>
      <c r="AB349" s="1" t="s">
        <v>74</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3361</v>
      </c>
      <c r="AP349" s="1" t="s">
        <v>3362</v>
      </c>
      <c r="AQ349" s="1" t="s">
        <v>74</v>
      </c>
      <c r="AR349" s="1" t="s">
        <v>74</v>
      </c>
      <c r="AS349" s="1" t="s">
        <v>74</v>
      </c>
      <c r="AT349" s="1" t="s">
        <v>124</v>
      </c>
      <c r="AU349" s="1">
        <v>2025.0</v>
      </c>
      <c r="AV349" s="1">
        <v>92.0</v>
      </c>
      <c r="AW349" s="1" t="s">
        <v>74</v>
      </c>
      <c r="AX349" s="1" t="s">
        <v>74</v>
      </c>
      <c r="AY349" s="1" t="s">
        <v>74</v>
      </c>
      <c r="AZ349" s="1" t="s">
        <v>74</v>
      </c>
      <c r="BA349" s="1" t="s">
        <v>74</v>
      </c>
      <c r="BB349" s="1" t="s">
        <v>74</v>
      </c>
      <c r="BC349" s="1" t="s">
        <v>74</v>
      </c>
      <c r="BD349" s="1">
        <v>102883.0</v>
      </c>
      <c r="BE349" s="1" t="s">
        <v>3363</v>
      </c>
      <c r="BF349" s="2" t="str">
        <f>HYPERLINK("http://dx.doi.org/10.1016/j.rcim.2024.102883","http://dx.doi.org/10.1016/j.rcim.2024.102883")</f>
        <v>http://dx.doi.org/10.1016/j.rcim.2024.102883</v>
      </c>
      <c r="BG349" s="1" t="s">
        <v>74</v>
      </c>
      <c r="BH349" s="1" t="s">
        <v>453</v>
      </c>
      <c r="BI349" s="1" t="s">
        <v>74</v>
      </c>
      <c r="BJ349" s="1" t="s">
        <v>74</v>
      </c>
      <c r="BK349" s="1" t="s">
        <v>74</v>
      </c>
      <c r="BL349" s="1" t="s">
        <v>3364</v>
      </c>
      <c r="BM349" s="1" t="s">
        <v>74</v>
      </c>
      <c r="BN349" s="1" t="s">
        <v>74</v>
      </c>
      <c r="BO349" s="1" t="s">
        <v>74</v>
      </c>
      <c r="BP349" s="1" t="s">
        <v>74</v>
      </c>
      <c r="BQ349" s="1" t="s">
        <v>74</v>
      </c>
      <c r="BR349" s="1" t="s">
        <v>74</v>
      </c>
      <c r="BS349" s="1" t="s">
        <v>3365</v>
      </c>
      <c r="BT349" s="1" t="str">
        <f>HYPERLINK("https%3A%2F%2Fwww.webofscience.com%2Fwos%2Fwoscc%2Ffull-record%2FWOS:001328374700001","View Full Record in Web of Science")</f>
        <v>View Full Record in Web of Science</v>
      </c>
    </row>
    <row r="350" ht="12.75" customHeight="1">
      <c r="A350" s="1" t="s">
        <v>72</v>
      </c>
      <c r="B350" s="1" t="s">
        <v>3366</v>
      </c>
      <c r="C350" s="1" t="s">
        <v>74</v>
      </c>
      <c r="D350" s="1" t="s">
        <v>74</v>
      </c>
      <c r="E350" s="1" t="s">
        <v>74</v>
      </c>
      <c r="F350" s="1" t="s">
        <v>3367</v>
      </c>
      <c r="G350" s="1" t="s">
        <v>74</v>
      </c>
      <c r="H350" s="1" t="s">
        <v>74</v>
      </c>
      <c r="I350" s="1" t="s">
        <v>3368</v>
      </c>
      <c r="J350" s="1" t="s">
        <v>755</v>
      </c>
      <c r="K350" s="1" t="s">
        <v>74</v>
      </c>
      <c r="L350" s="1" t="s">
        <v>74</v>
      </c>
      <c r="M350" s="1" t="s">
        <v>74</v>
      </c>
      <c r="N350" s="1" t="s">
        <v>78</v>
      </c>
      <c r="O350" s="1" t="s">
        <v>74</v>
      </c>
      <c r="P350" s="1" t="s">
        <v>74</v>
      </c>
      <c r="Q350" s="1" t="s">
        <v>74</v>
      </c>
      <c r="R350" s="1" t="s">
        <v>74</v>
      </c>
      <c r="S350" s="1" t="s">
        <v>74</v>
      </c>
      <c r="T350" s="1" t="s">
        <v>3369</v>
      </c>
      <c r="U350" s="1" t="s">
        <v>74</v>
      </c>
      <c r="V350" s="1" t="s">
        <v>3370</v>
      </c>
      <c r="W350" s="1" t="s">
        <v>74</v>
      </c>
      <c r="X350" s="1" t="s">
        <v>74</v>
      </c>
      <c r="Y350" s="1" t="s">
        <v>74</v>
      </c>
      <c r="Z350" s="1" t="s">
        <v>74</v>
      </c>
      <c r="AA350" s="1" t="s">
        <v>74</v>
      </c>
      <c r="AB350" s="1" t="s">
        <v>74</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758</v>
      </c>
      <c r="AP350" s="1" t="s">
        <v>759</v>
      </c>
      <c r="AQ350" s="1" t="s">
        <v>74</v>
      </c>
      <c r="AR350" s="1" t="s">
        <v>74</v>
      </c>
      <c r="AS350" s="1" t="s">
        <v>74</v>
      </c>
      <c r="AT350" s="1" t="s">
        <v>200</v>
      </c>
      <c r="AU350" s="1">
        <v>2025.0</v>
      </c>
      <c r="AV350" s="1">
        <v>33.0</v>
      </c>
      <c r="AW350" s="1">
        <v>12.0</v>
      </c>
      <c r="AX350" s="1" t="s">
        <v>74</v>
      </c>
      <c r="AY350" s="1" t="s">
        <v>74</v>
      </c>
      <c r="AZ350" s="1" t="s">
        <v>74</v>
      </c>
      <c r="BA350" s="1" t="s">
        <v>74</v>
      </c>
      <c r="BB350" s="1">
        <v>4180.0</v>
      </c>
      <c r="BC350" s="1">
        <v>4189.0</v>
      </c>
      <c r="BD350" s="1" t="s">
        <v>74</v>
      </c>
      <c r="BE350" s="1" t="s">
        <v>3371</v>
      </c>
      <c r="BF350" s="2" t="str">
        <f>HYPERLINK("http://dx.doi.org/10.1109/TFUZZ.2024.3431710","http://dx.doi.org/10.1109/TFUZZ.2024.3431710")</f>
        <v>http://dx.doi.org/10.1109/TFUZZ.2024.3431710</v>
      </c>
      <c r="BG350" s="1" t="s">
        <v>74</v>
      </c>
      <c r="BH350" s="1" t="s">
        <v>74</v>
      </c>
      <c r="BI350" s="1" t="s">
        <v>74</v>
      </c>
      <c r="BJ350" s="1" t="s">
        <v>74</v>
      </c>
      <c r="BK350" s="1" t="s">
        <v>74</v>
      </c>
      <c r="BL350" s="1" t="s">
        <v>98</v>
      </c>
      <c r="BM350" s="1" t="s">
        <v>74</v>
      </c>
      <c r="BN350" s="1" t="s">
        <v>74</v>
      </c>
      <c r="BO350" s="1" t="s">
        <v>74</v>
      </c>
      <c r="BP350" s="1" t="s">
        <v>74</v>
      </c>
      <c r="BQ350" s="1" t="s">
        <v>74</v>
      </c>
      <c r="BR350" s="1" t="s">
        <v>74</v>
      </c>
      <c r="BS350" s="1" t="s">
        <v>3372</v>
      </c>
      <c r="BT350" s="1" t="str">
        <f>HYPERLINK("https%3A%2F%2Fwww.webofscience.com%2Fwos%2Fwoscc%2Ffull-record%2FWOS:001630903600016","View Full Record in Web of Science")</f>
        <v>View Full Record in Web of Science</v>
      </c>
    </row>
    <row r="351" ht="12.75" customHeight="1">
      <c r="A351" s="1" t="s">
        <v>72</v>
      </c>
      <c r="B351" s="1" t="s">
        <v>3373</v>
      </c>
      <c r="C351" s="1" t="s">
        <v>74</v>
      </c>
      <c r="D351" s="1" t="s">
        <v>74</v>
      </c>
      <c r="E351" s="1" t="s">
        <v>74</v>
      </c>
      <c r="F351" s="1" t="s">
        <v>3374</v>
      </c>
      <c r="G351" s="1" t="s">
        <v>74</v>
      </c>
      <c r="H351" s="1" t="s">
        <v>74</v>
      </c>
      <c r="I351" s="1" t="s">
        <v>3375</v>
      </c>
      <c r="J351" s="1" t="s">
        <v>3376</v>
      </c>
      <c r="K351" s="1" t="s">
        <v>74</v>
      </c>
      <c r="L351" s="1" t="s">
        <v>74</v>
      </c>
      <c r="M351" s="1" t="s">
        <v>74</v>
      </c>
      <c r="N351" s="1" t="s">
        <v>78</v>
      </c>
      <c r="O351" s="1" t="s">
        <v>74</v>
      </c>
      <c r="P351" s="1" t="s">
        <v>74</v>
      </c>
      <c r="Q351" s="1" t="s">
        <v>74</v>
      </c>
      <c r="R351" s="1" t="s">
        <v>74</v>
      </c>
      <c r="S351" s="1" t="s">
        <v>74</v>
      </c>
      <c r="T351" s="1" t="s">
        <v>3377</v>
      </c>
      <c r="U351" s="1" t="s">
        <v>74</v>
      </c>
      <c r="V351" s="1" t="s">
        <v>3378</v>
      </c>
      <c r="W351" s="1" t="s">
        <v>74</v>
      </c>
      <c r="X351" s="1" t="s">
        <v>74</v>
      </c>
      <c r="Y351" s="1" t="s">
        <v>74</v>
      </c>
      <c r="Z351" s="1" t="s">
        <v>74</v>
      </c>
      <c r="AA351" s="1" t="s">
        <v>74</v>
      </c>
      <c r="AB351" s="1" t="s">
        <v>74</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3379</v>
      </c>
      <c r="AP351" s="1" t="s">
        <v>3380</v>
      </c>
      <c r="AQ351" s="1" t="s">
        <v>74</v>
      </c>
      <c r="AR351" s="1" t="s">
        <v>74</v>
      </c>
      <c r="AS351" s="1" t="s">
        <v>74</v>
      </c>
      <c r="AT351" s="1" t="s">
        <v>357</v>
      </c>
      <c r="AU351" s="1">
        <v>2025.0</v>
      </c>
      <c r="AV351" s="1">
        <v>270.0</v>
      </c>
      <c r="AW351" s="1" t="s">
        <v>74</v>
      </c>
      <c r="AX351" s="1" t="s">
        <v>74</v>
      </c>
      <c r="AY351" s="1" t="s">
        <v>74</v>
      </c>
      <c r="AZ351" s="1" t="s">
        <v>74</v>
      </c>
      <c r="BA351" s="1" t="s">
        <v>74</v>
      </c>
      <c r="BB351" s="1" t="s">
        <v>74</v>
      </c>
      <c r="BC351" s="1" t="s">
        <v>74</v>
      </c>
      <c r="BD351" s="1">
        <v>111501.0</v>
      </c>
      <c r="BE351" s="1" t="s">
        <v>3381</v>
      </c>
      <c r="BF351" s="2" t="str">
        <f>HYPERLINK("http://dx.doi.org/10.1016/j.comnet.2025.111501","http://dx.doi.org/10.1016/j.comnet.2025.111501")</f>
        <v>http://dx.doi.org/10.1016/j.comnet.2025.111501</v>
      </c>
      <c r="BG351" s="1" t="s">
        <v>74</v>
      </c>
      <c r="BH351" s="1" t="s">
        <v>973</v>
      </c>
      <c r="BI351" s="1" t="s">
        <v>74</v>
      </c>
      <c r="BJ351" s="1" t="s">
        <v>74</v>
      </c>
      <c r="BK351" s="1" t="s">
        <v>74</v>
      </c>
      <c r="BL351" s="1" t="s">
        <v>152</v>
      </c>
      <c r="BM351" s="1" t="s">
        <v>74</v>
      </c>
      <c r="BN351" s="1" t="s">
        <v>74</v>
      </c>
      <c r="BO351" s="1" t="s">
        <v>114</v>
      </c>
      <c r="BP351" s="1" t="s">
        <v>74</v>
      </c>
      <c r="BQ351" s="1" t="s">
        <v>74</v>
      </c>
      <c r="BR351" s="1" t="s">
        <v>74</v>
      </c>
      <c r="BS351" s="1" t="s">
        <v>3382</v>
      </c>
      <c r="BT351" s="1" t="str">
        <f>HYPERLINK("https%3A%2F%2Fwww.webofscience.com%2Fwos%2Fwoscc%2Ffull-record%2FWOS:001530505800002","View Full Record in Web of Science")</f>
        <v>View Full Record in Web of Science</v>
      </c>
    </row>
    <row r="352" ht="12.75" customHeight="1">
      <c r="A352" s="1" t="s">
        <v>72</v>
      </c>
      <c r="B352" s="1" t="s">
        <v>3383</v>
      </c>
      <c r="C352" s="1" t="s">
        <v>74</v>
      </c>
      <c r="D352" s="1" t="s">
        <v>74</v>
      </c>
      <c r="E352" s="1" t="s">
        <v>74</v>
      </c>
      <c r="F352" s="1" t="s">
        <v>3384</v>
      </c>
      <c r="G352" s="1" t="s">
        <v>74</v>
      </c>
      <c r="H352" s="1" t="s">
        <v>74</v>
      </c>
      <c r="I352" s="1" t="s">
        <v>3385</v>
      </c>
      <c r="J352" s="1" t="s">
        <v>1021</v>
      </c>
      <c r="K352" s="1" t="s">
        <v>74</v>
      </c>
      <c r="L352" s="1" t="s">
        <v>74</v>
      </c>
      <c r="M352" s="1" t="s">
        <v>74</v>
      </c>
      <c r="N352" s="1" t="s">
        <v>78</v>
      </c>
      <c r="O352" s="1" t="s">
        <v>74</v>
      </c>
      <c r="P352" s="1" t="s">
        <v>74</v>
      </c>
      <c r="Q352" s="1" t="s">
        <v>74</v>
      </c>
      <c r="R352" s="1" t="s">
        <v>74</v>
      </c>
      <c r="S352" s="1" t="s">
        <v>74</v>
      </c>
      <c r="T352" s="1" t="s">
        <v>3386</v>
      </c>
      <c r="U352" s="1" t="s">
        <v>74</v>
      </c>
      <c r="V352" s="1" t="s">
        <v>3387</v>
      </c>
      <c r="W352" s="1" t="s">
        <v>74</v>
      </c>
      <c r="X352" s="1" t="s">
        <v>74</v>
      </c>
      <c r="Y352" s="1" t="s">
        <v>74</v>
      </c>
      <c r="Z352" s="1" t="s">
        <v>74</v>
      </c>
      <c r="AA352" s="1" t="s">
        <v>74</v>
      </c>
      <c r="AB352" s="1" t="s">
        <v>74</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1025</v>
      </c>
      <c r="AP352" s="1" t="s">
        <v>1026</v>
      </c>
      <c r="AQ352" s="1" t="s">
        <v>74</v>
      </c>
      <c r="AR352" s="1" t="s">
        <v>74</v>
      </c>
      <c r="AS352" s="1" t="s">
        <v>74</v>
      </c>
      <c r="AT352" s="1" t="s">
        <v>3388</v>
      </c>
      <c r="AU352" s="1">
        <v>2025.0</v>
      </c>
      <c r="AV352" s="1">
        <v>42.0</v>
      </c>
      <c r="AW352" s="1">
        <v>4.0</v>
      </c>
      <c r="AX352" s="1" t="s">
        <v>74</v>
      </c>
      <c r="AY352" s="1" t="s">
        <v>74</v>
      </c>
      <c r="AZ352" s="1" t="s">
        <v>74</v>
      </c>
      <c r="BA352" s="1" t="s">
        <v>74</v>
      </c>
      <c r="BB352" s="1" t="s">
        <v>74</v>
      </c>
      <c r="BC352" s="1" t="s">
        <v>74</v>
      </c>
      <c r="BD352" s="1" t="s">
        <v>3389</v>
      </c>
      <c r="BE352" s="1" t="s">
        <v>3390</v>
      </c>
      <c r="BF352" s="2" t="str">
        <f>HYPERLINK("http://dx.doi.org/10.1111/exsy.70001","http://dx.doi.org/10.1111/exsy.70001")</f>
        <v>http://dx.doi.org/10.1111/exsy.70001</v>
      </c>
      <c r="BG352" s="1" t="s">
        <v>74</v>
      </c>
      <c r="BH352" s="1" t="s">
        <v>74</v>
      </c>
      <c r="BI352" s="1" t="s">
        <v>74</v>
      </c>
      <c r="BJ352" s="1" t="s">
        <v>74</v>
      </c>
      <c r="BK352" s="1" t="s">
        <v>74</v>
      </c>
      <c r="BL352" s="1" t="s">
        <v>174</v>
      </c>
      <c r="BM352" s="1" t="s">
        <v>74</v>
      </c>
      <c r="BN352" s="1" t="s">
        <v>74</v>
      </c>
      <c r="BO352" s="1" t="s">
        <v>74</v>
      </c>
      <c r="BP352" s="1" t="s">
        <v>74</v>
      </c>
      <c r="BQ352" s="1" t="s">
        <v>74</v>
      </c>
      <c r="BR352" s="1" t="s">
        <v>74</v>
      </c>
      <c r="BS352" s="1" t="s">
        <v>3391</v>
      </c>
      <c r="BT352" s="1" t="str">
        <f>HYPERLINK("https%3A%2F%2Fwww.webofscience.com%2Fwos%2Fwoscc%2Ffull-record%2FWOS:001431125700001","View Full Record in Web of Science")</f>
        <v>View Full Record in Web of Science</v>
      </c>
    </row>
    <row r="353" ht="12.75" customHeight="1">
      <c r="A353" s="1" t="s">
        <v>72</v>
      </c>
      <c r="B353" s="1" t="s">
        <v>3392</v>
      </c>
      <c r="C353" s="1" t="s">
        <v>74</v>
      </c>
      <c r="D353" s="1" t="s">
        <v>74</v>
      </c>
      <c r="E353" s="1" t="s">
        <v>74</v>
      </c>
      <c r="F353" s="1" t="s">
        <v>3393</v>
      </c>
      <c r="G353" s="1" t="s">
        <v>74</v>
      </c>
      <c r="H353" s="1" t="s">
        <v>74</v>
      </c>
      <c r="I353" s="1" t="s">
        <v>3394</v>
      </c>
      <c r="J353" s="1" t="s">
        <v>3395</v>
      </c>
      <c r="K353" s="1" t="s">
        <v>74</v>
      </c>
      <c r="L353" s="1" t="s">
        <v>74</v>
      </c>
      <c r="M353" s="1" t="s">
        <v>74</v>
      </c>
      <c r="N353" s="1" t="s">
        <v>78</v>
      </c>
      <c r="O353" s="1" t="s">
        <v>74</v>
      </c>
      <c r="P353" s="1" t="s">
        <v>74</v>
      </c>
      <c r="Q353" s="1" t="s">
        <v>74</v>
      </c>
      <c r="R353" s="1" t="s">
        <v>74</v>
      </c>
      <c r="S353" s="1" t="s">
        <v>74</v>
      </c>
      <c r="T353" s="1" t="s">
        <v>74</v>
      </c>
      <c r="U353" s="1" t="s">
        <v>74</v>
      </c>
      <c r="V353" s="1" t="s">
        <v>3396</v>
      </c>
      <c r="W353" s="1" t="s">
        <v>74</v>
      </c>
      <c r="X353" s="1" t="s">
        <v>74</v>
      </c>
      <c r="Y353" s="1" t="s">
        <v>74</v>
      </c>
      <c r="Z353" s="1" t="s">
        <v>74</v>
      </c>
      <c r="AA353" s="1" t="s">
        <v>74</v>
      </c>
      <c r="AB353" s="1" t="s">
        <v>74</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3397</v>
      </c>
      <c r="AP353" s="1" t="s">
        <v>74</v>
      </c>
      <c r="AQ353" s="1" t="s">
        <v>74</v>
      </c>
      <c r="AR353" s="1" t="s">
        <v>74</v>
      </c>
      <c r="AS353" s="1" t="s">
        <v>74</v>
      </c>
      <c r="AT353" s="1" t="s">
        <v>464</v>
      </c>
      <c r="AU353" s="1">
        <v>2025.0</v>
      </c>
      <c r="AV353" s="1">
        <v>18.0</v>
      </c>
      <c r="AW353" s="1">
        <v>12.0</v>
      </c>
      <c r="AX353" s="1" t="s">
        <v>74</v>
      </c>
      <c r="AY353" s="1" t="s">
        <v>74</v>
      </c>
      <c r="AZ353" s="1" t="s">
        <v>74</v>
      </c>
      <c r="BA353" s="1" t="s">
        <v>74</v>
      </c>
      <c r="BB353" s="1">
        <v>5100.0</v>
      </c>
      <c r="BC353" s="1">
        <v>5112.0</v>
      </c>
      <c r="BD353" s="1" t="s">
        <v>74</v>
      </c>
      <c r="BE353" s="1" t="s">
        <v>3398</v>
      </c>
      <c r="BF353" s="2" t="str">
        <f>HYPERLINK("http://dx.doi.org/10.14778/3750601.3750630","http://dx.doi.org/10.14778/3750601.3750630")</f>
        <v>http://dx.doi.org/10.14778/3750601.3750630</v>
      </c>
      <c r="BG353" s="1" t="s">
        <v>74</v>
      </c>
      <c r="BH353" s="1" t="s">
        <v>74</v>
      </c>
      <c r="BI353" s="1" t="s">
        <v>74</v>
      </c>
      <c r="BJ353" s="1" t="s">
        <v>74</v>
      </c>
      <c r="BK353" s="1" t="s">
        <v>74</v>
      </c>
      <c r="BL353" s="1" t="s">
        <v>174</v>
      </c>
      <c r="BM353" s="1" t="s">
        <v>74</v>
      </c>
      <c r="BN353" s="1" t="s">
        <v>74</v>
      </c>
      <c r="BO353" s="1" t="s">
        <v>74</v>
      </c>
      <c r="BP353" s="1" t="s">
        <v>74</v>
      </c>
      <c r="BQ353" s="1" t="s">
        <v>74</v>
      </c>
      <c r="BR353" s="1" t="s">
        <v>74</v>
      </c>
      <c r="BS353" s="1" t="s">
        <v>3399</v>
      </c>
      <c r="BT353" s="1" t="str">
        <f>HYPERLINK("https%3A%2F%2Fwww.webofscience.com%2Fwos%2Fwoscc%2Ffull-record%2FWOS:001609248500026","View Full Record in Web of Science")</f>
        <v>View Full Record in Web of Science</v>
      </c>
    </row>
    <row r="354" ht="12.75" customHeight="1">
      <c r="A354" s="1" t="s">
        <v>72</v>
      </c>
      <c r="B354" s="1" t="s">
        <v>3400</v>
      </c>
      <c r="C354" s="1" t="s">
        <v>74</v>
      </c>
      <c r="D354" s="1" t="s">
        <v>74</v>
      </c>
      <c r="E354" s="1" t="s">
        <v>74</v>
      </c>
      <c r="F354" s="1" t="s">
        <v>3401</v>
      </c>
      <c r="G354" s="1" t="s">
        <v>74</v>
      </c>
      <c r="H354" s="1" t="s">
        <v>74</v>
      </c>
      <c r="I354" s="1" t="s">
        <v>3402</v>
      </c>
      <c r="J354" s="1" t="s">
        <v>1165</v>
      </c>
      <c r="K354" s="1" t="s">
        <v>74</v>
      </c>
      <c r="L354" s="1" t="s">
        <v>74</v>
      </c>
      <c r="M354" s="1" t="s">
        <v>74</v>
      </c>
      <c r="N354" s="1" t="s">
        <v>78</v>
      </c>
      <c r="O354" s="1" t="s">
        <v>74</v>
      </c>
      <c r="P354" s="1" t="s">
        <v>74</v>
      </c>
      <c r="Q354" s="1" t="s">
        <v>74</v>
      </c>
      <c r="R354" s="1" t="s">
        <v>74</v>
      </c>
      <c r="S354" s="1" t="s">
        <v>74</v>
      </c>
      <c r="T354" s="1" t="s">
        <v>3403</v>
      </c>
      <c r="U354" s="1" t="s">
        <v>3404</v>
      </c>
      <c r="V354" s="1" t="s">
        <v>3405</v>
      </c>
      <c r="W354" s="1" t="s">
        <v>74</v>
      </c>
      <c r="X354" s="1" t="s">
        <v>74</v>
      </c>
      <c r="Y354" s="1" t="s">
        <v>74</v>
      </c>
      <c r="Z354" s="1" t="s">
        <v>74</v>
      </c>
      <c r="AA354" s="1" t="s">
        <v>74</v>
      </c>
      <c r="AB354" s="1" t="s">
        <v>74</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1168</v>
      </c>
      <c r="AP354" s="1" t="s">
        <v>1169</v>
      </c>
      <c r="AQ354" s="1" t="s">
        <v>74</v>
      </c>
      <c r="AR354" s="1" t="s">
        <v>74</v>
      </c>
      <c r="AS354" s="1" t="s">
        <v>74</v>
      </c>
      <c r="AT354" s="1" t="s">
        <v>200</v>
      </c>
      <c r="AU354" s="1">
        <v>2025.0</v>
      </c>
      <c r="AV354" s="1">
        <v>9.0</v>
      </c>
      <c r="AW354" s="1">
        <v>4.0</v>
      </c>
      <c r="AX354" s="1" t="s">
        <v>74</v>
      </c>
      <c r="AY354" s="1" t="s">
        <v>74</v>
      </c>
      <c r="AZ354" s="1" t="s">
        <v>74</v>
      </c>
      <c r="BA354" s="1" t="s">
        <v>74</v>
      </c>
      <c r="BB354" s="1">
        <v>567.0</v>
      </c>
      <c r="BC354" s="1">
        <v>586.0</v>
      </c>
      <c r="BD354" s="1" t="s">
        <v>74</v>
      </c>
      <c r="BE354" s="1" t="s">
        <v>3406</v>
      </c>
      <c r="BF354" s="2" t="str">
        <f>HYPERLINK("http://dx.doi.org/10.1007/s41666-025-00211-x","http://dx.doi.org/10.1007/s41666-025-00211-x")</f>
        <v>http://dx.doi.org/10.1007/s41666-025-00211-x</v>
      </c>
      <c r="BG354" s="1" t="s">
        <v>74</v>
      </c>
      <c r="BH354" s="1" t="s">
        <v>276</v>
      </c>
      <c r="BI354" s="1" t="s">
        <v>74</v>
      </c>
      <c r="BJ354" s="1" t="s">
        <v>74</v>
      </c>
      <c r="BK354" s="1" t="s">
        <v>74</v>
      </c>
      <c r="BL354" s="1" t="s">
        <v>1171</v>
      </c>
      <c r="BM354" s="1" t="s">
        <v>74</v>
      </c>
      <c r="BN354" s="1" t="s">
        <v>74</v>
      </c>
      <c r="BO354" s="1" t="s">
        <v>74</v>
      </c>
      <c r="BP354" s="1" t="s">
        <v>74</v>
      </c>
      <c r="BQ354" s="1" t="s">
        <v>74</v>
      </c>
      <c r="BR354" s="1" t="s">
        <v>74</v>
      </c>
      <c r="BS354" s="1" t="s">
        <v>3407</v>
      </c>
      <c r="BT354" s="1" t="str">
        <f>HYPERLINK("https%3A%2F%2Fwww.webofscience.com%2Fwos%2Fwoscc%2Ffull-record%2FWOS:001549212800001","View Full Record in Web of Science")</f>
        <v>View Full Record in Web of Science</v>
      </c>
    </row>
    <row r="355" ht="12.75" customHeight="1">
      <c r="A355" s="1" t="s">
        <v>72</v>
      </c>
      <c r="B355" s="1" t="s">
        <v>3408</v>
      </c>
      <c r="C355" s="1" t="s">
        <v>74</v>
      </c>
      <c r="D355" s="1" t="s">
        <v>74</v>
      </c>
      <c r="E355" s="1" t="s">
        <v>74</v>
      </c>
      <c r="F355" s="1" t="s">
        <v>3409</v>
      </c>
      <c r="G355" s="1" t="s">
        <v>74</v>
      </c>
      <c r="H355" s="1" t="s">
        <v>74</v>
      </c>
      <c r="I355" s="1" t="s">
        <v>3410</v>
      </c>
      <c r="J355" s="1" t="s">
        <v>1230</v>
      </c>
      <c r="K355" s="1" t="s">
        <v>74</v>
      </c>
      <c r="L355" s="1" t="s">
        <v>74</v>
      </c>
      <c r="M355" s="1" t="s">
        <v>74</v>
      </c>
      <c r="N355" s="1" t="s">
        <v>78</v>
      </c>
      <c r="O355" s="1" t="s">
        <v>74</v>
      </c>
      <c r="P355" s="1" t="s">
        <v>74</v>
      </c>
      <c r="Q355" s="1" t="s">
        <v>74</v>
      </c>
      <c r="R355" s="1" t="s">
        <v>74</v>
      </c>
      <c r="S355" s="1" t="s">
        <v>74</v>
      </c>
      <c r="T355" s="1" t="s">
        <v>3411</v>
      </c>
      <c r="U355" s="1" t="s">
        <v>74</v>
      </c>
      <c r="V355" s="1" t="s">
        <v>3412</v>
      </c>
      <c r="W355" s="1" t="s">
        <v>74</v>
      </c>
      <c r="X355" s="1" t="s">
        <v>74</v>
      </c>
      <c r="Y355" s="1" t="s">
        <v>74</v>
      </c>
      <c r="Z355" s="1" t="s">
        <v>74</v>
      </c>
      <c r="AA355" s="1" t="s">
        <v>74</v>
      </c>
      <c r="AB355" s="1" t="s">
        <v>74</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1233</v>
      </c>
      <c r="AP355" s="1" t="s">
        <v>1234</v>
      </c>
      <c r="AQ355" s="1" t="s">
        <v>74</v>
      </c>
      <c r="AR355" s="1" t="s">
        <v>74</v>
      </c>
      <c r="AS355" s="1" t="s">
        <v>74</v>
      </c>
      <c r="AT355" s="1" t="s">
        <v>3169</v>
      </c>
      <c r="AU355" s="1">
        <v>2026.0</v>
      </c>
      <c r="AV355" s="1">
        <v>303.0</v>
      </c>
      <c r="AW355" s="1" t="s">
        <v>74</v>
      </c>
      <c r="AX355" s="1" t="s">
        <v>74</v>
      </c>
      <c r="AY355" s="1" t="s">
        <v>74</v>
      </c>
      <c r="AZ355" s="1" t="s">
        <v>74</v>
      </c>
      <c r="BA355" s="1" t="s">
        <v>74</v>
      </c>
      <c r="BB355" s="1" t="s">
        <v>74</v>
      </c>
      <c r="BC355" s="1" t="s">
        <v>74</v>
      </c>
      <c r="BD355" s="1">
        <v>130428.0</v>
      </c>
      <c r="BE355" s="1" t="s">
        <v>3413</v>
      </c>
      <c r="BF355" s="2" t="str">
        <f>HYPERLINK("http://dx.doi.org/10.1016/j.eswa.2025.130428","http://dx.doi.org/10.1016/j.eswa.2025.130428")</f>
        <v>http://dx.doi.org/10.1016/j.eswa.2025.130428</v>
      </c>
      <c r="BG355" s="1" t="s">
        <v>74</v>
      </c>
      <c r="BH355" s="1" t="s">
        <v>605</v>
      </c>
      <c r="BI355" s="1" t="s">
        <v>74</v>
      </c>
      <c r="BJ355" s="1" t="s">
        <v>74</v>
      </c>
      <c r="BK355" s="1" t="s">
        <v>74</v>
      </c>
      <c r="BL355" s="1" t="s">
        <v>1237</v>
      </c>
      <c r="BM355" s="1" t="s">
        <v>74</v>
      </c>
      <c r="BN355" s="1" t="s">
        <v>74</v>
      </c>
      <c r="BO355" s="1" t="s">
        <v>576</v>
      </c>
      <c r="BP355" s="1" t="s">
        <v>74</v>
      </c>
      <c r="BQ355" s="1" t="s">
        <v>74</v>
      </c>
      <c r="BR355" s="1" t="s">
        <v>74</v>
      </c>
      <c r="BS355" s="1" t="s">
        <v>3414</v>
      </c>
      <c r="BT355" s="1" t="str">
        <f>HYPERLINK("https%3A%2F%2Fwww.webofscience.com%2Fwos%2Fwoscc%2Ffull-record%2FWOS:001637801000001","View Full Record in Web of Science")</f>
        <v>View Full Record in Web of Science</v>
      </c>
    </row>
    <row r="356" ht="12.75" customHeight="1">
      <c r="A356" s="1" t="s">
        <v>72</v>
      </c>
      <c r="B356" s="1" t="s">
        <v>3415</v>
      </c>
      <c r="C356" s="1" t="s">
        <v>74</v>
      </c>
      <c r="D356" s="1" t="s">
        <v>74</v>
      </c>
      <c r="E356" s="1" t="s">
        <v>74</v>
      </c>
      <c r="F356" s="1" t="s">
        <v>3416</v>
      </c>
      <c r="G356" s="1" t="s">
        <v>74</v>
      </c>
      <c r="H356" s="1" t="s">
        <v>74</v>
      </c>
      <c r="I356" s="1" t="s">
        <v>3417</v>
      </c>
      <c r="J356" s="1" t="s">
        <v>916</v>
      </c>
      <c r="K356" s="1" t="s">
        <v>74</v>
      </c>
      <c r="L356" s="1" t="s">
        <v>74</v>
      </c>
      <c r="M356" s="1" t="s">
        <v>74</v>
      </c>
      <c r="N356" s="1" t="s">
        <v>78</v>
      </c>
      <c r="O356" s="1" t="s">
        <v>74</v>
      </c>
      <c r="P356" s="1" t="s">
        <v>74</v>
      </c>
      <c r="Q356" s="1" t="s">
        <v>74</v>
      </c>
      <c r="R356" s="1" t="s">
        <v>74</v>
      </c>
      <c r="S356" s="1" t="s">
        <v>74</v>
      </c>
      <c r="T356" s="1" t="s">
        <v>3418</v>
      </c>
      <c r="U356" s="1" t="s">
        <v>3419</v>
      </c>
      <c r="V356" s="1" t="s">
        <v>3420</v>
      </c>
      <c r="W356" s="1" t="s">
        <v>74</v>
      </c>
      <c r="X356" s="1" t="s">
        <v>74</v>
      </c>
      <c r="Y356" s="1" t="s">
        <v>74</v>
      </c>
      <c r="Z356" s="1" t="s">
        <v>74</v>
      </c>
      <c r="AA356" s="1" t="s">
        <v>74</v>
      </c>
      <c r="AB356" s="1" t="s">
        <v>74</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919</v>
      </c>
      <c r="AP356" s="1" t="s">
        <v>920</v>
      </c>
      <c r="AQ356" s="1" t="s">
        <v>74</v>
      </c>
      <c r="AR356" s="1" t="s">
        <v>74</v>
      </c>
      <c r="AS356" s="1" t="s">
        <v>74</v>
      </c>
      <c r="AT356" s="1" t="s">
        <v>139</v>
      </c>
      <c r="AU356" s="1">
        <v>2026.0</v>
      </c>
      <c r="AV356" s="1">
        <v>726.0</v>
      </c>
      <c r="AW356" s="1" t="s">
        <v>74</v>
      </c>
      <c r="AX356" s="1" t="s">
        <v>74</v>
      </c>
      <c r="AY356" s="1" t="s">
        <v>74</v>
      </c>
      <c r="AZ356" s="1" t="s">
        <v>74</v>
      </c>
      <c r="BA356" s="1" t="s">
        <v>74</v>
      </c>
      <c r="BB356" s="1" t="s">
        <v>74</v>
      </c>
      <c r="BC356" s="1" t="s">
        <v>74</v>
      </c>
      <c r="BD356" s="1">
        <v>122762.0</v>
      </c>
      <c r="BE356" s="1" t="s">
        <v>3421</v>
      </c>
      <c r="BF356" s="2" t="str">
        <f>HYPERLINK("http://dx.doi.org/10.1016/j.ins.2025.122762","http://dx.doi.org/10.1016/j.ins.2025.122762")</f>
        <v>http://dx.doi.org/10.1016/j.ins.2025.122762</v>
      </c>
      <c r="BG356" s="1" t="s">
        <v>74</v>
      </c>
      <c r="BH356" s="1" t="s">
        <v>811</v>
      </c>
      <c r="BI356" s="1" t="s">
        <v>74</v>
      </c>
      <c r="BJ356" s="1" t="s">
        <v>74</v>
      </c>
      <c r="BK356" s="1" t="s">
        <v>74</v>
      </c>
      <c r="BL356" s="1" t="s">
        <v>174</v>
      </c>
      <c r="BM356" s="1" t="s">
        <v>74</v>
      </c>
      <c r="BN356" s="1" t="s">
        <v>74</v>
      </c>
      <c r="BO356" s="1" t="s">
        <v>127</v>
      </c>
      <c r="BP356" s="1" t="s">
        <v>74</v>
      </c>
      <c r="BQ356" s="1" t="s">
        <v>74</v>
      </c>
      <c r="BR356" s="1" t="s">
        <v>74</v>
      </c>
      <c r="BS356" s="1" t="s">
        <v>3422</v>
      </c>
      <c r="BT356" s="1" t="str">
        <f>HYPERLINK("https%3A%2F%2Fwww.webofscience.com%2Fwos%2Fwoscc%2Ffull-record%2FWOS:001599105100005","View Full Record in Web of Science")</f>
        <v>View Full Record in Web of Science</v>
      </c>
    </row>
    <row r="357" ht="12.75" customHeight="1">
      <c r="A357" s="1" t="s">
        <v>72</v>
      </c>
      <c r="B357" s="1" t="s">
        <v>3423</v>
      </c>
      <c r="C357" s="1" t="s">
        <v>74</v>
      </c>
      <c r="D357" s="1" t="s">
        <v>74</v>
      </c>
      <c r="E357" s="1" t="s">
        <v>74</v>
      </c>
      <c r="F357" s="1" t="s">
        <v>3424</v>
      </c>
      <c r="G357" s="1" t="s">
        <v>74</v>
      </c>
      <c r="H357" s="1" t="s">
        <v>74</v>
      </c>
      <c r="I357" s="1" t="s">
        <v>3425</v>
      </c>
      <c r="J357" s="1" t="s">
        <v>2928</v>
      </c>
      <c r="K357" s="1" t="s">
        <v>74</v>
      </c>
      <c r="L357" s="1" t="s">
        <v>74</v>
      </c>
      <c r="M357" s="1" t="s">
        <v>74</v>
      </c>
      <c r="N357" s="1" t="s">
        <v>78</v>
      </c>
      <c r="O357" s="1" t="s">
        <v>74</v>
      </c>
      <c r="P357" s="1" t="s">
        <v>74</v>
      </c>
      <c r="Q357" s="1" t="s">
        <v>74</v>
      </c>
      <c r="R357" s="1" t="s">
        <v>74</v>
      </c>
      <c r="S357" s="1" t="s">
        <v>74</v>
      </c>
      <c r="T357" s="1" t="s">
        <v>3426</v>
      </c>
      <c r="U357" s="1" t="s">
        <v>3427</v>
      </c>
      <c r="V357" s="1" t="s">
        <v>3428</v>
      </c>
      <c r="W357" s="1" t="s">
        <v>74</v>
      </c>
      <c r="X357" s="1" t="s">
        <v>74</v>
      </c>
      <c r="Y357" s="1" t="s">
        <v>74</v>
      </c>
      <c r="Z357" s="1" t="s">
        <v>74</v>
      </c>
      <c r="AA357" s="1" t="s">
        <v>74</v>
      </c>
      <c r="AB357" s="1" t="s">
        <v>74</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2931</v>
      </c>
      <c r="AP357" s="1" t="s">
        <v>2932</v>
      </c>
      <c r="AQ357" s="1" t="s">
        <v>74</v>
      </c>
      <c r="AR357" s="1" t="s">
        <v>74</v>
      </c>
      <c r="AS357" s="1" t="s">
        <v>74</v>
      </c>
      <c r="AT357" s="1" t="s">
        <v>736</v>
      </c>
      <c r="AU357" s="1">
        <v>2026.0</v>
      </c>
      <c r="AV357" s="1">
        <v>69.0</v>
      </c>
      <c r="AW357" s="1" t="s">
        <v>74</v>
      </c>
      <c r="AX357" s="1" t="s">
        <v>1409</v>
      </c>
      <c r="AY357" s="1" t="s">
        <v>74</v>
      </c>
      <c r="AZ357" s="1" t="s">
        <v>74</v>
      </c>
      <c r="BA357" s="1" t="s">
        <v>74</v>
      </c>
      <c r="BB357" s="1" t="s">
        <v>74</v>
      </c>
      <c r="BC357" s="1" t="s">
        <v>74</v>
      </c>
      <c r="BD357" s="1">
        <v>103869.0</v>
      </c>
      <c r="BE357" s="1" t="s">
        <v>3429</v>
      </c>
      <c r="BF357" s="2" t="str">
        <f>HYPERLINK("http://dx.doi.org/10.1016/j.aei.2025.103869","http://dx.doi.org/10.1016/j.aei.2025.103869")</f>
        <v>http://dx.doi.org/10.1016/j.aei.2025.103869</v>
      </c>
      <c r="BG357" s="1" t="s">
        <v>74</v>
      </c>
      <c r="BH357" s="1" t="s">
        <v>141</v>
      </c>
      <c r="BI357" s="1" t="s">
        <v>74</v>
      </c>
      <c r="BJ357" s="1" t="s">
        <v>74</v>
      </c>
      <c r="BK357" s="1" t="s">
        <v>74</v>
      </c>
      <c r="BL357" s="1" t="s">
        <v>98</v>
      </c>
      <c r="BM357" s="1" t="s">
        <v>74</v>
      </c>
      <c r="BN357" s="1" t="s">
        <v>74</v>
      </c>
      <c r="BO357" s="1" t="s">
        <v>114</v>
      </c>
      <c r="BP357" s="1" t="s">
        <v>74</v>
      </c>
      <c r="BQ357" s="1" t="s">
        <v>74</v>
      </c>
      <c r="BR357" s="1" t="s">
        <v>74</v>
      </c>
      <c r="BS357" s="1" t="s">
        <v>3430</v>
      </c>
      <c r="BT357" s="1" t="str">
        <f>HYPERLINK("https%3A%2F%2Fwww.webofscience.com%2Fwos%2Fwoscc%2Ffull-record%2FWOS:001571436300002","View Full Record in Web of Science")</f>
        <v>View Full Record in Web of Science</v>
      </c>
    </row>
    <row r="358" ht="12.75" customHeight="1">
      <c r="A358" s="1" t="s">
        <v>72</v>
      </c>
      <c r="B358" s="1" t="s">
        <v>3431</v>
      </c>
      <c r="C358" s="1" t="s">
        <v>74</v>
      </c>
      <c r="D358" s="1" t="s">
        <v>74</v>
      </c>
      <c r="E358" s="1" t="s">
        <v>74</v>
      </c>
      <c r="F358" s="1" t="s">
        <v>3432</v>
      </c>
      <c r="G358" s="1" t="s">
        <v>74</v>
      </c>
      <c r="H358" s="1" t="s">
        <v>74</v>
      </c>
      <c r="I358" s="1" t="s">
        <v>3433</v>
      </c>
      <c r="J358" s="1" t="s">
        <v>2572</v>
      </c>
      <c r="K358" s="1" t="s">
        <v>74</v>
      </c>
      <c r="L358" s="1" t="s">
        <v>74</v>
      </c>
      <c r="M358" s="1" t="s">
        <v>74</v>
      </c>
      <c r="N358" s="1" t="s">
        <v>78</v>
      </c>
      <c r="O358" s="1" t="s">
        <v>74</v>
      </c>
      <c r="P358" s="1" t="s">
        <v>74</v>
      </c>
      <c r="Q358" s="1" t="s">
        <v>74</v>
      </c>
      <c r="R358" s="1" t="s">
        <v>74</v>
      </c>
      <c r="S358" s="1" t="s">
        <v>74</v>
      </c>
      <c r="T358" s="1" t="s">
        <v>3434</v>
      </c>
      <c r="U358" s="1" t="s">
        <v>74</v>
      </c>
      <c r="V358" s="1" t="s">
        <v>3435</v>
      </c>
      <c r="W358" s="1" t="s">
        <v>74</v>
      </c>
      <c r="X358" s="1" t="s">
        <v>74</v>
      </c>
      <c r="Y358" s="1" t="s">
        <v>74</v>
      </c>
      <c r="Z358" s="1" t="s">
        <v>74</v>
      </c>
      <c r="AA358" s="1" t="s">
        <v>74</v>
      </c>
      <c r="AB358" s="1" t="s">
        <v>74</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2575</v>
      </c>
      <c r="AP358" s="1" t="s">
        <v>74</v>
      </c>
      <c r="AQ358" s="1" t="s">
        <v>74</v>
      </c>
      <c r="AR358" s="1" t="s">
        <v>74</v>
      </c>
      <c r="AS358" s="1" t="s">
        <v>74</v>
      </c>
      <c r="AT358" s="1" t="s">
        <v>3436</v>
      </c>
      <c r="AU358" s="1">
        <v>2025.0</v>
      </c>
      <c r="AV358" s="1">
        <v>12.0</v>
      </c>
      <c r="AW358" s="1">
        <v>23.0</v>
      </c>
      <c r="AX358" s="1" t="s">
        <v>74</v>
      </c>
      <c r="AY358" s="1" t="s">
        <v>74</v>
      </c>
      <c r="AZ358" s="1" t="s">
        <v>74</v>
      </c>
      <c r="BA358" s="1" t="s">
        <v>74</v>
      </c>
      <c r="BB358" s="1">
        <v>49120.0</v>
      </c>
      <c r="BC358" s="1">
        <v>49130.0</v>
      </c>
      <c r="BD358" s="1" t="s">
        <v>74</v>
      </c>
      <c r="BE358" s="1" t="s">
        <v>3437</v>
      </c>
      <c r="BF358" s="2" t="str">
        <f>HYPERLINK("http://dx.doi.org/10.1109/JIOT.2025.3586374","http://dx.doi.org/10.1109/JIOT.2025.3586374")</f>
        <v>http://dx.doi.org/10.1109/JIOT.2025.3586374</v>
      </c>
      <c r="BG358" s="1" t="s">
        <v>74</v>
      </c>
      <c r="BH358" s="1" t="s">
        <v>74</v>
      </c>
      <c r="BI358" s="1" t="s">
        <v>74</v>
      </c>
      <c r="BJ358" s="1" t="s">
        <v>74</v>
      </c>
      <c r="BK358" s="1" t="s">
        <v>74</v>
      </c>
      <c r="BL358" s="1" t="s">
        <v>152</v>
      </c>
      <c r="BM358" s="1" t="s">
        <v>74</v>
      </c>
      <c r="BN358" s="1" t="s">
        <v>74</v>
      </c>
      <c r="BO358" s="1" t="s">
        <v>74</v>
      </c>
      <c r="BP358" s="1" t="s">
        <v>74</v>
      </c>
      <c r="BQ358" s="1" t="s">
        <v>74</v>
      </c>
      <c r="BR358" s="1" t="s">
        <v>74</v>
      </c>
      <c r="BS358" s="1" t="s">
        <v>3438</v>
      </c>
      <c r="BT358" s="1" t="str">
        <f>HYPERLINK("https%3A%2F%2Fwww.webofscience.com%2Fwos%2Fwoscc%2Ffull-record%2FWOS:001620727400008","View Full Record in Web of Science")</f>
        <v>View Full Record in Web of Science</v>
      </c>
    </row>
    <row r="359" ht="12.75" customHeight="1">
      <c r="A359" s="1" t="s">
        <v>72</v>
      </c>
      <c r="B359" s="1" t="s">
        <v>3439</v>
      </c>
      <c r="C359" s="1" t="s">
        <v>74</v>
      </c>
      <c r="D359" s="1" t="s">
        <v>74</v>
      </c>
      <c r="E359" s="1" t="s">
        <v>74</v>
      </c>
      <c r="F359" s="1" t="s">
        <v>3440</v>
      </c>
      <c r="G359" s="1" t="s">
        <v>74</v>
      </c>
      <c r="H359" s="1" t="s">
        <v>74</v>
      </c>
      <c r="I359" s="1" t="s">
        <v>3441</v>
      </c>
      <c r="J359" s="1" t="s">
        <v>3442</v>
      </c>
      <c r="K359" s="1" t="s">
        <v>74</v>
      </c>
      <c r="L359" s="1" t="s">
        <v>74</v>
      </c>
      <c r="M359" s="1" t="s">
        <v>74</v>
      </c>
      <c r="N359" s="1" t="s">
        <v>78</v>
      </c>
      <c r="O359" s="1" t="s">
        <v>74</v>
      </c>
      <c r="P359" s="1" t="s">
        <v>74</v>
      </c>
      <c r="Q359" s="1" t="s">
        <v>74</v>
      </c>
      <c r="R359" s="1" t="s">
        <v>74</v>
      </c>
      <c r="S359" s="1" t="s">
        <v>74</v>
      </c>
      <c r="T359" s="1" t="s">
        <v>3443</v>
      </c>
      <c r="U359" s="1" t="s">
        <v>3444</v>
      </c>
      <c r="V359" s="1" t="s">
        <v>3445</v>
      </c>
      <c r="W359" s="1" t="s">
        <v>74</v>
      </c>
      <c r="X359" s="1" t="s">
        <v>74</v>
      </c>
      <c r="Y359" s="1" t="s">
        <v>74</v>
      </c>
      <c r="Z359" s="1" t="s">
        <v>74</v>
      </c>
      <c r="AA359" s="1" t="s">
        <v>74</v>
      </c>
      <c r="AB359" s="1" t="s">
        <v>74</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3446</v>
      </c>
      <c r="AP359" s="1" t="s">
        <v>3447</v>
      </c>
      <c r="AQ359" s="1" t="s">
        <v>74</v>
      </c>
      <c r="AR359" s="1" t="s">
        <v>74</v>
      </c>
      <c r="AS359" s="1" t="s">
        <v>74</v>
      </c>
      <c r="AT359" s="1" t="s">
        <v>357</v>
      </c>
      <c r="AU359" s="1">
        <v>2025.0</v>
      </c>
      <c r="AV359" s="1">
        <v>130.0</v>
      </c>
      <c r="AW359" s="1">
        <v>10.0</v>
      </c>
      <c r="AX359" s="1" t="s">
        <v>74</v>
      </c>
      <c r="AY359" s="1" t="s">
        <v>74</v>
      </c>
      <c r="AZ359" s="1" t="s">
        <v>707</v>
      </c>
      <c r="BA359" s="1" t="s">
        <v>74</v>
      </c>
      <c r="BB359" s="1">
        <v>5345.0</v>
      </c>
      <c r="BC359" s="1">
        <v>5373.0</v>
      </c>
      <c r="BD359" s="1" t="s">
        <v>74</v>
      </c>
      <c r="BE359" s="1" t="s">
        <v>3448</v>
      </c>
      <c r="BF359" s="2" t="str">
        <f>HYPERLINK("http://dx.doi.org/10.1007/s11192-025-05385-0","http://dx.doi.org/10.1007/s11192-025-05385-0")</f>
        <v>http://dx.doi.org/10.1007/s11192-025-05385-0</v>
      </c>
      <c r="BG359" s="1" t="s">
        <v>74</v>
      </c>
      <c r="BH359" s="1" t="s">
        <v>276</v>
      </c>
      <c r="BI359" s="1" t="s">
        <v>74</v>
      </c>
      <c r="BJ359" s="1" t="s">
        <v>74</v>
      </c>
      <c r="BK359" s="1" t="s">
        <v>74</v>
      </c>
      <c r="BL359" s="1" t="s">
        <v>2874</v>
      </c>
      <c r="BM359" s="1" t="s">
        <v>74</v>
      </c>
      <c r="BN359" s="1" t="s">
        <v>74</v>
      </c>
      <c r="BO359" s="1" t="s">
        <v>114</v>
      </c>
      <c r="BP359" s="1" t="s">
        <v>74</v>
      </c>
      <c r="BQ359" s="1" t="s">
        <v>74</v>
      </c>
      <c r="BR359" s="1" t="s">
        <v>74</v>
      </c>
      <c r="BS359" s="1" t="s">
        <v>3449</v>
      </c>
      <c r="BT359" s="1" t="str">
        <f>HYPERLINK("https%3A%2F%2Fwww.webofscience.com%2Fwos%2Fwoscc%2Ffull-record%2FWOS:001547807700001","View Full Record in Web of Science")</f>
        <v>View Full Record in Web of Science</v>
      </c>
    </row>
    <row r="360" ht="12.75" customHeight="1">
      <c r="A360" s="1" t="s">
        <v>72</v>
      </c>
      <c r="B360" s="1" t="s">
        <v>3450</v>
      </c>
      <c r="C360" s="1" t="s">
        <v>74</v>
      </c>
      <c r="D360" s="1" t="s">
        <v>74</v>
      </c>
      <c r="E360" s="1" t="s">
        <v>74</v>
      </c>
      <c r="F360" s="1" t="s">
        <v>3451</v>
      </c>
      <c r="G360" s="1" t="s">
        <v>74</v>
      </c>
      <c r="H360" s="1" t="s">
        <v>74</v>
      </c>
      <c r="I360" s="1" t="s">
        <v>3452</v>
      </c>
      <c r="J360" s="1" t="s">
        <v>3453</v>
      </c>
      <c r="K360" s="1" t="s">
        <v>74</v>
      </c>
      <c r="L360" s="1" t="s">
        <v>74</v>
      </c>
      <c r="M360" s="1" t="s">
        <v>74</v>
      </c>
      <c r="N360" s="1" t="s">
        <v>78</v>
      </c>
      <c r="O360" s="1" t="s">
        <v>74</v>
      </c>
      <c r="P360" s="1" t="s">
        <v>74</v>
      </c>
      <c r="Q360" s="1" t="s">
        <v>74</v>
      </c>
      <c r="R360" s="1" t="s">
        <v>74</v>
      </c>
      <c r="S360" s="1" t="s">
        <v>74</v>
      </c>
      <c r="T360" s="1" t="s">
        <v>74</v>
      </c>
      <c r="U360" s="1" t="s">
        <v>74</v>
      </c>
      <c r="V360" s="1" t="s">
        <v>3454</v>
      </c>
      <c r="W360" s="1" t="s">
        <v>74</v>
      </c>
      <c r="X360" s="1" t="s">
        <v>74</v>
      </c>
      <c r="Y360" s="1" t="s">
        <v>74</v>
      </c>
      <c r="Z360" s="1" t="s">
        <v>74</v>
      </c>
      <c r="AA360" s="1" t="s">
        <v>74</v>
      </c>
      <c r="AB360" s="1" t="s">
        <v>74</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3455</v>
      </c>
      <c r="AP360" s="1" t="s">
        <v>3456</v>
      </c>
      <c r="AQ360" s="1" t="s">
        <v>74</v>
      </c>
      <c r="AR360" s="1" t="s">
        <v>74</v>
      </c>
      <c r="AS360" s="1" t="s">
        <v>74</v>
      </c>
      <c r="AT360" s="1" t="s">
        <v>172</v>
      </c>
      <c r="AU360" s="1">
        <v>2025.0</v>
      </c>
      <c r="AV360" s="1">
        <v>40.0</v>
      </c>
      <c r="AW360" s="1">
        <v>26.0</v>
      </c>
      <c r="AX360" s="1" t="s">
        <v>74</v>
      </c>
      <c r="AY360" s="1" t="s">
        <v>74</v>
      </c>
      <c r="AZ360" s="1" t="s">
        <v>74</v>
      </c>
      <c r="BA360" s="1" t="s">
        <v>74</v>
      </c>
      <c r="BB360" s="1">
        <v>4448.0</v>
      </c>
      <c r="BC360" s="1">
        <v>4464.0</v>
      </c>
      <c r="BD360" s="1" t="s">
        <v>74</v>
      </c>
      <c r="BE360" s="1" t="s">
        <v>3457</v>
      </c>
      <c r="BF360" s="2" t="str">
        <f>HYPERLINK("http://dx.doi.org/10.1111/mice.70075","http://dx.doi.org/10.1111/mice.70075")</f>
        <v>http://dx.doi.org/10.1111/mice.70075</v>
      </c>
      <c r="BG360" s="1" t="s">
        <v>74</v>
      </c>
      <c r="BH360" s="1" t="s">
        <v>738</v>
      </c>
      <c r="BI360" s="1" t="s">
        <v>74</v>
      </c>
      <c r="BJ360" s="1" t="s">
        <v>74</v>
      </c>
      <c r="BK360" s="1" t="s">
        <v>74</v>
      </c>
      <c r="BL360" s="1" t="s">
        <v>3458</v>
      </c>
      <c r="BM360" s="1" t="s">
        <v>74</v>
      </c>
      <c r="BN360" s="1" t="s">
        <v>74</v>
      </c>
      <c r="BO360" s="1" t="s">
        <v>114</v>
      </c>
      <c r="BP360" s="1" t="s">
        <v>74</v>
      </c>
      <c r="BQ360" s="1" t="s">
        <v>74</v>
      </c>
      <c r="BR360" s="1" t="s">
        <v>74</v>
      </c>
      <c r="BS360" s="1" t="s">
        <v>3459</v>
      </c>
      <c r="BT360" s="1" t="str">
        <f>HYPERLINK("https%3A%2F%2Fwww.webofscience.com%2Fwos%2Fwoscc%2Ffull-record%2FWOS:001573589500001","View Full Record in Web of Science")</f>
        <v>View Full Record in Web of Science</v>
      </c>
    </row>
    <row r="361" ht="12.75" customHeight="1">
      <c r="A361" s="1" t="s">
        <v>72</v>
      </c>
      <c r="B361" s="1" t="s">
        <v>3460</v>
      </c>
      <c r="C361" s="1" t="s">
        <v>74</v>
      </c>
      <c r="D361" s="1" t="s">
        <v>74</v>
      </c>
      <c r="E361" s="1" t="s">
        <v>74</v>
      </c>
      <c r="F361" s="1" t="s">
        <v>3461</v>
      </c>
      <c r="G361" s="1" t="s">
        <v>74</v>
      </c>
      <c r="H361" s="1" t="s">
        <v>74</v>
      </c>
      <c r="I361" s="1" t="s">
        <v>3462</v>
      </c>
      <c r="J361" s="1" t="s">
        <v>3463</v>
      </c>
      <c r="K361" s="1" t="s">
        <v>74</v>
      </c>
      <c r="L361" s="1" t="s">
        <v>74</v>
      </c>
      <c r="M361" s="1" t="s">
        <v>74</v>
      </c>
      <c r="N361" s="1" t="s">
        <v>78</v>
      </c>
      <c r="O361" s="1" t="s">
        <v>74</v>
      </c>
      <c r="P361" s="1" t="s">
        <v>74</v>
      </c>
      <c r="Q361" s="1" t="s">
        <v>74</v>
      </c>
      <c r="R361" s="1" t="s">
        <v>74</v>
      </c>
      <c r="S361" s="1" t="s">
        <v>74</v>
      </c>
      <c r="T361" s="1" t="s">
        <v>3464</v>
      </c>
      <c r="U361" s="1" t="s">
        <v>3465</v>
      </c>
      <c r="V361" s="1" t="s">
        <v>3466</v>
      </c>
      <c r="W361" s="1" t="s">
        <v>74</v>
      </c>
      <c r="X361" s="1" t="s">
        <v>74</v>
      </c>
      <c r="Y361" s="1" t="s">
        <v>74</v>
      </c>
      <c r="Z361" s="1" t="s">
        <v>74</v>
      </c>
      <c r="AA361" s="1" t="s">
        <v>74</v>
      </c>
      <c r="AB361" s="1" t="s">
        <v>74</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3467</v>
      </c>
      <c r="AP361" s="1" t="s">
        <v>3468</v>
      </c>
      <c r="AQ361" s="1" t="s">
        <v>74</v>
      </c>
      <c r="AR361" s="1" t="s">
        <v>74</v>
      </c>
      <c r="AS361" s="1" t="s">
        <v>74</v>
      </c>
      <c r="AT361" s="1" t="s">
        <v>736</v>
      </c>
      <c r="AU361" s="1">
        <v>2026.0</v>
      </c>
      <c r="AV361" s="1">
        <v>53.0</v>
      </c>
      <c r="AW361" s="1">
        <v>1.0</v>
      </c>
      <c r="AX361" s="1" t="s">
        <v>74</v>
      </c>
      <c r="AY361" s="1" t="s">
        <v>74</v>
      </c>
      <c r="AZ361" s="1" t="s">
        <v>707</v>
      </c>
      <c r="BA361" s="1" t="s">
        <v>74</v>
      </c>
      <c r="BB361" s="1">
        <v>90.0</v>
      </c>
      <c r="BC361" s="1">
        <v>106.0</v>
      </c>
      <c r="BD361" s="1" t="s">
        <v>74</v>
      </c>
      <c r="BE361" s="1" t="s">
        <v>3469</v>
      </c>
      <c r="BF361" s="2" t="str">
        <f>HYPERLINK("http://dx.doi.org/10.1177/23998083251382840","http://dx.doi.org/10.1177/23998083251382840")</f>
        <v>http://dx.doi.org/10.1177/23998083251382840</v>
      </c>
      <c r="BG361" s="1" t="s">
        <v>74</v>
      </c>
      <c r="BH361" s="1" t="s">
        <v>738</v>
      </c>
      <c r="BI361" s="1" t="s">
        <v>74</v>
      </c>
      <c r="BJ361" s="1" t="s">
        <v>74</v>
      </c>
      <c r="BK361" s="1" t="s">
        <v>74</v>
      </c>
      <c r="BL361" s="1" t="s">
        <v>3470</v>
      </c>
      <c r="BM361" s="1" t="s">
        <v>74</v>
      </c>
      <c r="BN361" s="1" t="s">
        <v>74</v>
      </c>
      <c r="BO361" s="1" t="s">
        <v>74</v>
      </c>
      <c r="BP361" s="1" t="s">
        <v>74</v>
      </c>
      <c r="BQ361" s="1" t="s">
        <v>74</v>
      </c>
      <c r="BR361" s="1" t="s">
        <v>74</v>
      </c>
      <c r="BS361" s="1" t="s">
        <v>3471</v>
      </c>
      <c r="BT361" s="1" t="str">
        <f>HYPERLINK("https%3A%2F%2Fwww.webofscience.com%2Fwos%2Fwoscc%2Ffull-record%2FWOS:001582808100001","View Full Record in Web of Science")</f>
        <v>View Full Record in Web of Science</v>
      </c>
    </row>
    <row r="362" ht="12.75" customHeight="1">
      <c r="A362" s="1" t="s">
        <v>72</v>
      </c>
      <c r="B362" s="1" t="s">
        <v>3472</v>
      </c>
      <c r="C362" s="1" t="s">
        <v>74</v>
      </c>
      <c r="D362" s="1" t="s">
        <v>74</v>
      </c>
      <c r="E362" s="1" t="s">
        <v>74</v>
      </c>
      <c r="F362" s="1" t="s">
        <v>3473</v>
      </c>
      <c r="G362" s="1" t="s">
        <v>74</v>
      </c>
      <c r="H362" s="1" t="s">
        <v>74</v>
      </c>
      <c r="I362" s="1" t="s">
        <v>3474</v>
      </c>
      <c r="J362" s="1" t="s">
        <v>3475</v>
      </c>
      <c r="K362" s="1" t="s">
        <v>74</v>
      </c>
      <c r="L362" s="1" t="s">
        <v>74</v>
      </c>
      <c r="M362" s="1" t="s">
        <v>74</v>
      </c>
      <c r="N362" s="1" t="s">
        <v>78</v>
      </c>
      <c r="O362" s="1" t="s">
        <v>74</v>
      </c>
      <c r="P362" s="1" t="s">
        <v>74</v>
      </c>
      <c r="Q362" s="1" t="s">
        <v>74</v>
      </c>
      <c r="R362" s="1" t="s">
        <v>74</v>
      </c>
      <c r="S362" s="1" t="s">
        <v>74</v>
      </c>
      <c r="T362" s="1" t="s">
        <v>3476</v>
      </c>
      <c r="U362" s="1" t="s">
        <v>74</v>
      </c>
      <c r="V362" s="1" t="s">
        <v>3477</v>
      </c>
      <c r="W362" s="1" t="s">
        <v>74</v>
      </c>
      <c r="X362" s="1" t="s">
        <v>74</v>
      </c>
      <c r="Y362" s="1" t="s">
        <v>74</v>
      </c>
      <c r="Z362" s="1" t="s">
        <v>74</v>
      </c>
      <c r="AA362" s="1" t="s">
        <v>74</v>
      </c>
      <c r="AB362" s="1" t="s">
        <v>74</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3478</v>
      </c>
      <c r="AP362" s="1" t="s">
        <v>3479</v>
      </c>
      <c r="AQ362" s="1" t="s">
        <v>74</v>
      </c>
      <c r="AR362" s="1" t="s">
        <v>74</v>
      </c>
      <c r="AS362" s="1" t="s">
        <v>74</v>
      </c>
      <c r="AT362" s="1" t="s">
        <v>172</v>
      </c>
      <c r="AU362" s="1">
        <v>2025.0</v>
      </c>
      <c r="AV362" s="1">
        <v>48.0</v>
      </c>
      <c r="AW362" s="1" t="s">
        <v>74</v>
      </c>
      <c r="AX362" s="1" t="s">
        <v>74</v>
      </c>
      <c r="AY362" s="1" t="s">
        <v>74</v>
      </c>
      <c r="AZ362" s="1" t="s">
        <v>74</v>
      </c>
      <c r="BA362" s="1" t="s">
        <v>74</v>
      </c>
      <c r="BB362" s="1" t="s">
        <v>74</v>
      </c>
      <c r="BC362" s="1" t="s">
        <v>74</v>
      </c>
      <c r="BD362" s="1">
        <v>100954.0</v>
      </c>
      <c r="BE362" s="1" t="s">
        <v>3480</v>
      </c>
      <c r="BF362" s="2" t="str">
        <f>HYPERLINK("http://dx.doi.org/10.1016/j.jii.2025.100954","http://dx.doi.org/10.1016/j.jii.2025.100954")</f>
        <v>http://dx.doi.org/10.1016/j.jii.2025.100954</v>
      </c>
      <c r="BG362" s="1" t="s">
        <v>74</v>
      </c>
      <c r="BH362" s="1" t="s">
        <v>738</v>
      </c>
      <c r="BI362" s="1" t="s">
        <v>74</v>
      </c>
      <c r="BJ362" s="1" t="s">
        <v>74</v>
      </c>
      <c r="BK362" s="1" t="s">
        <v>74</v>
      </c>
      <c r="BL362" s="1" t="s">
        <v>98</v>
      </c>
      <c r="BM362" s="1" t="s">
        <v>74</v>
      </c>
      <c r="BN362" s="1" t="s">
        <v>74</v>
      </c>
      <c r="BO362" s="1" t="s">
        <v>74</v>
      </c>
      <c r="BP362" s="1" t="s">
        <v>74</v>
      </c>
      <c r="BQ362" s="1" t="s">
        <v>74</v>
      </c>
      <c r="BR362" s="1" t="s">
        <v>74</v>
      </c>
      <c r="BS362" s="1" t="s">
        <v>3481</v>
      </c>
      <c r="BT362" s="1" t="str">
        <f>HYPERLINK("https%3A%2F%2Fwww.webofscience.com%2Fwos%2Fwoscc%2Ffull-record%2FWOS:001583094800001","View Full Record in Web of Science")</f>
        <v>View Full Record in Web of Science</v>
      </c>
    </row>
    <row r="363" ht="12.75" customHeight="1">
      <c r="A363" s="1" t="s">
        <v>72</v>
      </c>
      <c r="B363" s="1" t="s">
        <v>3482</v>
      </c>
      <c r="C363" s="1" t="s">
        <v>74</v>
      </c>
      <c r="D363" s="1" t="s">
        <v>74</v>
      </c>
      <c r="E363" s="1" t="s">
        <v>74</v>
      </c>
      <c r="F363" s="1" t="s">
        <v>3483</v>
      </c>
      <c r="G363" s="1" t="s">
        <v>74</v>
      </c>
      <c r="H363" s="1" t="s">
        <v>74</v>
      </c>
      <c r="I363" s="1" t="s">
        <v>3484</v>
      </c>
      <c r="J363" s="1" t="s">
        <v>3485</v>
      </c>
      <c r="K363" s="1" t="s">
        <v>74</v>
      </c>
      <c r="L363" s="1" t="s">
        <v>74</v>
      </c>
      <c r="M363" s="1" t="s">
        <v>74</v>
      </c>
      <c r="N363" s="1" t="s">
        <v>158</v>
      </c>
      <c r="O363" s="1" t="s">
        <v>74</v>
      </c>
      <c r="P363" s="1" t="s">
        <v>74</v>
      </c>
      <c r="Q363" s="1" t="s">
        <v>74</v>
      </c>
      <c r="R363" s="1" t="s">
        <v>74</v>
      </c>
      <c r="S363" s="1" t="s">
        <v>74</v>
      </c>
      <c r="T363" s="1" t="s">
        <v>3486</v>
      </c>
      <c r="U363" s="1" t="s">
        <v>3487</v>
      </c>
      <c r="V363" s="1" t="s">
        <v>3488</v>
      </c>
      <c r="W363" s="1" t="s">
        <v>74</v>
      </c>
      <c r="X363" s="1" t="s">
        <v>74</v>
      </c>
      <c r="Y363" s="1" t="s">
        <v>74</v>
      </c>
      <c r="Z363" s="1" t="s">
        <v>74</v>
      </c>
      <c r="AA363" s="1" t="s">
        <v>74</v>
      </c>
      <c r="AB363" s="1" t="s">
        <v>74</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3489</v>
      </c>
      <c r="AP363" s="1" t="s">
        <v>3490</v>
      </c>
      <c r="AQ363" s="1" t="s">
        <v>74</v>
      </c>
      <c r="AR363" s="1" t="s">
        <v>74</v>
      </c>
      <c r="AS363" s="1" t="s">
        <v>74</v>
      </c>
      <c r="AT363" s="1" t="s">
        <v>3491</v>
      </c>
      <c r="AU363" s="1">
        <v>2025.0</v>
      </c>
      <c r="AV363" s="1">
        <v>28.0</v>
      </c>
      <c r="AW363" s="1">
        <v>16.0</v>
      </c>
      <c r="AX363" s="1" t="s">
        <v>74</v>
      </c>
      <c r="AY363" s="1" t="s">
        <v>74</v>
      </c>
      <c r="AZ363" s="1" t="s">
        <v>74</v>
      </c>
      <c r="BA363" s="1" t="s">
        <v>74</v>
      </c>
      <c r="BB363" s="1" t="s">
        <v>74</v>
      </c>
      <c r="BC363" s="1" t="s">
        <v>74</v>
      </c>
      <c r="BD363" s="1">
        <v>1075.0</v>
      </c>
      <c r="BE363" s="1" t="s">
        <v>3492</v>
      </c>
      <c r="BF363" s="2" t="str">
        <f>HYPERLINK("http://dx.doi.org/10.1007/s10586-025-05793-0","http://dx.doi.org/10.1007/s10586-025-05793-0")</f>
        <v>http://dx.doi.org/10.1007/s10586-025-05793-0</v>
      </c>
      <c r="BG363" s="1" t="s">
        <v>74</v>
      </c>
      <c r="BH363" s="1" t="s">
        <v>74</v>
      </c>
      <c r="BI363" s="1" t="s">
        <v>74</v>
      </c>
      <c r="BJ363" s="1" t="s">
        <v>74</v>
      </c>
      <c r="BK363" s="1" t="s">
        <v>74</v>
      </c>
      <c r="BL363" s="1" t="s">
        <v>174</v>
      </c>
      <c r="BM363" s="1" t="s">
        <v>74</v>
      </c>
      <c r="BN363" s="1" t="s">
        <v>74</v>
      </c>
      <c r="BO363" s="1" t="s">
        <v>74</v>
      </c>
      <c r="BP363" s="1" t="s">
        <v>74</v>
      </c>
      <c r="BQ363" s="1" t="s">
        <v>74</v>
      </c>
      <c r="BR363" s="1" t="s">
        <v>74</v>
      </c>
      <c r="BS363" s="1" t="s">
        <v>3493</v>
      </c>
      <c r="BT363" s="1" t="str">
        <f>HYPERLINK("https%3A%2F%2Fwww.webofscience.com%2Fwos%2Fwoscc%2Ffull-record%2FWOS:001601390300003","View Full Record in Web of Science")</f>
        <v>View Full Record in Web of Science</v>
      </c>
    </row>
    <row r="364" ht="12.75" customHeight="1">
      <c r="A364" s="1" t="s">
        <v>72</v>
      </c>
      <c r="B364" s="1" t="s">
        <v>3494</v>
      </c>
      <c r="C364" s="1" t="s">
        <v>74</v>
      </c>
      <c r="D364" s="1" t="s">
        <v>74</v>
      </c>
      <c r="E364" s="1" t="s">
        <v>74</v>
      </c>
      <c r="F364" s="1" t="s">
        <v>3495</v>
      </c>
      <c r="G364" s="1" t="s">
        <v>74</v>
      </c>
      <c r="H364" s="1" t="s">
        <v>74</v>
      </c>
      <c r="I364" s="1" t="s">
        <v>3496</v>
      </c>
      <c r="J364" s="1" t="s">
        <v>3497</v>
      </c>
      <c r="K364" s="1" t="s">
        <v>74</v>
      </c>
      <c r="L364" s="1" t="s">
        <v>74</v>
      </c>
      <c r="M364" s="1" t="s">
        <v>74</v>
      </c>
      <c r="N364" s="1" t="s">
        <v>78</v>
      </c>
      <c r="O364" s="1" t="s">
        <v>74</v>
      </c>
      <c r="P364" s="1" t="s">
        <v>74</v>
      </c>
      <c r="Q364" s="1" t="s">
        <v>74</v>
      </c>
      <c r="R364" s="1" t="s">
        <v>74</v>
      </c>
      <c r="S364" s="1" t="s">
        <v>74</v>
      </c>
      <c r="T364" s="1" t="s">
        <v>3498</v>
      </c>
      <c r="U364" s="1" t="s">
        <v>74</v>
      </c>
      <c r="V364" s="1" t="s">
        <v>3499</v>
      </c>
      <c r="W364" s="1" t="s">
        <v>74</v>
      </c>
      <c r="X364" s="1" t="s">
        <v>74</v>
      </c>
      <c r="Y364" s="1" t="s">
        <v>74</v>
      </c>
      <c r="Z364" s="1" t="s">
        <v>74</v>
      </c>
      <c r="AA364" s="1" t="s">
        <v>74</v>
      </c>
      <c r="AB364" s="1" t="s">
        <v>74</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3500</v>
      </c>
      <c r="AP364" s="1" t="s">
        <v>3501</v>
      </c>
      <c r="AQ364" s="1" t="s">
        <v>74</v>
      </c>
      <c r="AR364" s="1" t="s">
        <v>74</v>
      </c>
      <c r="AS364" s="1" t="s">
        <v>74</v>
      </c>
      <c r="AT364" s="1" t="s">
        <v>688</v>
      </c>
      <c r="AU364" s="1">
        <v>2025.0</v>
      </c>
      <c r="AV364" s="1">
        <v>183.0</v>
      </c>
      <c r="AW364" s="1" t="s">
        <v>74</v>
      </c>
      <c r="AX364" s="1" t="s">
        <v>74</v>
      </c>
      <c r="AY364" s="1" t="s">
        <v>74</v>
      </c>
      <c r="AZ364" s="1" t="s">
        <v>74</v>
      </c>
      <c r="BA364" s="1" t="s">
        <v>74</v>
      </c>
      <c r="BB364" s="1" t="s">
        <v>74</v>
      </c>
      <c r="BC364" s="1" t="s">
        <v>74</v>
      </c>
      <c r="BD364" s="1">
        <v>106956.0</v>
      </c>
      <c r="BE364" s="1" t="s">
        <v>3502</v>
      </c>
      <c r="BF364" s="2" t="str">
        <f>HYPERLINK("http://dx.doi.org/10.1016/j.neunet.2024.106956","http://dx.doi.org/10.1016/j.neunet.2024.106956")</f>
        <v>http://dx.doi.org/10.1016/j.neunet.2024.106956</v>
      </c>
      <c r="BG364" s="1" t="s">
        <v>74</v>
      </c>
      <c r="BH364" s="1" t="s">
        <v>1080</v>
      </c>
      <c r="BI364" s="1" t="s">
        <v>74</v>
      </c>
      <c r="BJ364" s="1" t="s">
        <v>74</v>
      </c>
      <c r="BK364" s="1" t="s">
        <v>74</v>
      </c>
      <c r="BL364" s="1" t="s">
        <v>1460</v>
      </c>
      <c r="BM364" s="1" t="s">
        <v>74</v>
      </c>
      <c r="BN364" s="1" t="s">
        <v>74</v>
      </c>
      <c r="BO364" s="1" t="s">
        <v>74</v>
      </c>
      <c r="BP364" s="1" t="s">
        <v>74</v>
      </c>
      <c r="BQ364" s="1" t="s">
        <v>74</v>
      </c>
      <c r="BR364" s="1" t="s">
        <v>74</v>
      </c>
      <c r="BS364" s="1" t="s">
        <v>3503</v>
      </c>
      <c r="BT364" s="1" t="str">
        <f>HYPERLINK("https%3A%2F%2Fwww.webofscience.com%2Fwos%2Fwoscc%2Ffull-record%2FWOS:001409209300001","View Full Record in Web of Science")</f>
        <v>View Full Record in Web of Science</v>
      </c>
    </row>
    <row r="365" ht="12.75" customHeight="1">
      <c r="A365" s="1" t="s">
        <v>72</v>
      </c>
      <c r="B365" s="1" t="s">
        <v>3504</v>
      </c>
      <c r="C365" s="1" t="s">
        <v>74</v>
      </c>
      <c r="D365" s="1" t="s">
        <v>74</v>
      </c>
      <c r="E365" s="1" t="s">
        <v>74</v>
      </c>
      <c r="F365" s="1" t="s">
        <v>3505</v>
      </c>
      <c r="G365" s="1" t="s">
        <v>74</v>
      </c>
      <c r="H365" s="1" t="s">
        <v>74</v>
      </c>
      <c r="I365" s="1" t="s">
        <v>3506</v>
      </c>
      <c r="J365" s="1" t="s">
        <v>239</v>
      </c>
      <c r="K365" s="1" t="s">
        <v>74</v>
      </c>
      <c r="L365" s="1" t="s">
        <v>74</v>
      </c>
      <c r="M365" s="1" t="s">
        <v>74</v>
      </c>
      <c r="N365" s="1" t="s">
        <v>158</v>
      </c>
      <c r="O365" s="1" t="s">
        <v>74</v>
      </c>
      <c r="P365" s="1" t="s">
        <v>74</v>
      </c>
      <c r="Q365" s="1" t="s">
        <v>74</v>
      </c>
      <c r="R365" s="1" t="s">
        <v>74</v>
      </c>
      <c r="S365" s="1" t="s">
        <v>74</v>
      </c>
      <c r="T365" s="1" t="s">
        <v>3507</v>
      </c>
      <c r="U365" s="1" t="s">
        <v>3508</v>
      </c>
      <c r="V365" s="1" t="s">
        <v>3509</v>
      </c>
      <c r="W365" s="1" t="s">
        <v>74</v>
      </c>
      <c r="X365" s="1" t="s">
        <v>74</v>
      </c>
      <c r="Y365" s="1" t="s">
        <v>74</v>
      </c>
      <c r="Z365" s="1" t="s">
        <v>74</v>
      </c>
      <c r="AA365" s="1" t="s">
        <v>74</v>
      </c>
      <c r="AB365" s="1" t="s">
        <v>74</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242</v>
      </c>
      <c r="AP365" s="1" t="s">
        <v>74</v>
      </c>
      <c r="AQ365" s="1" t="s">
        <v>74</v>
      </c>
      <c r="AR365" s="1" t="s">
        <v>74</v>
      </c>
      <c r="AS365" s="1" t="s">
        <v>74</v>
      </c>
      <c r="AT365" s="1" t="s">
        <v>3510</v>
      </c>
      <c r="AU365" s="1">
        <v>2025.0</v>
      </c>
      <c r="AV365" s="1">
        <v>14.0</v>
      </c>
      <c r="AW365" s="1">
        <v>23.0</v>
      </c>
      <c r="AX365" s="1" t="s">
        <v>74</v>
      </c>
      <c r="AY365" s="1" t="s">
        <v>74</v>
      </c>
      <c r="AZ365" s="1" t="s">
        <v>74</v>
      </c>
      <c r="BA365" s="1" t="s">
        <v>74</v>
      </c>
      <c r="BB365" s="1" t="s">
        <v>74</v>
      </c>
      <c r="BC365" s="1" t="s">
        <v>74</v>
      </c>
      <c r="BD365" s="1">
        <v>4683.0</v>
      </c>
      <c r="BE365" s="1" t="s">
        <v>3511</v>
      </c>
      <c r="BF365" s="2" t="str">
        <f>HYPERLINK("http://dx.doi.org/10.3390/electronics14234683","http://dx.doi.org/10.3390/electronics14234683")</f>
        <v>http://dx.doi.org/10.3390/electronics14234683</v>
      </c>
      <c r="BG365" s="1" t="s">
        <v>74</v>
      </c>
      <c r="BH365" s="1" t="s">
        <v>74</v>
      </c>
      <c r="BI365" s="1" t="s">
        <v>74</v>
      </c>
      <c r="BJ365" s="1" t="s">
        <v>74</v>
      </c>
      <c r="BK365" s="1" t="s">
        <v>74</v>
      </c>
      <c r="BL365" s="1" t="s">
        <v>244</v>
      </c>
      <c r="BM365" s="1" t="s">
        <v>74</v>
      </c>
      <c r="BN365" s="1" t="s">
        <v>74</v>
      </c>
      <c r="BO365" s="1" t="s">
        <v>163</v>
      </c>
      <c r="BP365" s="1" t="s">
        <v>74</v>
      </c>
      <c r="BQ365" s="1" t="s">
        <v>74</v>
      </c>
      <c r="BR365" s="1" t="s">
        <v>74</v>
      </c>
      <c r="BS365" s="1" t="s">
        <v>3512</v>
      </c>
      <c r="BT365" s="1" t="str">
        <f>HYPERLINK("https%3A%2F%2Fwww.webofscience.com%2Fwos%2Fwoscc%2Ffull-record%2FWOS:001634324100001","View Full Record in Web of Science")</f>
        <v>View Full Record in Web of Science</v>
      </c>
    </row>
    <row r="366" ht="12.75" customHeight="1">
      <c r="A366" s="1" t="s">
        <v>72</v>
      </c>
      <c r="B366" s="1" t="s">
        <v>3513</v>
      </c>
      <c r="C366" s="1" t="s">
        <v>74</v>
      </c>
      <c r="D366" s="1" t="s">
        <v>74</v>
      </c>
      <c r="E366" s="1" t="s">
        <v>74</v>
      </c>
      <c r="F366" s="1" t="s">
        <v>3514</v>
      </c>
      <c r="G366" s="1" t="s">
        <v>74</v>
      </c>
      <c r="H366" s="1" t="s">
        <v>74</v>
      </c>
      <c r="I366" s="1" t="s">
        <v>3515</v>
      </c>
      <c r="J366" s="1" t="s">
        <v>147</v>
      </c>
      <c r="K366" s="1" t="s">
        <v>74</v>
      </c>
      <c r="L366" s="1" t="s">
        <v>74</v>
      </c>
      <c r="M366" s="1" t="s">
        <v>74</v>
      </c>
      <c r="N366" s="1" t="s">
        <v>78</v>
      </c>
      <c r="O366" s="1" t="s">
        <v>74</v>
      </c>
      <c r="P366" s="1" t="s">
        <v>74</v>
      </c>
      <c r="Q366" s="1" t="s">
        <v>74</v>
      </c>
      <c r="R366" s="1" t="s">
        <v>74</v>
      </c>
      <c r="S366" s="1" t="s">
        <v>74</v>
      </c>
      <c r="T366" s="1" t="s">
        <v>3516</v>
      </c>
      <c r="U366" s="1" t="s">
        <v>74</v>
      </c>
      <c r="V366" s="1" t="s">
        <v>3517</v>
      </c>
      <c r="W366" s="1" t="s">
        <v>74</v>
      </c>
      <c r="X366" s="1" t="s">
        <v>74</v>
      </c>
      <c r="Y366" s="1" t="s">
        <v>74</v>
      </c>
      <c r="Z366" s="1" t="s">
        <v>74</v>
      </c>
      <c r="AA366" s="1" t="s">
        <v>74</v>
      </c>
      <c r="AB366" s="1" t="s">
        <v>74</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150</v>
      </c>
      <c r="AP366" s="1" t="s">
        <v>74</v>
      </c>
      <c r="AQ366" s="1" t="s">
        <v>74</v>
      </c>
      <c r="AR366" s="1" t="s">
        <v>74</v>
      </c>
      <c r="AS366" s="1" t="s">
        <v>74</v>
      </c>
      <c r="AT366" s="1" t="s">
        <v>74</v>
      </c>
      <c r="AU366" s="1">
        <v>2024.0</v>
      </c>
      <c r="AV366" s="1">
        <v>12.0</v>
      </c>
      <c r="AW366" s="1" t="s">
        <v>74</v>
      </c>
      <c r="AX366" s="1" t="s">
        <v>74</v>
      </c>
      <c r="AY366" s="1" t="s">
        <v>74</v>
      </c>
      <c r="AZ366" s="1" t="s">
        <v>74</v>
      </c>
      <c r="BA366" s="1" t="s">
        <v>74</v>
      </c>
      <c r="BB366" s="1">
        <v>64717.0</v>
      </c>
      <c r="BC366" s="1">
        <v>64726.0</v>
      </c>
      <c r="BD366" s="1" t="s">
        <v>74</v>
      </c>
      <c r="BE366" s="1" t="s">
        <v>3518</v>
      </c>
      <c r="BF366" s="2" t="str">
        <f>HYPERLINK("http://dx.doi.org/10.1109/ACCESS.2024.3393245","http://dx.doi.org/10.1109/ACCESS.2024.3393245")</f>
        <v>http://dx.doi.org/10.1109/ACCESS.2024.3393245</v>
      </c>
      <c r="BG366" s="1" t="s">
        <v>74</v>
      </c>
      <c r="BH366" s="1" t="s">
        <v>74</v>
      </c>
      <c r="BI366" s="1" t="s">
        <v>74</v>
      </c>
      <c r="BJ366" s="1" t="s">
        <v>74</v>
      </c>
      <c r="BK366" s="1" t="s">
        <v>74</v>
      </c>
      <c r="BL366" s="1" t="s">
        <v>152</v>
      </c>
      <c r="BM366" s="1" t="s">
        <v>74</v>
      </c>
      <c r="BN366" s="1" t="s">
        <v>74</v>
      </c>
      <c r="BO366" s="1" t="s">
        <v>153</v>
      </c>
      <c r="BP366" s="1" t="s">
        <v>74</v>
      </c>
      <c r="BQ366" s="1" t="s">
        <v>74</v>
      </c>
      <c r="BR366" s="1" t="s">
        <v>74</v>
      </c>
      <c r="BS366" s="1" t="s">
        <v>3519</v>
      </c>
      <c r="BT366" s="1" t="str">
        <f>HYPERLINK("https%3A%2F%2Fwww.webofscience.com%2Fwos%2Fwoscc%2Ffull-record%2FWOS:001219330200001","View Full Record in Web of Science")</f>
        <v>View Full Record in Web of Science</v>
      </c>
    </row>
    <row r="367" ht="12.75" customHeight="1">
      <c r="A367" s="1" t="s">
        <v>72</v>
      </c>
      <c r="B367" s="1" t="s">
        <v>3520</v>
      </c>
      <c r="C367" s="1" t="s">
        <v>74</v>
      </c>
      <c r="D367" s="1" t="s">
        <v>74</v>
      </c>
      <c r="E367" s="1" t="s">
        <v>74</v>
      </c>
      <c r="F367" s="1" t="s">
        <v>3521</v>
      </c>
      <c r="G367" s="1" t="s">
        <v>74</v>
      </c>
      <c r="H367" s="1" t="s">
        <v>74</v>
      </c>
      <c r="I367" s="1" t="s">
        <v>3522</v>
      </c>
      <c r="J367" s="1" t="s">
        <v>1720</v>
      </c>
      <c r="K367" s="1" t="s">
        <v>74</v>
      </c>
      <c r="L367" s="1" t="s">
        <v>74</v>
      </c>
      <c r="M367" s="1" t="s">
        <v>74</v>
      </c>
      <c r="N367" s="1" t="s">
        <v>78</v>
      </c>
      <c r="O367" s="1" t="s">
        <v>74</v>
      </c>
      <c r="P367" s="1" t="s">
        <v>74</v>
      </c>
      <c r="Q367" s="1" t="s">
        <v>74</v>
      </c>
      <c r="R367" s="1" t="s">
        <v>74</v>
      </c>
      <c r="S367" s="1" t="s">
        <v>74</v>
      </c>
      <c r="T367" s="1" t="s">
        <v>3523</v>
      </c>
      <c r="U367" s="1" t="s">
        <v>3524</v>
      </c>
      <c r="V367" s="1" t="s">
        <v>3525</v>
      </c>
      <c r="W367" s="1" t="s">
        <v>74</v>
      </c>
      <c r="X367" s="1" t="s">
        <v>74</v>
      </c>
      <c r="Y367" s="1" t="s">
        <v>74</v>
      </c>
      <c r="Z367" s="1" t="s">
        <v>74</v>
      </c>
      <c r="AA367" s="1" t="s">
        <v>74</v>
      </c>
      <c r="AB367" s="1" t="s">
        <v>74</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74</v>
      </c>
      <c r="AP367" s="1" t="s">
        <v>1723</v>
      </c>
      <c r="AQ367" s="1" t="s">
        <v>74</v>
      </c>
      <c r="AR367" s="1" t="s">
        <v>74</v>
      </c>
      <c r="AS367" s="1" t="s">
        <v>74</v>
      </c>
      <c r="AT367" s="1" t="s">
        <v>84</v>
      </c>
      <c r="AU367" s="1">
        <v>2025.0</v>
      </c>
      <c r="AV367" s="1">
        <v>9.0</v>
      </c>
      <c r="AW367" s="1">
        <v>2.0</v>
      </c>
      <c r="AX367" s="1" t="s">
        <v>74</v>
      </c>
      <c r="AY367" s="1" t="s">
        <v>74</v>
      </c>
      <c r="AZ367" s="1" t="s">
        <v>74</v>
      </c>
      <c r="BA367" s="1" t="s">
        <v>74</v>
      </c>
      <c r="BB367" s="1" t="s">
        <v>74</v>
      </c>
      <c r="BC367" s="1" t="s">
        <v>74</v>
      </c>
      <c r="BD367" s="1" t="s">
        <v>3526</v>
      </c>
      <c r="BE367" s="1" t="s">
        <v>3527</v>
      </c>
      <c r="BF367" s="2" t="str">
        <f>HYPERLINK("http://dx.doi.org/10.1145/3711032","http://dx.doi.org/10.1145/3711032")</f>
        <v>http://dx.doi.org/10.1145/3711032</v>
      </c>
      <c r="BG367" s="1" t="s">
        <v>74</v>
      </c>
      <c r="BH367" s="1" t="s">
        <v>74</v>
      </c>
      <c r="BI367" s="1" t="s">
        <v>74</v>
      </c>
      <c r="BJ367" s="1" t="s">
        <v>74</v>
      </c>
      <c r="BK367" s="1" t="s">
        <v>74</v>
      </c>
      <c r="BL367" s="1" t="s">
        <v>174</v>
      </c>
      <c r="BM367" s="1" t="s">
        <v>74</v>
      </c>
      <c r="BN367" s="1" t="s">
        <v>74</v>
      </c>
      <c r="BO367" s="1" t="s">
        <v>114</v>
      </c>
      <c r="BP367" s="1" t="s">
        <v>74</v>
      </c>
      <c r="BQ367" s="1" t="s">
        <v>74</v>
      </c>
      <c r="BR367" s="1" t="s">
        <v>74</v>
      </c>
      <c r="BS367" s="1" t="s">
        <v>3528</v>
      </c>
      <c r="BT367" s="1" t="str">
        <f>HYPERLINK("https%3A%2F%2Fwww.webofscience.com%2Fwos%2Fwoscc%2Ffull-record%2FWOS:001573875200007","View Full Record in Web of Science")</f>
        <v>View Full Record in Web of Science</v>
      </c>
    </row>
    <row r="368" ht="12.75" customHeight="1">
      <c r="A368" s="1" t="s">
        <v>72</v>
      </c>
      <c r="B368" s="1" t="s">
        <v>3529</v>
      </c>
      <c r="C368" s="1" t="s">
        <v>74</v>
      </c>
      <c r="D368" s="1" t="s">
        <v>74</v>
      </c>
      <c r="E368" s="1" t="s">
        <v>74</v>
      </c>
      <c r="F368" s="1" t="s">
        <v>3530</v>
      </c>
      <c r="G368" s="1" t="s">
        <v>74</v>
      </c>
      <c r="H368" s="1" t="s">
        <v>74</v>
      </c>
      <c r="I368" s="1" t="s">
        <v>3531</v>
      </c>
      <c r="J368" s="1" t="s">
        <v>2399</v>
      </c>
      <c r="K368" s="1" t="s">
        <v>74</v>
      </c>
      <c r="L368" s="1" t="s">
        <v>74</v>
      </c>
      <c r="M368" s="1" t="s">
        <v>74</v>
      </c>
      <c r="N368" s="1" t="s">
        <v>78</v>
      </c>
      <c r="O368" s="1" t="s">
        <v>74</v>
      </c>
      <c r="P368" s="1" t="s">
        <v>74</v>
      </c>
      <c r="Q368" s="1" t="s">
        <v>74</v>
      </c>
      <c r="R368" s="1" t="s">
        <v>74</v>
      </c>
      <c r="S368" s="1" t="s">
        <v>74</v>
      </c>
      <c r="T368" s="1" t="s">
        <v>3532</v>
      </c>
      <c r="U368" s="1" t="s">
        <v>3533</v>
      </c>
      <c r="V368" s="1" t="s">
        <v>3534</v>
      </c>
      <c r="W368" s="1" t="s">
        <v>74</v>
      </c>
      <c r="X368" s="1" t="s">
        <v>74</v>
      </c>
      <c r="Y368" s="1" t="s">
        <v>74</v>
      </c>
      <c r="Z368" s="1" t="s">
        <v>74</v>
      </c>
      <c r="AA368" s="1" t="s">
        <v>74</v>
      </c>
      <c r="AB368" s="1" t="s">
        <v>74</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2402</v>
      </c>
      <c r="AP368" s="1" t="s">
        <v>74</v>
      </c>
      <c r="AQ368" s="1" t="s">
        <v>74</v>
      </c>
      <c r="AR368" s="1" t="s">
        <v>74</v>
      </c>
      <c r="AS368" s="1" t="s">
        <v>74</v>
      </c>
      <c r="AT368" s="1" t="s">
        <v>335</v>
      </c>
      <c r="AU368" s="1">
        <v>2024.0</v>
      </c>
      <c r="AV368" s="1">
        <v>6.0</v>
      </c>
      <c r="AW368" s="1" t="s">
        <v>74</v>
      </c>
      <c r="AX368" s="1" t="s">
        <v>74</v>
      </c>
      <c r="AY368" s="1" t="s">
        <v>74</v>
      </c>
      <c r="AZ368" s="1" t="s">
        <v>74</v>
      </c>
      <c r="BA368" s="1" t="s">
        <v>74</v>
      </c>
      <c r="BB368" s="1" t="s">
        <v>74</v>
      </c>
      <c r="BC368" s="1" t="s">
        <v>74</v>
      </c>
      <c r="BD368" s="1">
        <v>100198.0</v>
      </c>
      <c r="BE368" s="1" t="s">
        <v>3535</v>
      </c>
      <c r="BF368" s="2" t="str">
        <f>HYPERLINK("http://dx.doi.org/10.1016/j.caeai.2023.100198","http://dx.doi.org/10.1016/j.caeai.2023.100198")</f>
        <v>http://dx.doi.org/10.1016/j.caeai.2023.100198</v>
      </c>
      <c r="BG368" s="1" t="s">
        <v>74</v>
      </c>
      <c r="BH368" s="1" t="s">
        <v>74</v>
      </c>
      <c r="BI368" s="1" t="s">
        <v>74</v>
      </c>
      <c r="BJ368" s="1" t="s">
        <v>74</v>
      </c>
      <c r="BK368" s="1" t="s">
        <v>74</v>
      </c>
      <c r="BL368" s="1" t="s">
        <v>2404</v>
      </c>
      <c r="BM368" s="1" t="s">
        <v>74</v>
      </c>
      <c r="BN368" s="1" t="s">
        <v>74</v>
      </c>
      <c r="BO368" s="1" t="s">
        <v>163</v>
      </c>
      <c r="BP368" s="1" t="s">
        <v>74</v>
      </c>
      <c r="BQ368" s="1" t="s">
        <v>74</v>
      </c>
      <c r="BR368" s="1" t="s">
        <v>74</v>
      </c>
      <c r="BS368" s="1" t="s">
        <v>3536</v>
      </c>
      <c r="BT368" s="1" t="str">
        <f>HYPERLINK("https%3A%2F%2Fwww.webofscience.com%2Fwos%2Fwoscc%2Ffull-record%2FWOS:001652672600004","View Full Record in Web of Science")</f>
        <v>View Full Record in Web of Science</v>
      </c>
    </row>
    <row r="369" ht="12.75" customHeight="1">
      <c r="A369" s="1" t="s">
        <v>72</v>
      </c>
      <c r="B369" s="1" t="s">
        <v>3537</v>
      </c>
      <c r="C369" s="1" t="s">
        <v>74</v>
      </c>
      <c r="D369" s="1" t="s">
        <v>74</v>
      </c>
      <c r="E369" s="1" t="s">
        <v>74</v>
      </c>
      <c r="F369" s="1" t="s">
        <v>3538</v>
      </c>
      <c r="G369" s="1" t="s">
        <v>74</v>
      </c>
      <c r="H369" s="1" t="s">
        <v>74</v>
      </c>
      <c r="I369" s="1" t="s">
        <v>3539</v>
      </c>
      <c r="J369" s="1" t="s">
        <v>1990</v>
      </c>
      <c r="K369" s="1" t="s">
        <v>74</v>
      </c>
      <c r="L369" s="1" t="s">
        <v>74</v>
      </c>
      <c r="M369" s="1" t="s">
        <v>74</v>
      </c>
      <c r="N369" s="1" t="s">
        <v>78</v>
      </c>
      <c r="O369" s="1" t="s">
        <v>74</v>
      </c>
      <c r="P369" s="1" t="s">
        <v>74</v>
      </c>
      <c r="Q369" s="1" t="s">
        <v>74</v>
      </c>
      <c r="R369" s="1" t="s">
        <v>74</v>
      </c>
      <c r="S369" s="1" t="s">
        <v>74</v>
      </c>
      <c r="T369" s="1" t="s">
        <v>3540</v>
      </c>
      <c r="U369" s="1" t="s">
        <v>74</v>
      </c>
      <c r="V369" s="1" t="s">
        <v>3541</v>
      </c>
      <c r="W369" s="1" t="s">
        <v>74</v>
      </c>
      <c r="X369" s="1" t="s">
        <v>74</v>
      </c>
      <c r="Y369" s="1" t="s">
        <v>74</v>
      </c>
      <c r="Z369" s="1" t="s">
        <v>74</v>
      </c>
      <c r="AA369" s="1" t="s">
        <v>74</v>
      </c>
      <c r="AB369" s="1" t="s">
        <v>74</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1994</v>
      </c>
      <c r="AP369" s="1" t="s">
        <v>1995</v>
      </c>
      <c r="AQ369" s="1" t="s">
        <v>74</v>
      </c>
      <c r="AR369" s="1" t="s">
        <v>74</v>
      </c>
      <c r="AS369" s="1" t="s">
        <v>74</v>
      </c>
      <c r="AT369" s="1" t="s">
        <v>84</v>
      </c>
      <c r="AU369" s="1">
        <v>2025.0</v>
      </c>
      <c r="AV369" s="1">
        <v>78.0</v>
      </c>
      <c r="AW369" s="1" t="s">
        <v>74</v>
      </c>
      <c r="AX369" s="1" t="s">
        <v>74</v>
      </c>
      <c r="AY369" s="1" t="s">
        <v>74</v>
      </c>
      <c r="AZ369" s="1" t="s">
        <v>74</v>
      </c>
      <c r="BA369" s="1" t="s">
        <v>74</v>
      </c>
      <c r="BB369" s="1" t="s">
        <v>74</v>
      </c>
      <c r="BC369" s="1" t="s">
        <v>74</v>
      </c>
      <c r="BD369" s="1">
        <v>107126.0</v>
      </c>
      <c r="BE369" s="1" t="s">
        <v>3542</v>
      </c>
      <c r="BF369" s="2" t="str">
        <f>HYPERLINK("http://dx.doi.org/10.1016/j.frl.2025.107126","http://dx.doi.org/10.1016/j.frl.2025.107126")</f>
        <v>http://dx.doi.org/10.1016/j.frl.2025.107126</v>
      </c>
      <c r="BG369" s="1" t="s">
        <v>74</v>
      </c>
      <c r="BH369" s="1" t="s">
        <v>347</v>
      </c>
      <c r="BI369" s="1" t="s">
        <v>74</v>
      </c>
      <c r="BJ369" s="1" t="s">
        <v>74</v>
      </c>
      <c r="BK369" s="1" t="s">
        <v>74</v>
      </c>
      <c r="BL369" s="1" t="s">
        <v>214</v>
      </c>
      <c r="BM369" s="1" t="s">
        <v>74</v>
      </c>
      <c r="BN369" s="1" t="s">
        <v>74</v>
      </c>
      <c r="BO369" s="1" t="s">
        <v>74</v>
      </c>
      <c r="BP369" s="1" t="s">
        <v>74</v>
      </c>
      <c r="BQ369" s="1" t="s">
        <v>74</v>
      </c>
      <c r="BR369" s="1" t="s">
        <v>74</v>
      </c>
      <c r="BS369" s="1" t="s">
        <v>3543</v>
      </c>
      <c r="BT369" s="1" t="str">
        <f>HYPERLINK("https%3A%2F%2Fwww.webofscience.com%2Fwos%2Fwoscc%2Ffull-record%2FWOS:001448013100001","View Full Record in Web of Science")</f>
        <v>View Full Record in Web of Science</v>
      </c>
    </row>
    <row r="370" ht="12.75" customHeight="1">
      <c r="A370" s="1" t="s">
        <v>72</v>
      </c>
      <c r="B370" s="1" t="s">
        <v>3544</v>
      </c>
      <c r="C370" s="1" t="s">
        <v>74</v>
      </c>
      <c r="D370" s="1" t="s">
        <v>74</v>
      </c>
      <c r="E370" s="1" t="s">
        <v>74</v>
      </c>
      <c r="F370" s="1" t="s">
        <v>3545</v>
      </c>
      <c r="G370" s="1" t="s">
        <v>74</v>
      </c>
      <c r="H370" s="1" t="s">
        <v>74</v>
      </c>
      <c r="I370" s="1" t="s">
        <v>3546</v>
      </c>
      <c r="J370" s="1" t="s">
        <v>1272</v>
      </c>
      <c r="K370" s="1" t="s">
        <v>74</v>
      </c>
      <c r="L370" s="1" t="s">
        <v>74</v>
      </c>
      <c r="M370" s="1" t="s">
        <v>74</v>
      </c>
      <c r="N370" s="1" t="s">
        <v>78</v>
      </c>
      <c r="O370" s="1" t="s">
        <v>74</v>
      </c>
      <c r="P370" s="1" t="s">
        <v>74</v>
      </c>
      <c r="Q370" s="1" t="s">
        <v>74</v>
      </c>
      <c r="R370" s="1" t="s">
        <v>74</v>
      </c>
      <c r="S370" s="1" t="s">
        <v>74</v>
      </c>
      <c r="T370" s="1" t="s">
        <v>3547</v>
      </c>
      <c r="U370" s="1" t="s">
        <v>74</v>
      </c>
      <c r="V370" s="1" t="s">
        <v>3548</v>
      </c>
      <c r="W370" s="1" t="s">
        <v>74</v>
      </c>
      <c r="X370" s="1" t="s">
        <v>74</v>
      </c>
      <c r="Y370" s="1" t="s">
        <v>74</v>
      </c>
      <c r="Z370" s="1" t="s">
        <v>74</v>
      </c>
      <c r="AA370" s="1" t="s">
        <v>74</v>
      </c>
      <c r="AB370" s="1" t="s">
        <v>74</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1276</v>
      </c>
      <c r="AP370" s="1" t="s">
        <v>1277</v>
      </c>
      <c r="AQ370" s="1" t="s">
        <v>74</v>
      </c>
      <c r="AR370" s="1" t="s">
        <v>74</v>
      </c>
      <c r="AS370" s="1" t="s">
        <v>74</v>
      </c>
      <c r="AT370" s="1" t="s">
        <v>357</v>
      </c>
      <c r="AU370" s="1">
        <v>2025.0</v>
      </c>
      <c r="AV370" s="1">
        <v>81.0</v>
      </c>
      <c r="AW370" s="1">
        <v>15.0</v>
      </c>
      <c r="AX370" s="1" t="s">
        <v>74</v>
      </c>
      <c r="AY370" s="1" t="s">
        <v>74</v>
      </c>
      <c r="AZ370" s="1" t="s">
        <v>74</v>
      </c>
      <c r="BA370" s="1" t="s">
        <v>74</v>
      </c>
      <c r="BB370" s="1" t="s">
        <v>74</v>
      </c>
      <c r="BC370" s="1" t="s">
        <v>74</v>
      </c>
      <c r="BD370" s="1">
        <v>1438.0</v>
      </c>
      <c r="BE370" s="1" t="s">
        <v>3549</v>
      </c>
      <c r="BF370" s="2" t="str">
        <f>HYPERLINK("http://dx.doi.org/10.1007/s11227-025-07957-6","http://dx.doi.org/10.1007/s11227-025-07957-6")</f>
        <v>http://dx.doi.org/10.1007/s11227-025-07957-6</v>
      </c>
      <c r="BG370" s="1" t="s">
        <v>74</v>
      </c>
      <c r="BH370" s="1" t="s">
        <v>74</v>
      </c>
      <c r="BI370" s="1" t="s">
        <v>74</v>
      </c>
      <c r="BJ370" s="1" t="s">
        <v>74</v>
      </c>
      <c r="BK370" s="1" t="s">
        <v>74</v>
      </c>
      <c r="BL370" s="1" t="s">
        <v>98</v>
      </c>
      <c r="BM370" s="1" t="s">
        <v>74</v>
      </c>
      <c r="BN370" s="1" t="s">
        <v>74</v>
      </c>
      <c r="BO370" s="1" t="s">
        <v>74</v>
      </c>
      <c r="BP370" s="1" t="s">
        <v>74</v>
      </c>
      <c r="BQ370" s="1" t="s">
        <v>74</v>
      </c>
      <c r="BR370" s="1" t="s">
        <v>74</v>
      </c>
      <c r="BS370" s="1" t="s">
        <v>3550</v>
      </c>
      <c r="BT370" s="1" t="str">
        <f>HYPERLINK("https%3A%2F%2Fwww.webofscience.com%2Fwos%2Fwoscc%2Ffull-record%2FWOS:001590872600007","View Full Record in Web of Science")</f>
        <v>View Full Record in Web of Science</v>
      </c>
    </row>
    <row r="371" ht="12.75" customHeight="1">
      <c r="A371" s="1" t="s">
        <v>72</v>
      </c>
      <c r="B371" s="1" t="s">
        <v>3551</v>
      </c>
      <c r="C371" s="1" t="s">
        <v>74</v>
      </c>
      <c r="D371" s="1" t="s">
        <v>74</v>
      </c>
      <c r="E371" s="1" t="s">
        <v>74</v>
      </c>
      <c r="F371" s="1" t="s">
        <v>3552</v>
      </c>
      <c r="G371" s="1" t="s">
        <v>74</v>
      </c>
      <c r="H371" s="1" t="s">
        <v>74</v>
      </c>
      <c r="I371" s="1" t="s">
        <v>3553</v>
      </c>
      <c r="J371" s="1" t="s">
        <v>3554</v>
      </c>
      <c r="K371" s="1" t="s">
        <v>74</v>
      </c>
      <c r="L371" s="1" t="s">
        <v>74</v>
      </c>
      <c r="M371" s="1" t="s">
        <v>74</v>
      </c>
      <c r="N371" s="1" t="s">
        <v>158</v>
      </c>
      <c r="O371" s="1" t="s">
        <v>74</v>
      </c>
      <c r="P371" s="1" t="s">
        <v>74</v>
      </c>
      <c r="Q371" s="1" t="s">
        <v>74</v>
      </c>
      <c r="R371" s="1" t="s">
        <v>74</v>
      </c>
      <c r="S371" s="1" t="s">
        <v>74</v>
      </c>
      <c r="T371" s="1" t="s">
        <v>3555</v>
      </c>
      <c r="U371" s="1" t="s">
        <v>74</v>
      </c>
      <c r="V371" s="1" t="s">
        <v>3556</v>
      </c>
      <c r="W371" s="1" t="s">
        <v>74</v>
      </c>
      <c r="X371" s="1" t="s">
        <v>74</v>
      </c>
      <c r="Y371" s="1" t="s">
        <v>74</v>
      </c>
      <c r="Z371" s="1" t="s">
        <v>74</v>
      </c>
      <c r="AA371" s="1" t="s">
        <v>74</v>
      </c>
      <c r="AB371" s="1" t="s">
        <v>74</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3557</v>
      </c>
      <c r="AP371" s="1" t="s">
        <v>3558</v>
      </c>
      <c r="AQ371" s="1" t="s">
        <v>74</v>
      </c>
      <c r="AR371" s="1" t="s">
        <v>74</v>
      </c>
      <c r="AS371" s="1" t="s">
        <v>74</v>
      </c>
      <c r="AT371" s="1" t="s">
        <v>3559</v>
      </c>
      <c r="AU371" s="1">
        <v>2025.0</v>
      </c>
      <c r="AV371" s="1">
        <v>73.0</v>
      </c>
      <c r="AW371" s="1" t="s">
        <v>74</v>
      </c>
      <c r="AX371" s="1" t="s">
        <v>74</v>
      </c>
      <c r="AY371" s="1" t="s">
        <v>74</v>
      </c>
      <c r="AZ371" s="1" t="s">
        <v>74</v>
      </c>
      <c r="BA371" s="1" t="s">
        <v>74</v>
      </c>
      <c r="BB371" s="1" t="s">
        <v>74</v>
      </c>
      <c r="BC371" s="1" t="s">
        <v>74</v>
      </c>
      <c r="BD371" s="1">
        <v>101521.0</v>
      </c>
      <c r="BE371" s="1" t="s">
        <v>3560</v>
      </c>
      <c r="BF371" s="2" t="str">
        <f>HYPERLINK("http://dx.doi.org/10.1016/j.elerap.2025.101521","http://dx.doi.org/10.1016/j.elerap.2025.101521")</f>
        <v>http://dx.doi.org/10.1016/j.elerap.2025.101521</v>
      </c>
      <c r="BG371" s="1" t="s">
        <v>74</v>
      </c>
      <c r="BH371" s="1" t="s">
        <v>112</v>
      </c>
      <c r="BI371" s="1" t="s">
        <v>74</v>
      </c>
      <c r="BJ371" s="1" t="s">
        <v>74</v>
      </c>
      <c r="BK371" s="1" t="s">
        <v>74</v>
      </c>
      <c r="BL371" s="1" t="s">
        <v>1111</v>
      </c>
      <c r="BM371" s="1" t="s">
        <v>74</v>
      </c>
      <c r="BN371" s="1" t="s">
        <v>74</v>
      </c>
      <c r="BO371" s="1" t="s">
        <v>74</v>
      </c>
      <c r="BP371" s="1" t="s">
        <v>74</v>
      </c>
      <c r="BQ371" s="1" t="s">
        <v>74</v>
      </c>
      <c r="BR371" s="1" t="s">
        <v>74</v>
      </c>
      <c r="BS371" s="1" t="s">
        <v>3561</v>
      </c>
      <c r="BT371" s="1" t="str">
        <f>HYPERLINK("https%3A%2F%2Fwww.webofscience.com%2Fwos%2Fwoscc%2Ffull-record%2FWOS:001513376400001","View Full Record in Web of Science")</f>
        <v>View Full Record in Web of Science</v>
      </c>
    </row>
    <row r="372" ht="12.75" customHeight="1">
      <c r="A372" s="1" t="s">
        <v>72</v>
      </c>
      <c r="B372" s="1" t="s">
        <v>3562</v>
      </c>
      <c r="C372" s="1" t="s">
        <v>74</v>
      </c>
      <c r="D372" s="1" t="s">
        <v>74</v>
      </c>
      <c r="E372" s="1" t="s">
        <v>74</v>
      </c>
      <c r="F372" s="1" t="s">
        <v>3563</v>
      </c>
      <c r="G372" s="1" t="s">
        <v>74</v>
      </c>
      <c r="H372" s="1" t="s">
        <v>74</v>
      </c>
      <c r="I372" s="1" t="s">
        <v>3564</v>
      </c>
      <c r="J372" s="1" t="s">
        <v>816</v>
      </c>
      <c r="K372" s="1" t="s">
        <v>74</v>
      </c>
      <c r="L372" s="1" t="s">
        <v>74</v>
      </c>
      <c r="M372" s="1" t="s">
        <v>74</v>
      </c>
      <c r="N372" s="1" t="s">
        <v>78</v>
      </c>
      <c r="O372" s="1" t="s">
        <v>74</v>
      </c>
      <c r="P372" s="1" t="s">
        <v>74</v>
      </c>
      <c r="Q372" s="1" t="s">
        <v>74</v>
      </c>
      <c r="R372" s="1" t="s">
        <v>74</v>
      </c>
      <c r="S372" s="1" t="s">
        <v>74</v>
      </c>
      <c r="T372" s="1" t="s">
        <v>3565</v>
      </c>
      <c r="U372" s="1" t="s">
        <v>74</v>
      </c>
      <c r="V372" s="1" t="s">
        <v>3566</v>
      </c>
      <c r="W372" s="1" t="s">
        <v>74</v>
      </c>
      <c r="X372" s="1" t="s">
        <v>74</v>
      </c>
      <c r="Y372" s="1" t="s">
        <v>74</v>
      </c>
      <c r="Z372" s="1" t="s">
        <v>74</v>
      </c>
      <c r="AA372" s="1" t="s">
        <v>74</v>
      </c>
      <c r="AB372" s="1" t="s">
        <v>74</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820</v>
      </c>
      <c r="AP372" s="1" t="s">
        <v>821</v>
      </c>
      <c r="AQ372" s="1" t="s">
        <v>74</v>
      </c>
      <c r="AR372" s="1" t="s">
        <v>74</v>
      </c>
      <c r="AS372" s="1" t="s">
        <v>74</v>
      </c>
      <c r="AT372" s="1" t="s">
        <v>464</v>
      </c>
      <c r="AU372" s="1">
        <v>2025.0</v>
      </c>
      <c r="AV372" s="1">
        <v>168.0</v>
      </c>
      <c r="AW372" s="1" t="s">
        <v>74</v>
      </c>
      <c r="AX372" s="1" t="s">
        <v>74</v>
      </c>
      <c r="AY372" s="1" t="s">
        <v>74</v>
      </c>
      <c r="AZ372" s="1" t="s">
        <v>74</v>
      </c>
      <c r="BA372" s="1" t="s">
        <v>74</v>
      </c>
      <c r="BB372" s="1" t="s">
        <v>74</v>
      </c>
      <c r="BC372" s="1" t="s">
        <v>74</v>
      </c>
      <c r="BD372" s="1">
        <v>104867.0</v>
      </c>
      <c r="BE372" s="1" t="s">
        <v>3567</v>
      </c>
      <c r="BF372" s="2" t="str">
        <f>HYPERLINK("http://dx.doi.org/10.1016/j.jbi.2025.104867","http://dx.doi.org/10.1016/j.jbi.2025.104867")</f>
        <v>http://dx.doi.org/10.1016/j.jbi.2025.104867</v>
      </c>
      <c r="BG372" s="1" t="s">
        <v>74</v>
      </c>
      <c r="BH372" s="1" t="s">
        <v>112</v>
      </c>
      <c r="BI372" s="1" t="s">
        <v>74</v>
      </c>
      <c r="BJ372" s="1" t="s">
        <v>74</v>
      </c>
      <c r="BK372" s="1" t="s">
        <v>74</v>
      </c>
      <c r="BL372" s="1" t="s">
        <v>823</v>
      </c>
      <c r="BM372" s="1" t="s">
        <v>74</v>
      </c>
      <c r="BN372" s="1" t="s">
        <v>74</v>
      </c>
      <c r="BO372" s="1" t="s">
        <v>74</v>
      </c>
      <c r="BP372" s="1" t="s">
        <v>74</v>
      </c>
      <c r="BQ372" s="1" t="s">
        <v>74</v>
      </c>
      <c r="BR372" s="1" t="s">
        <v>74</v>
      </c>
      <c r="BS372" s="1" t="s">
        <v>3568</v>
      </c>
      <c r="BT372" s="1" t="str">
        <f>HYPERLINK("https%3A%2F%2Fwww.webofscience.com%2Fwos%2Fwoscc%2Ffull-record%2FWOS:001522213400002","View Full Record in Web of Science")</f>
        <v>View Full Record in Web of Science</v>
      </c>
    </row>
    <row r="373" ht="12.75" customHeight="1">
      <c r="A373" s="1" t="s">
        <v>72</v>
      </c>
      <c r="B373" s="1" t="s">
        <v>3569</v>
      </c>
      <c r="C373" s="1" t="s">
        <v>74</v>
      </c>
      <c r="D373" s="1" t="s">
        <v>74</v>
      </c>
      <c r="E373" s="1" t="s">
        <v>74</v>
      </c>
      <c r="F373" s="1" t="s">
        <v>3570</v>
      </c>
      <c r="G373" s="1" t="s">
        <v>74</v>
      </c>
      <c r="H373" s="1" t="s">
        <v>74</v>
      </c>
      <c r="I373" s="1" t="s">
        <v>3571</v>
      </c>
      <c r="J373" s="1" t="s">
        <v>2768</v>
      </c>
      <c r="K373" s="1" t="s">
        <v>74</v>
      </c>
      <c r="L373" s="1" t="s">
        <v>74</v>
      </c>
      <c r="M373" s="1" t="s">
        <v>74</v>
      </c>
      <c r="N373" s="1" t="s">
        <v>78</v>
      </c>
      <c r="O373" s="1" t="s">
        <v>74</v>
      </c>
      <c r="P373" s="1" t="s">
        <v>74</v>
      </c>
      <c r="Q373" s="1" t="s">
        <v>74</v>
      </c>
      <c r="R373" s="1" t="s">
        <v>74</v>
      </c>
      <c r="S373" s="1" t="s">
        <v>74</v>
      </c>
      <c r="T373" s="1" t="s">
        <v>3572</v>
      </c>
      <c r="U373" s="1" t="s">
        <v>74</v>
      </c>
      <c r="V373" s="1" t="s">
        <v>3573</v>
      </c>
      <c r="W373" s="1" t="s">
        <v>74</v>
      </c>
      <c r="X373" s="1" t="s">
        <v>74</v>
      </c>
      <c r="Y373" s="1" t="s">
        <v>74</v>
      </c>
      <c r="Z373" s="1" t="s">
        <v>74</v>
      </c>
      <c r="AA373" s="1" t="s">
        <v>74</v>
      </c>
      <c r="AB373" s="1" t="s">
        <v>74</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2772</v>
      </c>
      <c r="AP373" s="1" t="s">
        <v>2773</v>
      </c>
      <c r="AQ373" s="1" t="s">
        <v>74</v>
      </c>
      <c r="AR373" s="1" t="s">
        <v>74</v>
      </c>
      <c r="AS373" s="1" t="s">
        <v>74</v>
      </c>
      <c r="AT373" s="1" t="s">
        <v>736</v>
      </c>
      <c r="AU373" s="1">
        <v>2026.0</v>
      </c>
      <c r="AV373" s="1">
        <v>231.0</v>
      </c>
      <c r="AW373" s="1" t="s">
        <v>74</v>
      </c>
      <c r="AX373" s="1" t="s">
        <v>74</v>
      </c>
      <c r="AY373" s="1" t="s">
        <v>74</v>
      </c>
      <c r="AZ373" s="1" t="s">
        <v>74</v>
      </c>
      <c r="BA373" s="1" t="s">
        <v>74</v>
      </c>
      <c r="BB373" s="1" t="s">
        <v>74</v>
      </c>
      <c r="BC373" s="1" t="s">
        <v>74</v>
      </c>
      <c r="BD373" s="1">
        <v>102896.0</v>
      </c>
      <c r="BE373" s="1" t="s">
        <v>3574</v>
      </c>
      <c r="BF373" s="2" t="str">
        <f>HYPERLINK("http://dx.doi.org/10.1016/j.jss.2025.112588","http://dx.doi.org/10.1016/j.jss.2025.112588")</f>
        <v>http://dx.doi.org/10.1016/j.jss.2025.112588</v>
      </c>
      <c r="BG373" s="1" t="s">
        <v>74</v>
      </c>
      <c r="BH373" s="1" t="s">
        <v>276</v>
      </c>
      <c r="BI373" s="1" t="s">
        <v>74</v>
      </c>
      <c r="BJ373" s="1" t="s">
        <v>74</v>
      </c>
      <c r="BK373" s="1" t="s">
        <v>74</v>
      </c>
      <c r="BL373" s="1" t="s">
        <v>174</v>
      </c>
      <c r="BM373" s="1" t="s">
        <v>74</v>
      </c>
      <c r="BN373" s="1" t="s">
        <v>74</v>
      </c>
      <c r="BO373" s="1" t="s">
        <v>74</v>
      </c>
      <c r="BP373" s="1" t="s">
        <v>74</v>
      </c>
      <c r="BQ373" s="1" t="s">
        <v>74</v>
      </c>
      <c r="BR373" s="1" t="s">
        <v>74</v>
      </c>
      <c r="BS373" s="1" t="s">
        <v>3575</v>
      </c>
      <c r="BT373" s="1" t="str">
        <f>HYPERLINK("https%3A%2F%2Fwww.webofscience.com%2Fwos%2Fwoscc%2Ffull-record%2FWOS:001560761300001","View Full Record in Web of Science")</f>
        <v>View Full Record in Web of Science</v>
      </c>
    </row>
    <row r="374" ht="12.75" customHeight="1">
      <c r="A374" s="1" t="s">
        <v>72</v>
      </c>
      <c r="B374" s="1" t="s">
        <v>3576</v>
      </c>
      <c r="C374" s="1" t="s">
        <v>74</v>
      </c>
      <c r="D374" s="1" t="s">
        <v>74</v>
      </c>
      <c r="E374" s="1" t="s">
        <v>74</v>
      </c>
      <c r="F374" s="1" t="s">
        <v>3577</v>
      </c>
      <c r="G374" s="1" t="s">
        <v>74</v>
      </c>
      <c r="H374" s="1" t="s">
        <v>74</v>
      </c>
      <c r="I374" s="1" t="s">
        <v>3578</v>
      </c>
      <c r="J374" s="1" t="s">
        <v>2750</v>
      </c>
      <c r="K374" s="1" t="s">
        <v>74</v>
      </c>
      <c r="L374" s="1" t="s">
        <v>74</v>
      </c>
      <c r="M374" s="1" t="s">
        <v>74</v>
      </c>
      <c r="N374" s="1" t="s">
        <v>158</v>
      </c>
      <c r="O374" s="1" t="s">
        <v>74</v>
      </c>
      <c r="P374" s="1" t="s">
        <v>74</v>
      </c>
      <c r="Q374" s="1" t="s">
        <v>74</v>
      </c>
      <c r="R374" s="1" t="s">
        <v>74</v>
      </c>
      <c r="S374" s="1" t="s">
        <v>74</v>
      </c>
      <c r="T374" s="1" t="s">
        <v>3579</v>
      </c>
      <c r="U374" s="1" t="s">
        <v>74</v>
      </c>
      <c r="V374" s="1" t="s">
        <v>3580</v>
      </c>
      <c r="W374" s="1" t="s">
        <v>74</v>
      </c>
      <c r="X374" s="1" t="s">
        <v>74</v>
      </c>
      <c r="Y374" s="1" t="s">
        <v>74</v>
      </c>
      <c r="Z374" s="1" t="s">
        <v>74</v>
      </c>
      <c r="AA374" s="1" t="s">
        <v>74</v>
      </c>
      <c r="AB374" s="1" t="s">
        <v>74</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74</v>
      </c>
      <c r="AP374" s="1" t="s">
        <v>2754</v>
      </c>
      <c r="AQ374" s="1" t="s">
        <v>74</v>
      </c>
      <c r="AR374" s="1" t="s">
        <v>74</v>
      </c>
      <c r="AS374" s="1" t="s">
        <v>74</v>
      </c>
      <c r="AT374" s="1" t="s">
        <v>3581</v>
      </c>
      <c r="AU374" s="1">
        <v>2025.0</v>
      </c>
      <c r="AV374" s="1">
        <v>12.0</v>
      </c>
      <c r="AW374" s="1">
        <v>3.0</v>
      </c>
      <c r="AX374" s="1" t="s">
        <v>74</v>
      </c>
      <c r="AY374" s="1" t="s">
        <v>74</v>
      </c>
      <c r="AZ374" s="1" t="s">
        <v>74</v>
      </c>
      <c r="BA374" s="1" t="s">
        <v>74</v>
      </c>
      <c r="BB374" s="1" t="s">
        <v>74</v>
      </c>
      <c r="BC374" s="1" t="s">
        <v>74</v>
      </c>
      <c r="BD374" s="1">
        <v>86.0</v>
      </c>
      <c r="BE374" s="1" t="s">
        <v>3582</v>
      </c>
      <c r="BF374" s="2" t="str">
        <f>HYPERLINK("http://dx.doi.org/10.3390/informatics12030086","http://dx.doi.org/10.3390/informatics12030086")</f>
        <v>http://dx.doi.org/10.3390/informatics12030086</v>
      </c>
      <c r="BG374" s="1" t="s">
        <v>74</v>
      </c>
      <c r="BH374" s="1" t="s">
        <v>74</v>
      </c>
      <c r="BI374" s="1" t="s">
        <v>74</v>
      </c>
      <c r="BJ374" s="1" t="s">
        <v>74</v>
      </c>
      <c r="BK374" s="1" t="s">
        <v>74</v>
      </c>
      <c r="BL374" s="1" t="s">
        <v>174</v>
      </c>
      <c r="BM374" s="1" t="s">
        <v>74</v>
      </c>
      <c r="BN374" s="1" t="s">
        <v>74</v>
      </c>
      <c r="BO374" s="1" t="s">
        <v>163</v>
      </c>
      <c r="BP374" s="1" t="s">
        <v>74</v>
      </c>
      <c r="BQ374" s="1" t="s">
        <v>74</v>
      </c>
      <c r="BR374" s="1" t="s">
        <v>74</v>
      </c>
      <c r="BS374" s="1" t="s">
        <v>3583</v>
      </c>
      <c r="BT374" s="1" t="str">
        <f>HYPERLINK("https%3A%2F%2Fwww.webofscience.com%2Fwos%2Fwoscc%2Ffull-record%2FWOS:001580014000001","View Full Record in Web of Science")</f>
        <v>View Full Record in Web of Science</v>
      </c>
    </row>
    <row r="375" ht="12.75" customHeight="1">
      <c r="A375" s="1" t="s">
        <v>72</v>
      </c>
      <c r="B375" s="1" t="s">
        <v>3584</v>
      </c>
      <c r="C375" s="1" t="s">
        <v>74</v>
      </c>
      <c r="D375" s="1" t="s">
        <v>74</v>
      </c>
      <c r="E375" s="1" t="s">
        <v>74</v>
      </c>
      <c r="F375" s="1" t="s">
        <v>3585</v>
      </c>
      <c r="G375" s="1" t="s">
        <v>74</v>
      </c>
      <c r="H375" s="1" t="s">
        <v>74</v>
      </c>
      <c r="I375" s="1" t="s">
        <v>3586</v>
      </c>
      <c r="J375" s="1" t="s">
        <v>3587</v>
      </c>
      <c r="K375" s="1" t="s">
        <v>74</v>
      </c>
      <c r="L375" s="1" t="s">
        <v>74</v>
      </c>
      <c r="M375" s="1" t="s">
        <v>74</v>
      </c>
      <c r="N375" s="1" t="s">
        <v>78</v>
      </c>
      <c r="O375" s="1" t="s">
        <v>74</v>
      </c>
      <c r="P375" s="1" t="s">
        <v>74</v>
      </c>
      <c r="Q375" s="1" t="s">
        <v>74</v>
      </c>
      <c r="R375" s="1" t="s">
        <v>74</v>
      </c>
      <c r="S375" s="1" t="s">
        <v>74</v>
      </c>
      <c r="T375" s="1" t="s">
        <v>3588</v>
      </c>
      <c r="U375" s="1" t="s">
        <v>3589</v>
      </c>
      <c r="V375" s="1" t="s">
        <v>3590</v>
      </c>
      <c r="W375" s="1" t="s">
        <v>74</v>
      </c>
      <c r="X375" s="1" t="s">
        <v>74</v>
      </c>
      <c r="Y375" s="1" t="s">
        <v>74</v>
      </c>
      <c r="Z375" s="1" t="s">
        <v>74</v>
      </c>
      <c r="AA375" s="1" t="s">
        <v>74</v>
      </c>
      <c r="AB375" s="1" t="s">
        <v>74</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3591</v>
      </c>
      <c r="AP375" s="1" t="s">
        <v>3592</v>
      </c>
      <c r="AQ375" s="1" t="s">
        <v>74</v>
      </c>
      <c r="AR375" s="1" t="s">
        <v>74</v>
      </c>
      <c r="AS375" s="1" t="s">
        <v>74</v>
      </c>
      <c r="AT375" s="1" t="s">
        <v>688</v>
      </c>
      <c r="AU375" s="1">
        <v>2025.0</v>
      </c>
      <c r="AV375" s="1">
        <v>70.0</v>
      </c>
      <c r="AW375" s="1">
        <v>12.0</v>
      </c>
      <c r="AX375" s="1" t="s">
        <v>74</v>
      </c>
      <c r="AY375" s="1" t="s">
        <v>74</v>
      </c>
      <c r="AZ375" s="1" t="s">
        <v>74</v>
      </c>
      <c r="BA375" s="1" t="s">
        <v>74</v>
      </c>
      <c r="BB375" s="1" t="s">
        <v>74</v>
      </c>
      <c r="BC375" s="1" t="s">
        <v>74</v>
      </c>
      <c r="BD375" s="1" t="s">
        <v>74</v>
      </c>
      <c r="BE375" s="1" t="s">
        <v>3593</v>
      </c>
      <c r="BF375" s="2" t="str">
        <f>HYPERLINK("http://dx.doi.org/10.1287/mnsc.2023.03014","http://dx.doi.org/10.1287/mnsc.2023.03014")</f>
        <v>http://dx.doi.org/10.1287/mnsc.2023.03014</v>
      </c>
      <c r="BG375" s="1" t="s">
        <v>74</v>
      </c>
      <c r="BH375" s="1" t="s">
        <v>74</v>
      </c>
      <c r="BI375" s="1" t="s">
        <v>74</v>
      </c>
      <c r="BJ375" s="1" t="s">
        <v>74</v>
      </c>
      <c r="BK375" s="1" t="s">
        <v>74</v>
      </c>
      <c r="BL375" s="1" t="s">
        <v>1002</v>
      </c>
      <c r="BM375" s="1" t="s">
        <v>74</v>
      </c>
      <c r="BN375" s="1" t="s">
        <v>74</v>
      </c>
      <c r="BO375" s="1" t="s">
        <v>74</v>
      </c>
      <c r="BP375" s="1" t="s">
        <v>74</v>
      </c>
      <c r="BQ375" s="1" t="s">
        <v>74</v>
      </c>
      <c r="BR375" s="1" t="s">
        <v>74</v>
      </c>
      <c r="BS375" s="1" t="s">
        <v>3594</v>
      </c>
      <c r="BT375" s="1" t="str">
        <f>HYPERLINK("https%3A%2F%2Fwww.webofscience.com%2Fwos%2Fwoscc%2Ffull-record%2FWOS:001456971400008","View Full Record in Web of Science")</f>
        <v>View Full Record in Web of Science</v>
      </c>
    </row>
    <row r="376" ht="12.75" customHeight="1">
      <c r="A376" s="1" t="s">
        <v>72</v>
      </c>
      <c r="B376" s="1" t="s">
        <v>3595</v>
      </c>
      <c r="C376" s="1" t="s">
        <v>74</v>
      </c>
      <c r="D376" s="1" t="s">
        <v>74</v>
      </c>
      <c r="E376" s="1" t="s">
        <v>74</v>
      </c>
      <c r="F376" s="1" t="s">
        <v>3596</v>
      </c>
      <c r="G376" s="1" t="s">
        <v>74</v>
      </c>
      <c r="H376" s="1" t="s">
        <v>74</v>
      </c>
      <c r="I376" s="1" t="s">
        <v>3597</v>
      </c>
      <c r="J376" s="1" t="s">
        <v>3598</v>
      </c>
      <c r="K376" s="1" t="s">
        <v>74</v>
      </c>
      <c r="L376" s="1" t="s">
        <v>74</v>
      </c>
      <c r="M376" s="1" t="s">
        <v>74</v>
      </c>
      <c r="N376" s="1" t="s">
        <v>78</v>
      </c>
      <c r="O376" s="1" t="s">
        <v>74</v>
      </c>
      <c r="P376" s="1" t="s">
        <v>74</v>
      </c>
      <c r="Q376" s="1" t="s">
        <v>74</v>
      </c>
      <c r="R376" s="1" t="s">
        <v>74</v>
      </c>
      <c r="S376" s="1" t="s">
        <v>74</v>
      </c>
      <c r="T376" s="1" t="s">
        <v>3599</v>
      </c>
      <c r="U376" s="1" t="s">
        <v>74</v>
      </c>
      <c r="V376" s="1" t="s">
        <v>3600</v>
      </c>
      <c r="W376" s="1" t="s">
        <v>74</v>
      </c>
      <c r="X376" s="1" t="s">
        <v>74</v>
      </c>
      <c r="Y376" s="1" t="s">
        <v>74</v>
      </c>
      <c r="Z376" s="1" t="s">
        <v>74</v>
      </c>
      <c r="AA376" s="1" t="s">
        <v>74</v>
      </c>
      <c r="AB376" s="1" t="s">
        <v>74</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3601</v>
      </c>
      <c r="AP376" s="1" t="s">
        <v>74</v>
      </c>
      <c r="AQ376" s="1" t="s">
        <v>74</v>
      </c>
      <c r="AR376" s="1" t="s">
        <v>74</v>
      </c>
      <c r="AS376" s="1" t="s">
        <v>74</v>
      </c>
      <c r="AT376" s="1" t="s">
        <v>464</v>
      </c>
      <c r="AU376" s="1">
        <v>2025.0</v>
      </c>
      <c r="AV376" s="1">
        <v>11.0</v>
      </c>
      <c r="AW376" s="1">
        <v>4.0</v>
      </c>
      <c r="AX376" s="1" t="s">
        <v>74</v>
      </c>
      <c r="AY376" s="1" t="s">
        <v>74</v>
      </c>
      <c r="AZ376" s="1" t="s">
        <v>74</v>
      </c>
      <c r="BA376" s="1" t="s">
        <v>74</v>
      </c>
      <c r="BB376" s="1">
        <v>2046.0</v>
      </c>
      <c r="BC376" s="1">
        <v>2060.0</v>
      </c>
      <c r="BD376" s="1" t="s">
        <v>74</v>
      </c>
      <c r="BE376" s="1" t="s">
        <v>3602</v>
      </c>
      <c r="BF376" s="2" t="str">
        <f>HYPERLINK("http://dx.doi.org/10.1109/TBDATA.2024.3522814","http://dx.doi.org/10.1109/TBDATA.2024.3522814")</f>
        <v>http://dx.doi.org/10.1109/TBDATA.2024.3522814</v>
      </c>
      <c r="BG376" s="1" t="s">
        <v>74</v>
      </c>
      <c r="BH376" s="1" t="s">
        <v>74</v>
      </c>
      <c r="BI376" s="1" t="s">
        <v>74</v>
      </c>
      <c r="BJ376" s="1" t="s">
        <v>74</v>
      </c>
      <c r="BK376" s="1" t="s">
        <v>74</v>
      </c>
      <c r="BL376" s="1" t="s">
        <v>174</v>
      </c>
      <c r="BM376" s="1" t="s">
        <v>74</v>
      </c>
      <c r="BN376" s="1" t="s">
        <v>74</v>
      </c>
      <c r="BO376" s="1" t="s">
        <v>74</v>
      </c>
      <c r="BP376" s="1" t="s">
        <v>74</v>
      </c>
      <c r="BQ376" s="1" t="s">
        <v>74</v>
      </c>
      <c r="BR376" s="1" t="s">
        <v>74</v>
      </c>
      <c r="BS376" s="1" t="s">
        <v>3603</v>
      </c>
      <c r="BT376" s="1" t="str">
        <f>HYPERLINK("https%3A%2F%2Fwww.webofscience.com%2Fwos%2Fwoscc%2Ffull-record%2FWOS:001561583300025","View Full Record in Web of Science")</f>
        <v>View Full Record in Web of Science</v>
      </c>
    </row>
    <row r="377" ht="12.75" customHeight="1">
      <c r="A377" s="1" t="s">
        <v>72</v>
      </c>
      <c r="B377" s="1" t="s">
        <v>3604</v>
      </c>
      <c r="C377" s="1" t="s">
        <v>74</v>
      </c>
      <c r="D377" s="1" t="s">
        <v>74</v>
      </c>
      <c r="E377" s="1" t="s">
        <v>74</v>
      </c>
      <c r="F377" s="1" t="s">
        <v>3605</v>
      </c>
      <c r="G377" s="1" t="s">
        <v>74</v>
      </c>
      <c r="H377" s="1" t="s">
        <v>74</v>
      </c>
      <c r="I377" s="1" t="s">
        <v>3606</v>
      </c>
      <c r="J377" s="1" t="s">
        <v>793</v>
      </c>
      <c r="K377" s="1" t="s">
        <v>74</v>
      </c>
      <c r="L377" s="1" t="s">
        <v>74</v>
      </c>
      <c r="M377" s="1" t="s">
        <v>74</v>
      </c>
      <c r="N377" s="1" t="s">
        <v>78</v>
      </c>
      <c r="O377" s="1" t="s">
        <v>74</v>
      </c>
      <c r="P377" s="1" t="s">
        <v>74</v>
      </c>
      <c r="Q377" s="1" t="s">
        <v>74</v>
      </c>
      <c r="R377" s="1" t="s">
        <v>74</v>
      </c>
      <c r="S377" s="1" t="s">
        <v>74</v>
      </c>
      <c r="T377" s="1" t="s">
        <v>3607</v>
      </c>
      <c r="U377" s="1" t="s">
        <v>3608</v>
      </c>
      <c r="V377" s="1" t="s">
        <v>3609</v>
      </c>
      <c r="W377" s="1" t="s">
        <v>74</v>
      </c>
      <c r="X377" s="1" t="s">
        <v>74</v>
      </c>
      <c r="Y377" s="1" t="s">
        <v>74</v>
      </c>
      <c r="Z377" s="1" t="s">
        <v>74</v>
      </c>
      <c r="AA377" s="1" t="s">
        <v>74</v>
      </c>
      <c r="AB377" s="1" t="s">
        <v>74</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797</v>
      </c>
      <c r="AP377" s="1" t="s">
        <v>74</v>
      </c>
      <c r="AQ377" s="1" t="s">
        <v>74</v>
      </c>
      <c r="AR377" s="1" t="s">
        <v>74</v>
      </c>
      <c r="AS377" s="1" t="s">
        <v>74</v>
      </c>
      <c r="AT377" s="1" t="s">
        <v>1458</v>
      </c>
      <c r="AU377" s="1">
        <v>2025.0</v>
      </c>
      <c r="AV377" s="1">
        <v>17.0</v>
      </c>
      <c r="AW377" s="1">
        <v>4.0</v>
      </c>
      <c r="AX377" s="1" t="s">
        <v>74</v>
      </c>
      <c r="AY377" s="1" t="s">
        <v>74</v>
      </c>
      <c r="AZ377" s="1" t="s">
        <v>74</v>
      </c>
      <c r="BA377" s="1" t="s">
        <v>74</v>
      </c>
      <c r="BB377" s="1" t="s">
        <v>74</v>
      </c>
      <c r="BC377" s="1" t="s">
        <v>74</v>
      </c>
      <c r="BD377" s="1">
        <v>138.0</v>
      </c>
      <c r="BE377" s="1" t="s">
        <v>3610</v>
      </c>
      <c r="BF377" s="2" t="str">
        <f>HYPERLINK("http://dx.doi.org/10.3390/fi17040138","http://dx.doi.org/10.3390/fi17040138")</f>
        <v>http://dx.doi.org/10.3390/fi17040138</v>
      </c>
      <c r="BG377" s="1" t="s">
        <v>74</v>
      </c>
      <c r="BH377" s="1" t="s">
        <v>74</v>
      </c>
      <c r="BI377" s="1" t="s">
        <v>74</v>
      </c>
      <c r="BJ377" s="1" t="s">
        <v>74</v>
      </c>
      <c r="BK377" s="1" t="s">
        <v>74</v>
      </c>
      <c r="BL377" s="1" t="s">
        <v>174</v>
      </c>
      <c r="BM377" s="1" t="s">
        <v>74</v>
      </c>
      <c r="BN377" s="1" t="s">
        <v>74</v>
      </c>
      <c r="BO377" s="1" t="s">
        <v>163</v>
      </c>
      <c r="BP377" s="1" t="s">
        <v>74</v>
      </c>
      <c r="BQ377" s="1" t="s">
        <v>74</v>
      </c>
      <c r="BR377" s="1" t="s">
        <v>74</v>
      </c>
      <c r="BS377" s="1" t="s">
        <v>3611</v>
      </c>
      <c r="BT377" s="1" t="str">
        <f>HYPERLINK("https%3A%2F%2Fwww.webofscience.com%2Fwos%2Fwoscc%2Ffull-record%2FWOS:001475222400001","View Full Record in Web of Science")</f>
        <v>View Full Record in Web of Science</v>
      </c>
    </row>
    <row r="378" ht="12.75" customHeight="1">
      <c r="A378" s="1" t="s">
        <v>72</v>
      </c>
      <c r="B378" s="1" t="s">
        <v>3612</v>
      </c>
      <c r="C378" s="1" t="s">
        <v>74</v>
      </c>
      <c r="D378" s="1" t="s">
        <v>74</v>
      </c>
      <c r="E378" s="1" t="s">
        <v>74</v>
      </c>
      <c r="F378" s="1" t="s">
        <v>3613</v>
      </c>
      <c r="G378" s="1" t="s">
        <v>74</v>
      </c>
      <c r="H378" s="1" t="s">
        <v>74</v>
      </c>
      <c r="I378" s="1" t="s">
        <v>3614</v>
      </c>
      <c r="J378" s="1" t="s">
        <v>2655</v>
      </c>
      <c r="K378" s="1" t="s">
        <v>74</v>
      </c>
      <c r="L378" s="1" t="s">
        <v>74</v>
      </c>
      <c r="M378" s="1" t="s">
        <v>74</v>
      </c>
      <c r="N378" s="1" t="s">
        <v>78</v>
      </c>
      <c r="O378" s="1" t="s">
        <v>74</v>
      </c>
      <c r="P378" s="1" t="s">
        <v>74</v>
      </c>
      <c r="Q378" s="1" t="s">
        <v>74</v>
      </c>
      <c r="R378" s="1" t="s">
        <v>74</v>
      </c>
      <c r="S378" s="1" t="s">
        <v>74</v>
      </c>
      <c r="T378" s="1" t="s">
        <v>3615</v>
      </c>
      <c r="U378" s="1" t="s">
        <v>3616</v>
      </c>
      <c r="V378" s="1" t="s">
        <v>3617</v>
      </c>
      <c r="W378" s="1" t="s">
        <v>74</v>
      </c>
      <c r="X378" s="1" t="s">
        <v>74</v>
      </c>
      <c r="Y378" s="1" t="s">
        <v>74</v>
      </c>
      <c r="Z378" s="1" t="s">
        <v>74</v>
      </c>
      <c r="AA378" s="1" t="s">
        <v>74</v>
      </c>
      <c r="AB378" s="1" t="s">
        <v>74</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2659</v>
      </c>
      <c r="AP378" s="1" t="s">
        <v>2660</v>
      </c>
      <c r="AQ378" s="1" t="s">
        <v>74</v>
      </c>
      <c r="AR378" s="1" t="s">
        <v>74</v>
      </c>
      <c r="AS378" s="1" t="s">
        <v>74</v>
      </c>
      <c r="AT378" s="1" t="s">
        <v>172</v>
      </c>
      <c r="AU378" s="1">
        <v>2025.0</v>
      </c>
      <c r="AV378" s="1">
        <v>203.0</v>
      </c>
      <c r="AW378" s="1" t="s">
        <v>74</v>
      </c>
      <c r="AX378" s="1" t="s">
        <v>74</v>
      </c>
      <c r="AY378" s="1" t="s">
        <v>74</v>
      </c>
      <c r="AZ378" s="1" t="s">
        <v>74</v>
      </c>
      <c r="BA378" s="1" t="s">
        <v>74</v>
      </c>
      <c r="BB378" s="1" t="s">
        <v>74</v>
      </c>
      <c r="BC378" s="1" t="s">
        <v>74</v>
      </c>
      <c r="BD378" s="1">
        <v>106026.0</v>
      </c>
      <c r="BE378" s="1" t="s">
        <v>3618</v>
      </c>
      <c r="BF378" s="2" t="str">
        <f>HYPERLINK("http://dx.doi.org/10.1016/j.ijmedinf.2025.106026","http://dx.doi.org/10.1016/j.ijmedinf.2025.106026")</f>
        <v>http://dx.doi.org/10.1016/j.ijmedinf.2025.106026</v>
      </c>
      <c r="BG378" s="1" t="s">
        <v>74</v>
      </c>
      <c r="BH378" s="1" t="s">
        <v>973</v>
      </c>
      <c r="BI378" s="1" t="s">
        <v>74</v>
      </c>
      <c r="BJ378" s="1" t="s">
        <v>74</v>
      </c>
      <c r="BK378" s="1" t="s">
        <v>74</v>
      </c>
      <c r="BL378" s="1" t="s">
        <v>1171</v>
      </c>
      <c r="BM378" s="1" t="s">
        <v>74</v>
      </c>
      <c r="BN378" s="1" t="s">
        <v>74</v>
      </c>
      <c r="BO378" s="1" t="s">
        <v>74</v>
      </c>
      <c r="BP378" s="1" t="s">
        <v>74</v>
      </c>
      <c r="BQ378" s="1" t="s">
        <v>74</v>
      </c>
      <c r="BR378" s="1" t="s">
        <v>74</v>
      </c>
      <c r="BS378" s="1" t="s">
        <v>3619</v>
      </c>
      <c r="BT378" s="1" t="str">
        <f>HYPERLINK("https%3A%2F%2Fwww.webofscience.com%2Fwos%2Fwoscc%2Ffull-record%2FWOS:001528681800001","View Full Record in Web of Science")</f>
        <v>View Full Record in Web of Science</v>
      </c>
    </row>
    <row r="379" ht="12.75" customHeight="1">
      <c r="A379" s="1" t="s">
        <v>72</v>
      </c>
      <c r="B379" s="1" t="s">
        <v>3620</v>
      </c>
      <c r="C379" s="1" t="s">
        <v>74</v>
      </c>
      <c r="D379" s="1" t="s">
        <v>74</v>
      </c>
      <c r="E379" s="1" t="s">
        <v>74</v>
      </c>
      <c r="F379" s="1" t="s">
        <v>3621</v>
      </c>
      <c r="G379" s="1" t="s">
        <v>74</v>
      </c>
      <c r="H379" s="1" t="s">
        <v>74</v>
      </c>
      <c r="I379" s="1" t="s">
        <v>3622</v>
      </c>
      <c r="J379" s="1" t="s">
        <v>1199</v>
      </c>
      <c r="K379" s="1" t="s">
        <v>74</v>
      </c>
      <c r="L379" s="1" t="s">
        <v>74</v>
      </c>
      <c r="M379" s="1" t="s">
        <v>74</v>
      </c>
      <c r="N379" s="1" t="s">
        <v>78</v>
      </c>
      <c r="O379" s="1" t="s">
        <v>74</v>
      </c>
      <c r="P379" s="1" t="s">
        <v>74</v>
      </c>
      <c r="Q379" s="1" t="s">
        <v>74</v>
      </c>
      <c r="R379" s="1" t="s">
        <v>74</v>
      </c>
      <c r="S379" s="1" t="s">
        <v>74</v>
      </c>
      <c r="T379" s="1" t="s">
        <v>3623</v>
      </c>
      <c r="U379" s="1" t="s">
        <v>74</v>
      </c>
      <c r="V379" s="1" t="s">
        <v>3624</v>
      </c>
      <c r="W379" s="1" t="s">
        <v>74</v>
      </c>
      <c r="X379" s="1" t="s">
        <v>74</v>
      </c>
      <c r="Y379" s="1" t="s">
        <v>74</v>
      </c>
      <c r="Z379" s="1" t="s">
        <v>74</v>
      </c>
      <c r="AA379" s="1" t="s">
        <v>74</v>
      </c>
      <c r="AB379" s="1" t="s">
        <v>74</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74</v>
      </c>
      <c r="AP379" s="1" t="s">
        <v>1202</v>
      </c>
      <c r="AQ379" s="1" t="s">
        <v>74</v>
      </c>
      <c r="AR379" s="1" t="s">
        <v>74</v>
      </c>
      <c r="AS379" s="1" t="s">
        <v>74</v>
      </c>
      <c r="AT379" s="1" t="s">
        <v>200</v>
      </c>
      <c r="AU379" s="1">
        <v>2024.0</v>
      </c>
      <c r="AV379" s="1">
        <v>17.0</v>
      </c>
      <c r="AW379" s="1">
        <v>12.0</v>
      </c>
      <c r="AX379" s="1" t="s">
        <v>74</v>
      </c>
      <c r="AY379" s="1" t="s">
        <v>74</v>
      </c>
      <c r="AZ379" s="1" t="s">
        <v>74</v>
      </c>
      <c r="BA379" s="1" t="s">
        <v>74</v>
      </c>
      <c r="BB379" s="1" t="s">
        <v>74</v>
      </c>
      <c r="BC379" s="1" t="s">
        <v>74</v>
      </c>
      <c r="BD379" s="1">
        <v>582.0</v>
      </c>
      <c r="BE379" s="1" t="s">
        <v>3625</v>
      </c>
      <c r="BF379" s="2" t="str">
        <f>HYPERLINK("http://dx.doi.org/10.3390/a17120582","http://dx.doi.org/10.3390/a17120582")</f>
        <v>http://dx.doi.org/10.3390/a17120582</v>
      </c>
      <c r="BG379" s="1" t="s">
        <v>74</v>
      </c>
      <c r="BH379" s="1" t="s">
        <v>74</v>
      </c>
      <c r="BI379" s="1" t="s">
        <v>74</v>
      </c>
      <c r="BJ379" s="1" t="s">
        <v>74</v>
      </c>
      <c r="BK379" s="1" t="s">
        <v>74</v>
      </c>
      <c r="BL379" s="1" t="s">
        <v>174</v>
      </c>
      <c r="BM379" s="1" t="s">
        <v>74</v>
      </c>
      <c r="BN379" s="1" t="s">
        <v>74</v>
      </c>
      <c r="BO379" s="1" t="s">
        <v>153</v>
      </c>
      <c r="BP379" s="1" t="s">
        <v>74</v>
      </c>
      <c r="BQ379" s="1" t="s">
        <v>74</v>
      </c>
      <c r="BR379" s="1" t="s">
        <v>74</v>
      </c>
      <c r="BS379" s="1" t="s">
        <v>3626</v>
      </c>
      <c r="BT379" s="1" t="str">
        <f>HYPERLINK("https%3A%2F%2Fwww.webofscience.com%2Fwos%2Fwoscc%2Ffull-record%2FWOS:001384096900001","View Full Record in Web of Science")</f>
        <v>View Full Record in Web of Science</v>
      </c>
    </row>
    <row r="380" ht="12.75" customHeight="1">
      <c r="A380" s="1" t="s">
        <v>72</v>
      </c>
      <c r="B380" s="1" t="s">
        <v>3627</v>
      </c>
      <c r="C380" s="1" t="s">
        <v>74</v>
      </c>
      <c r="D380" s="1" t="s">
        <v>74</v>
      </c>
      <c r="E380" s="1" t="s">
        <v>74</v>
      </c>
      <c r="F380" s="1" t="s">
        <v>3628</v>
      </c>
      <c r="G380" s="1" t="s">
        <v>74</v>
      </c>
      <c r="H380" s="1" t="s">
        <v>74</v>
      </c>
      <c r="I380" s="1" t="s">
        <v>3629</v>
      </c>
      <c r="J380" s="1" t="s">
        <v>2020</v>
      </c>
      <c r="K380" s="1" t="s">
        <v>74</v>
      </c>
      <c r="L380" s="1" t="s">
        <v>74</v>
      </c>
      <c r="M380" s="1" t="s">
        <v>74</v>
      </c>
      <c r="N380" s="1" t="s">
        <v>78</v>
      </c>
      <c r="O380" s="1" t="s">
        <v>74</v>
      </c>
      <c r="P380" s="1" t="s">
        <v>74</v>
      </c>
      <c r="Q380" s="1" t="s">
        <v>74</v>
      </c>
      <c r="R380" s="1" t="s">
        <v>74</v>
      </c>
      <c r="S380" s="1" t="s">
        <v>74</v>
      </c>
      <c r="T380" s="1" t="s">
        <v>3630</v>
      </c>
      <c r="U380" s="1" t="s">
        <v>74</v>
      </c>
      <c r="V380" s="1" t="s">
        <v>3631</v>
      </c>
      <c r="W380" s="1" t="s">
        <v>74</v>
      </c>
      <c r="X380" s="1" t="s">
        <v>74</v>
      </c>
      <c r="Y380" s="1" t="s">
        <v>74</v>
      </c>
      <c r="Z380" s="1" t="s">
        <v>74</v>
      </c>
      <c r="AA380" s="1" t="s">
        <v>74</v>
      </c>
      <c r="AB380" s="1" t="s">
        <v>74</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2023</v>
      </c>
      <c r="AP380" s="1" t="s">
        <v>2024</v>
      </c>
      <c r="AQ380" s="1" t="s">
        <v>74</v>
      </c>
      <c r="AR380" s="1" t="s">
        <v>74</v>
      </c>
      <c r="AS380" s="1" t="s">
        <v>74</v>
      </c>
      <c r="AT380" s="1" t="s">
        <v>688</v>
      </c>
      <c r="AU380" s="1">
        <v>2025.0</v>
      </c>
      <c r="AV380" s="1">
        <v>15.0</v>
      </c>
      <c r="AW380" s="1">
        <v>2.0</v>
      </c>
      <c r="AX380" s="1" t="s">
        <v>74</v>
      </c>
      <c r="AY380" s="1" t="s">
        <v>74</v>
      </c>
      <c r="AZ380" s="1" t="s">
        <v>74</v>
      </c>
      <c r="BA380" s="1" t="s">
        <v>74</v>
      </c>
      <c r="BB380" s="1">
        <v>115.0</v>
      </c>
      <c r="BC380" s="1">
        <v>146.0</v>
      </c>
      <c r="BD380" s="1" t="s">
        <v>74</v>
      </c>
      <c r="BE380" s="1" t="s">
        <v>3632</v>
      </c>
      <c r="BF380" s="2" t="str">
        <f>HYPERLINK("http://dx.doi.org/10.2478/jaiscr-2025-0007","http://dx.doi.org/10.2478/jaiscr-2025-0007")</f>
        <v>http://dx.doi.org/10.2478/jaiscr-2025-0007</v>
      </c>
      <c r="BG380" s="1" t="s">
        <v>74</v>
      </c>
      <c r="BH380" s="1" t="s">
        <v>74</v>
      </c>
      <c r="BI380" s="1" t="s">
        <v>74</v>
      </c>
      <c r="BJ380" s="1" t="s">
        <v>74</v>
      </c>
      <c r="BK380" s="1" t="s">
        <v>74</v>
      </c>
      <c r="BL380" s="1" t="s">
        <v>174</v>
      </c>
      <c r="BM380" s="1" t="s">
        <v>74</v>
      </c>
      <c r="BN380" s="1" t="s">
        <v>74</v>
      </c>
      <c r="BO380" s="1" t="s">
        <v>163</v>
      </c>
      <c r="BP380" s="1" t="s">
        <v>74</v>
      </c>
      <c r="BQ380" s="1" t="s">
        <v>74</v>
      </c>
      <c r="BR380" s="1" t="s">
        <v>74</v>
      </c>
      <c r="BS380" s="1" t="s">
        <v>3633</v>
      </c>
      <c r="BT380" s="1" t="str">
        <f>HYPERLINK("https%3A%2F%2Fwww.webofscience.com%2Fwos%2Fwoscc%2Ffull-record%2FWOS:001413658700002","View Full Record in Web of Science")</f>
        <v>View Full Record in Web of Science</v>
      </c>
    </row>
    <row r="381" ht="12.75" customHeight="1">
      <c r="A381" s="1" t="s">
        <v>72</v>
      </c>
      <c r="B381" s="1" t="s">
        <v>3634</v>
      </c>
      <c r="C381" s="1" t="s">
        <v>74</v>
      </c>
      <c r="D381" s="1" t="s">
        <v>74</v>
      </c>
      <c r="E381" s="1" t="s">
        <v>74</v>
      </c>
      <c r="F381" s="1" t="s">
        <v>3635</v>
      </c>
      <c r="G381" s="1" t="s">
        <v>74</v>
      </c>
      <c r="H381" s="1" t="s">
        <v>74</v>
      </c>
      <c r="I381" s="1" t="s">
        <v>3636</v>
      </c>
      <c r="J381" s="1" t="s">
        <v>281</v>
      </c>
      <c r="K381" s="1" t="s">
        <v>74</v>
      </c>
      <c r="L381" s="1" t="s">
        <v>74</v>
      </c>
      <c r="M381" s="1" t="s">
        <v>74</v>
      </c>
      <c r="N381" s="1" t="s">
        <v>78</v>
      </c>
      <c r="O381" s="1" t="s">
        <v>74</v>
      </c>
      <c r="P381" s="1" t="s">
        <v>74</v>
      </c>
      <c r="Q381" s="1" t="s">
        <v>74</v>
      </c>
      <c r="R381" s="1" t="s">
        <v>74</v>
      </c>
      <c r="S381" s="1" t="s">
        <v>74</v>
      </c>
      <c r="T381" s="1" t="s">
        <v>3637</v>
      </c>
      <c r="U381" s="1" t="s">
        <v>74</v>
      </c>
      <c r="V381" s="1" t="s">
        <v>3638</v>
      </c>
      <c r="W381" s="1" t="s">
        <v>74</v>
      </c>
      <c r="X381" s="1" t="s">
        <v>74</v>
      </c>
      <c r="Y381" s="1" t="s">
        <v>74</v>
      </c>
      <c r="Z381" s="1" t="s">
        <v>74</v>
      </c>
      <c r="AA381" s="1" t="s">
        <v>74</v>
      </c>
      <c r="AB381" s="1" t="s">
        <v>74</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285</v>
      </c>
      <c r="AP381" s="1" t="s">
        <v>286</v>
      </c>
      <c r="AQ381" s="1" t="s">
        <v>74</v>
      </c>
      <c r="AR381" s="1" t="s">
        <v>74</v>
      </c>
      <c r="AS381" s="1" t="s">
        <v>74</v>
      </c>
      <c r="AT381" s="1" t="s">
        <v>200</v>
      </c>
      <c r="AU381" s="1">
        <v>2025.0</v>
      </c>
      <c r="AV381" s="1">
        <v>32.0</v>
      </c>
      <c r="AW381" s="1">
        <v>12.0</v>
      </c>
      <c r="AX381" s="1" t="s">
        <v>74</v>
      </c>
      <c r="AY381" s="1" t="s">
        <v>74</v>
      </c>
      <c r="AZ381" s="1" t="s">
        <v>74</v>
      </c>
      <c r="BA381" s="1" t="s">
        <v>74</v>
      </c>
      <c r="BB381" s="1">
        <v>1793.0</v>
      </c>
      <c r="BC381" s="1">
        <v>1801.0</v>
      </c>
      <c r="BD381" s="1" t="s">
        <v>74</v>
      </c>
      <c r="BE381" s="1" t="s">
        <v>3639</v>
      </c>
      <c r="BF381" s="2" t="str">
        <f>HYPERLINK("http://dx.doi.org/10.1093/jamia/ocaf165","http://dx.doi.org/10.1093/jamia/ocaf165")</f>
        <v>http://dx.doi.org/10.1093/jamia/ocaf165</v>
      </c>
      <c r="BG381" s="1" t="s">
        <v>74</v>
      </c>
      <c r="BH381" s="1" t="s">
        <v>811</v>
      </c>
      <c r="BI381" s="1" t="s">
        <v>74</v>
      </c>
      <c r="BJ381" s="1" t="s">
        <v>74</v>
      </c>
      <c r="BK381" s="1" t="s">
        <v>74</v>
      </c>
      <c r="BL381" s="1" t="s">
        <v>291</v>
      </c>
      <c r="BM381" s="1" t="s">
        <v>74</v>
      </c>
      <c r="BN381" s="1" t="s">
        <v>74</v>
      </c>
      <c r="BO381" s="1" t="s">
        <v>114</v>
      </c>
      <c r="BP381" s="1" t="s">
        <v>74</v>
      </c>
      <c r="BQ381" s="1" t="s">
        <v>74</v>
      </c>
      <c r="BR381" s="1" t="s">
        <v>74</v>
      </c>
      <c r="BS381" s="1" t="s">
        <v>3640</v>
      </c>
      <c r="BT381" s="1" t="str">
        <f>HYPERLINK("https%3A%2F%2Fwww.webofscience.com%2Fwos%2Fwoscc%2Ffull-record%2FWOS:001591729800001","View Full Record in Web of Science")</f>
        <v>View Full Record in Web of Science</v>
      </c>
    </row>
    <row r="382" ht="12.75" customHeight="1">
      <c r="A382" s="1" t="s">
        <v>72</v>
      </c>
      <c r="B382" s="1" t="s">
        <v>3641</v>
      </c>
      <c r="C382" s="1" t="s">
        <v>74</v>
      </c>
      <c r="D382" s="1" t="s">
        <v>74</v>
      </c>
      <c r="E382" s="1" t="s">
        <v>74</v>
      </c>
      <c r="F382" s="1" t="s">
        <v>3642</v>
      </c>
      <c r="G382" s="1" t="s">
        <v>74</v>
      </c>
      <c r="H382" s="1" t="s">
        <v>74</v>
      </c>
      <c r="I382" s="1" t="s">
        <v>3643</v>
      </c>
      <c r="J382" s="1" t="s">
        <v>3497</v>
      </c>
      <c r="K382" s="1" t="s">
        <v>74</v>
      </c>
      <c r="L382" s="1" t="s">
        <v>74</v>
      </c>
      <c r="M382" s="1" t="s">
        <v>74</v>
      </c>
      <c r="N382" s="1" t="s">
        <v>78</v>
      </c>
      <c r="O382" s="1" t="s">
        <v>74</v>
      </c>
      <c r="P382" s="1" t="s">
        <v>74</v>
      </c>
      <c r="Q382" s="1" t="s">
        <v>74</v>
      </c>
      <c r="R382" s="1" t="s">
        <v>74</v>
      </c>
      <c r="S382" s="1" t="s">
        <v>74</v>
      </c>
      <c r="T382" s="1" t="s">
        <v>3644</v>
      </c>
      <c r="U382" s="1" t="s">
        <v>74</v>
      </c>
      <c r="V382" s="1" t="s">
        <v>3645</v>
      </c>
      <c r="W382" s="1" t="s">
        <v>74</v>
      </c>
      <c r="X382" s="1" t="s">
        <v>74</v>
      </c>
      <c r="Y382" s="1" t="s">
        <v>74</v>
      </c>
      <c r="Z382" s="1" t="s">
        <v>74</v>
      </c>
      <c r="AA382" s="1" t="s">
        <v>74</v>
      </c>
      <c r="AB382" s="1" t="s">
        <v>74</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3500</v>
      </c>
      <c r="AP382" s="1" t="s">
        <v>3501</v>
      </c>
      <c r="AQ382" s="1" t="s">
        <v>74</v>
      </c>
      <c r="AR382" s="1" t="s">
        <v>74</v>
      </c>
      <c r="AS382" s="1" t="s">
        <v>74</v>
      </c>
      <c r="AT382" s="1" t="s">
        <v>464</v>
      </c>
      <c r="AU382" s="1">
        <v>2025.0</v>
      </c>
      <c r="AV382" s="1">
        <v>188.0</v>
      </c>
      <c r="AW382" s="1" t="s">
        <v>74</v>
      </c>
      <c r="AX382" s="1" t="s">
        <v>74</v>
      </c>
      <c r="AY382" s="1" t="s">
        <v>74</v>
      </c>
      <c r="AZ382" s="1" t="s">
        <v>74</v>
      </c>
      <c r="BA382" s="1" t="s">
        <v>74</v>
      </c>
      <c r="BB382" s="1" t="s">
        <v>74</v>
      </c>
      <c r="BC382" s="1" t="s">
        <v>74</v>
      </c>
      <c r="BD382" s="1">
        <v>107496.0</v>
      </c>
      <c r="BE382" s="1" t="s">
        <v>3646</v>
      </c>
      <c r="BF382" s="2" t="str">
        <f>HYPERLINK("http://dx.doi.org/10.1016/j.neunet.2025.107496","http://dx.doi.org/10.1016/j.neunet.2025.107496")</f>
        <v>http://dx.doi.org/10.1016/j.neunet.2025.107496</v>
      </c>
      <c r="BG382" s="1" t="s">
        <v>74</v>
      </c>
      <c r="BH382" s="1" t="s">
        <v>1150</v>
      </c>
      <c r="BI382" s="1" t="s">
        <v>74</v>
      </c>
      <c r="BJ382" s="1" t="s">
        <v>74</v>
      </c>
      <c r="BK382" s="1" t="s">
        <v>74</v>
      </c>
      <c r="BL382" s="1" t="s">
        <v>1460</v>
      </c>
      <c r="BM382" s="1" t="s">
        <v>74</v>
      </c>
      <c r="BN382" s="1" t="s">
        <v>74</v>
      </c>
      <c r="BO382" s="1" t="s">
        <v>74</v>
      </c>
      <c r="BP382" s="1" t="s">
        <v>74</v>
      </c>
      <c r="BQ382" s="1" t="s">
        <v>74</v>
      </c>
      <c r="BR382" s="1" t="s">
        <v>74</v>
      </c>
      <c r="BS382" s="1" t="s">
        <v>3647</v>
      </c>
      <c r="BT382" s="1" t="str">
        <f>HYPERLINK("https%3A%2F%2Fwww.webofscience.com%2Fwos%2Fwoscc%2Ffull-record%2FWOS:001489014000001","View Full Record in Web of Science")</f>
        <v>View Full Record in Web of Science</v>
      </c>
    </row>
    <row r="383" ht="12.75" customHeight="1">
      <c r="A383" s="1" t="s">
        <v>72</v>
      </c>
      <c r="B383" s="1" t="s">
        <v>3648</v>
      </c>
      <c r="C383" s="1" t="s">
        <v>74</v>
      </c>
      <c r="D383" s="1" t="s">
        <v>74</v>
      </c>
      <c r="E383" s="1" t="s">
        <v>74</v>
      </c>
      <c r="F383" s="1" t="s">
        <v>3649</v>
      </c>
      <c r="G383" s="1" t="s">
        <v>74</v>
      </c>
      <c r="H383" s="1" t="s">
        <v>74</v>
      </c>
      <c r="I383" s="1" t="s">
        <v>3650</v>
      </c>
      <c r="J383" s="1" t="s">
        <v>281</v>
      </c>
      <c r="K383" s="1" t="s">
        <v>74</v>
      </c>
      <c r="L383" s="1" t="s">
        <v>74</v>
      </c>
      <c r="M383" s="1" t="s">
        <v>74</v>
      </c>
      <c r="N383" s="1" t="s">
        <v>78</v>
      </c>
      <c r="O383" s="1" t="s">
        <v>74</v>
      </c>
      <c r="P383" s="1" t="s">
        <v>74</v>
      </c>
      <c r="Q383" s="1" t="s">
        <v>74</v>
      </c>
      <c r="R383" s="1" t="s">
        <v>74</v>
      </c>
      <c r="S383" s="1" t="s">
        <v>74</v>
      </c>
      <c r="T383" s="1" t="s">
        <v>3651</v>
      </c>
      <c r="U383" s="1" t="s">
        <v>74</v>
      </c>
      <c r="V383" s="1" t="s">
        <v>3652</v>
      </c>
      <c r="W383" s="1" t="s">
        <v>74</v>
      </c>
      <c r="X383" s="1" t="s">
        <v>74</v>
      </c>
      <c r="Y383" s="1" t="s">
        <v>74</v>
      </c>
      <c r="Z383" s="1" t="s">
        <v>74</v>
      </c>
      <c r="AA383" s="1" t="s">
        <v>74</v>
      </c>
      <c r="AB383" s="1" t="s">
        <v>74</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285</v>
      </c>
      <c r="AP383" s="1" t="s">
        <v>286</v>
      </c>
      <c r="AQ383" s="1" t="s">
        <v>74</v>
      </c>
      <c r="AR383" s="1" t="s">
        <v>74</v>
      </c>
      <c r="AS383" s="1" t="s">
        <v>74</v>
      </c>
      <c r="AT383" s="1" t="s">
        <v>3169</v>
      </c>
      <c r="AU383" s="1">
        <v>2024.0</v>
      </c>
      <c r="AV383" s="1">
        <v>31.0</v>
      </c>
      <c r="AW383" s="1">
        <v>9.0</v>
      </c>
      <c r="AX383" s="1" t="s">
        <v>74</v>
      </c>
      <c r="AY383" s="1" t="s">
        <v>74</v>
      </c>
      <c r="AZ383" s="1" t="s">
        <v>74</v>
      </c>
      <c r="BA383" s="1" t="s">
        <v>74</v>
      </c>
      <c r="BB383" s="1">
        <v>2047.0</v>
      </c>
      <c r="BC383" s="1">
        <v>2053.0</v>
      </c>
      <c r="BD383" s="1" t="s">
        <v>74</v>
      </c>
      <c r="BE383" s="1" t="s">
        <v>3653</v>
      </c>
      <c r="BF383" s="2" t="str">
        <f>HYPERLINK("http://dx.doi.org/10.1093/jamia/ocae057","http://dx.doi.org/10.1093/jamia/ocae057")</f>
        <v>http://dx.doi.org/10.1093/jamia/ocae057</v>
      </c>
      <c r="BG383" s="1" t="s">
        <v>74</v>
      </c>
      <c r="BH383" s="1" t="s">
        <v>86</v>
      </c>
      <c r="BI383" s="1" t="s">
        <v>74</v>
      </c>
      <c r="BJ383" s="1" t="s">
        <v>74</v>
      </c>
      <c r="BK383" s="1" t="s">
        <v>74</v>
      </c>
      <c r="BL383" s="1" t="s">
        <v>291</v>
      </c>
      <c r="BM383" s="1" t="s">
        <v>74</v>
      </c>
      <c r="BN383" s="1" t="s">
        <v>74</v>
      </c>
      <c r="BO383" s="1" t="s">
        <v>127</v>
      </c>
      <c r="BP383" s="1" t="s">
        <v>74</v>
      </c>
      <c r="BQ383" s="1" t="s">
        <v>74</v>
      </c>
      <c r="BR383" s="1" t="s">
        <v>74</v>
      </c>
      <c r="BS383" s="1" t="s">
        <v>3654</v>
      </c>
      <c r="BT383" s="1" t="str">
        <f>HYPERLINK("https%3A%2F%2Fwww.webofscience.com%2Fwos%2Fwoscc%2Ffull-record%2FWOS:001190107600001","View Full Record in Web of Science")</f>
        <v>View Full Record in Web of Science</v>
      </c>
    </row>
    <row r="384" ht="12.75" customHeight="1">
      <c r="A384" s="1" t="s">
        <v>72</v>
      </c>
      <c r="B384" s="1" t="s">
        <v>3655</v>
      </c>
      <c r="C384" s="1" t="s">
        <v>74</v>
      </c>
      <c r="D384" s="1" t="s">
        <v>74</v>
      </c>
      <c r="E384" s="1" t="s">
        <v>74</v>
      </c>
      <c r="F384" s="1" t="s">
        <v>3656</v>
      </c>
      <c r="G384" s="1" t="s">
        <v>74</v>
      </c>
      <c r="H384" s="1" t="s">
        <v>74</v>
      </c>
      <c r="I384" s="1" t="s">
        <v>3657</v>
      </c>
      <c r="J384" s="1" t="s">
        <v>793</v>
      </c>
      <c r="K384" s="1" t="s">
        <v>74</v>
      </c>
      <c r="L384" s="1" t="s">
        <v>74</v>
      </c>
      <c r="M384" s="1" t="s">
        <v>74</v>
      </c>
      <c r="N384" s="1" t="s">
        <v>78</v>
      </c>
      <c r="O384" s="1" t="s">
        <v>74</v>
      </c>
      <c r="P384" s="1" t="s">
        <v>74</v>
      </c>
      <c r="Q384" s="1" t="s">
        <v>74</v>
      </c>
      <c r="R384" s="1" t="s">
        <v>74</v>
      </c>
      <c r="S384" s="1" t="s">
        <v>74</v>
      </c>
      <c r="T384" s="1" t="s">
        <v>3658</v>
      </c>
      <c r="U384" s="1" t="s">
        <v>3659</v>
      </c>
      <c r="V384" s="1" t="s">
        <v>3660</v>
      </c>
      <c r="W384" s="1" t="s">
        <v>74</v>
      </c>
      <c r="X384" s="1" t="s">
        <v>74</v>
      </c>
      <c r="Y384" s="1" t="s">
        <v>74</v>
      </c>
      <c r="Z384" s="1" t="s">
        <v>74</v>
      </c>
      <c r="AA384" s="1" t="s">
        <v>74</v>
      </c>
      <c r="AB384" s="1" t="s">
        <v>74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797</v>
      </c>
      <c r="AP384" s="1" t="s">
        <v>74</v>
      </c>
      <c r="AQ384" s="1" t="s">
        <v>74</v>
      </c>
      <c r="AR384" s="1" t="s">
        <v>74</v>
      </c>
      <c r="AS384" s="1" t="s">
        <v>74</v>
      </c>
      <c r="AT384" s="1" t="s">
        <v>3661</v>
      </c>
      <c r="AU384" s="1">
        <v>2025.0</v>
      </c>
      <c r="AV384" s="1">
        <v>17.0</v>
      </c>
      <c r="AW384" s="1">
        <v>9.0</v>
      </c>
      <c r="AX384" s="1" t="s">
        <v>74</v>
      </c>
      <c r="AY384" s="1" t="s">
        <v>74</v>
      </c>
      <c r="AZ384" s="1" t="s">
        <v>74</v>
      </c>
      <c r="BA384" s="1" t="s">
        <v>74</v>
      </c>
      <c r="BB384" s="1" t="s">
        <v>74</v>
      </c>
      <c r="BC384" s="1" t="s">
        <v>74</v>
      </c>
      <c r="BD384" s="1">
        <v>407.0</v>
      </c>
      <c r="BE384" s="1" t="s">
        <v>3662</v>
      </c>
      <c r="BF384" s="2" t="str">
        <f>HYPERLINK("http://dx.doi.org/10.3390/fi17090407","http://dx.doi.org/10.3390/fi17090407")</f>
        <v>http://dx.doi.org/10.3390/fi17090407</v>
      </c>
      <c r="BG384" s="1" t="s">
        <v>74</v>
      </c>
      <c r="BH384" s="1" t="s">
        <v>74</v>
      </c>
      <c r="BI384" s="1" t="s">
        <v>74</v>
      </c>
      <c r="BJ384" s="1" t="s">
        <v>74</v>
      </c>
      <c r="BK384" s="1" t="s">
        <v>74</v>
      </c>
      <c r="BL384" s="1" t="s">
        <v>174</v>
      </c>
      <c r="BM384" s="1" t="s">
        <v>74</v>
      </c>
      <c r="BN384" s="1" t="s">
        <v>74</v>
      </c>
      <c r="BO384" s="1" t="s">
        <v>163</v>
      </c>
      <c r="BP384" s="1" t="s">
        <v>74</v>
      </c>
      <c r="BQ384" s="1" t="s">
        <v>74</v>
      </c>
      <c r="BR384" s="1" t="s">
        <v>74</v>
      </c>
      <c r="BS384" s="1" t="s">
        <v>3663</v>
      </c>
      <c r="BT384" s="1" t="str">
        <f>HYPERLINK("https%3A%2F%2Fwww.webofscience.com%2Fwos%2Fwoscc%2Ffull-record%2FWOS:001580864100001","View Full Record in Web of Science")</f>
        <v>View Full Record in Web of Science</v>
      </c>
    </row>
    <row r="385" ht="12.75" customHeight="1">
      <c r="A385" s="1" t="s">
        <v>72</v>
      </c>
      <c r="B385" s="1" t="s">
        <v>3664</v>
      </c>
      <c r="C385" s="1" t="s">
        <v>74</v>
      </c>
      <c r="D385" s="1" t="s">
        <v>74</v>
      </c>
      <c r="E385" s="1" t="s">
        <v>74</v>
      </c>
      <c r="F385" s="1" t="s">
        <v>3665</v>
      </c>
      <c r="G385" s="1" t="s">
        <v>74</v>
      </c>
      <c r="H385" s="1" t="s">
        <v>74</v>
      </c>
      <c r="I385" s="1" t="s">
        <v>3666</v>
      </c>
      <c r="J385" s="1" t="s">
        <v>3667</v>
      </c>
      <c r="K385" s="1" t="s">
        <v>74</v>
      </c>
      <c r="L385" s="1" t="s">
        <v>74</v>
      </c>
      <c r="M385" s="1" t="s">
        <v>74</v>
      </c>
      <c r="N385" s="1" t="s">
        <v>78</v>
      </c>
      <c r="O385" s="1" t="s">
        <v>74</v>
      </c>
      <c r="P385" s="1" t="s">
        <v>74</v>
      </c>
      <c r="Q385" s="1" t="s">
        <v>74</v>
      </c>
      <c r="R385" s="1" t="s">
        <v>74</v>
      </c>
      <c r="S385" s="1" t="s">
        <v>74</v>
      </c>
      <c r="T385" s="1" t="s">
        <v>3668</v>
      </c>
      <c r="U385" s="1" t="s">
        <v>3669</v>
      </c>
      <c r="V385" s="1" t="s">
        <v>3670</v>
      </c>
      <c r="W385" s="1" t="s">
        <v>74</v>
      </c>
      <c r="X385" s="1" t="s">
        <v>74</v>
      </c>
      <c r="Y385" s="1" t="s">
        <v>74</v>
      </c>
      <c r="Z385" s="1" t="s">
        <v>74</v>
      </c>
      <c r="AA385" s="1" t="s">
        <v>74</v>
      </c>
      <c r="AB385" s="1" t="s">
        <v>74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3671</v>
      </c>
      <c r="AP385" s="1" t="s">
        <v>74</v>
      </c>
      <c r="AQ385" s="1" t="s">
        <v>74</v>
      </c>
      <c r="AR385" s="1" t="s">
        <v>74</v>
      </c>
      <c r="AS385" s="1" t="s">
        <v>74</v>
      </c>
      <c r="AT385" s="1" t="s">
        <v>74</v>
      </c>
      <c r="AU385" s="1">
        <v>2024.0</v>
      </c>
      <c r="AV385" s="1">
        <v>17.0</v>
      </c>
      <c r="AW385" s="1" t="s">
        <v>74</v>
      </c>
      <c r="AX385" s="1" t="s">
        <v>74</v>
      </c>
      <c r="AY385" s="1" t="s">
        <v>74</v>
      </c>
      <c r="AZ385" s="1" t="s">
        <v>74</v>
      </c>
      <c r="BA385" s="1" t="s">
        <v>74</v>
      </c>
      <c r="BB385" s="1">
        <v>1639.0</v>
      </c>
      <c r="BC385" s="1">
        <v>1654.0</v>
      </c>
      <c r="BD385" s="1" t="s">
        <v>74</v>
      </c>
      <c r="BE385" s="1" t="s">
        <v>3672</v>
      </c>
      <c r="BF385" s="2" t="str">
        <f>HYPERLINK("http://dx.doi.org/10.1109/TLT.2024.3396735","http://dx.doi.org/10.1109/TLT.2024.3396735")</f>
        <v>http://dx.doi.org/10.1109/TLT.2024.3396735</v>
      </c>
      <c r="BG385" s="1" t="s">
        <v>74</v>
      </c>
      <c r="BH385" s="1" t="s">
        <v>74</v>
      </c>
      <c r="BI385" s="1" t="s">
        <v>74</v>
      </c>
      <c r="BJ385" s="1" t="s">
        <v>74</v>
      </c>
      <c r="BK385" s="1" t="s">
        <v>74</v>
      </c>
      <c r="BL385" s="1" t="s">
        <v>2404</v>
      </c>
      <c r="BM385" s="1" t="s">
        <v>74</v>
      </c>
      <c r="BN385" s="1" t="s">
        <v>74</v>
      </c>
      <c r="BO385" s="1" t="s">
        <v>74</v>
      </c>
      <c r="BP385" s="1" t="s">
        <v>74</v>
      </c>
      <c r="BQ385" s="1" t="s">
        <v>74</v>
      </c>
      <c r="BR385" s="1" t="s">
        <v>74</v>
      </c>
      <c r="BS385" s="1" t="s">
        <v>3673</v>
      </c>
      <c r="BT385" s="1" t="str">
        <f>HYPERLINK("https%3A%2F%2Fwww.webofscience.com%2Fwos%2Fwoscc%2Ffull-record%2FWOS:001235546700003","View Full Record in Web of Science")</f>
        <v>View Full Record in Web of Science</v>
      </c>
    </row>
    <row r="386" ht="12.75" customHeight="1">
      <c r="A386" s="1" t="s">
        <v>72</v>
      </c>
      <c r="B386" s="1" t="s">
        <v>3674</v>
      </c>
      <c r="C386" s="1" t="s">
        <v>74</v>
      </c>
      <c r="D386" s="1" t="s">
        <v>74</v>
      </c>
      <c r="E386" s="1" t="s">
        <v>74</v>
      </c>
      <c r="F386" s="1" t="s">
        <v>3675</v>
      </c>
      <c r="G386" s="1" t="s">
        <v>74</v>
      </c>
      <c r="H386" s="1" t="s">
        <v>74</v>
      </c>
      <c r="I386" s="1" t="s">
        <v>3676</v>
      </c>
      <c r="J386" s="1" t="s">
        <v>2481</v>
      </c>
      <c r="K386" s="1" t="s">
        <v>74</v>
      </c>
      <c r="L386" s="1" t="s">
        <v>74</v>
      </c>
      <c r="M386" s="1" t="s">
        <v>74</v>
      </c>
      <c r="N386" s="1" t="s">
        <v>78</v>
      </c>
      <c r="O386" s="1" t="s">
        <v>74</v>
      </c>
      <c r="P386" s="1" t="s">
        <v>74</v>
      </c>
      <c r="Q386" s="1" t="s">
        <v>74</v>
      </c>
      <c r="R386" s="1" t="s">
        <v>74</v>
      </c>
      <c r="S386" s="1" t="s">
        <v>74</v>
      </c>
      <c r="T386" s="1" t="s">
        <v>3677</v>
      </c>
      <c r="U386" s="1" t="s">
        <v>74</v>
      </c>
      <c r="V386" s="1" t="s">
        <v>3678</v>
      </c>
      <c r="W386" s="1" t="s">
        <v>74</v>
      </c>
      <c r="X386" s="1" t="s">
        <v>74</v>
      </c>
      <c r="Y386" s="1" t="s">
        <v>74</v>
      </c>
      <c r="Z386" s="1" t="s">
        <v>74</v>
      </c>
      <c r="AA386" s="1" t="s">
        <v>74</v>
      </c>
      <c r="AB386" s="1" t="s">
        <v>74</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74</v>
      </c>
      <c r="AP386" s="1" t="s">
        <v>3679</v>
      </c>
      <c r="AQ386" s="1" t="s">
        <v>74</v>
      </c>
      <c r="AR386" s="1" t="s">
        <v>74</v>
      </c>
      <c r="AS386" s="1" t="s">
        <v>74</v>
      </c>
      <c r="AT386" s="1" t="s">
        <v>3680</v>
      </c>
      <c r="AU386" s="1">
        <v>2025.0</v>
      </c>
      <c r="AV386" s="1">
        <v>5.0</v>
      </c>
      <c r="AW386" s="1">
        <v>3.0</v>
      </c>
      <c r="AX386" s="1" t="s">
        <v>74</v>
      </c>
      <c r="AY386" s="1" t="s">
        <v>74</v>
      </c>
      <c r="AZ386" s="1" t="s">
        <v>74</v>
      </c>
      <c r="BA386" s="1" t="s">
        <v>74</v>
      </c>
      <c r="BB386" s="1" t="s">
        <v>74</v>
      </c>
      <c r="BC386" s="1" t="s">
        <v>74</v>
      </c>
      <c r="BD386" s="1">
        <v>39.0</v>
      </c>
      <c r="BE386" s="1" t="s">
        <v>3681</v>
      </c>
      <c r="BF386" s="2" t="str">
        <f>HYPERLINK("http://dx.doi.org/10.3390/network5030039","http://dx.doi.org/10.3390/network5030039")</f>
        <v>http://dx.doi.org/10.3390/network5030039</v>
      </c>
      <c r="BG386" s="1" t="s">
        <v>74</v>
      </c>
      <c r="BH386" s="1" t="s">
        <v>74</v>
      </c>
      <c r="BI386" s="1" t="s">
        <v>74</v>
      </c>
      <c r="BJ386" s="1" t="s">
        <v>74</v>
      </c>
      <c r="BK386" s="1" t="s">
        <v>74</v>
      </c>
      <c r="BL386" s="1" t="s">
        <v>394</v>
      </c>
      <c r="BM386" s="1" t="s">
        <v>74</v>
      </c>
      <c r="BN386" s="1" t="s">
        <v>74</v>
      </c>
      <c r="BO386" s="1" t="s">
        <v>163</v>
      </c>
      <c r="BP386" s="1" t="s">
        <v>74</v>
      </c>
      <c r="BQ386" s="1" t="s">
        <v>74</v>
      </c>
      <c r="BR386" s="1" t="s">
        <v>74</v>
      </c>
      <c r="BS386" s="1" t="s">
        <v>3682</v>
      </c>
      <c r="BT386" s="1" t="str">
        <f>HYPERLINK("https%3A%2F%2Fwww.webofscience.com%2Fwos%2Fwoscc%2Ffull-record%2FWOS:001580761500001","View Full Record in Web of Science")</f>
        <v>View Full Record in Web of Science</v>
      </c>
    </row>
    <row r="387" ht="12.75" customHeight="1">
      <c r="A387" s="1" t="s">
        <v>72</v>
      </c>
      <c r="B387" s="1" t="s">
        <v>3683</v>
      </c>
      <c r="C387" s="1" t="s">
        <v>74</v>
      </c>
      <c r="D387" s="1" t="s">
        <v>74</v>
      </c>
      <c r="E387" s="1" t="s">
        <v>74</v>
      </c>
      <c r="F387" s="1" t="s">
        <v>3684</v>
      </c>
      <c r="G387" s="1" t="s">
        <v>74</v>
      </c>
      <c r="H387" s="1" t="s">
        <v>74</v>
      </c>
      <c r="I387" s="1" t="s">
        <v>3685</v>
      </c>
      <c r="J387" s="1" t="s">
        <v>966</v>
      </c>
      <c r="K387" s="1" t="s">
        <v>74</v>
      </c>
      <c r="L387" s="1" t="s">
        <v>74</v>
      </c>
      <c r="M387" s="1" t="s">
        <v>74</v>
      </c>
      <c r="N387" s="1" t="s">
        <v>78</v>
      </c>
      <c r="O387" s="1" t="s">
        <v>74</v>
      </c>
      <c r="P387" s="1" t="s">
        <v>74</v>
      </c>
      <c r="Q387" s="1" t="s">
        <v>74</v>
      </c>
      <c r="R387" s="1" t="s">
        <v>74</v>
      </c>
      <c r="S387" s="1" t="s">
        <v>74</v>
      </c>
      <c r="T387" s="1" t="s">
        <v>3686</v>
      </c>
      <c r="U387" s="1" t="s">
        <v>74</v>
      </c>
      <c r="V387" s="1" t="s">
        <v>3687</v>
      </c>
      <c r="W387" s="1" t="s">
        <v>74</v>
      </c>
      <c r="X387" s="1" t="s">
        <v>74</v>
      </c>
      <c r="Y387" s="1" t="s">
        <v>74</v>
      </c>
      <c r="Z387" s="1" t="s">
        <v>74</v>
      </c>
      <c r="AA387" s="1" t="s">
        <v>74</v>
      </c>
      <c r="AB387" s="1" t="s">
        <v>74</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969</v>
      </c>
      <c r="AP387" s="1" t="s">
        <v>970</v>
      </c>
      <c r="AQ387" s="1" t="s">
        <v>74</v>
      </c>
      <c r="AR387" s="1" t="s">
        <v>74</v>
      </c>
      <c r="AS387" s="1" t="s">
        <v>74</v>
      </c>
      <c r="AT387" s="1" t="s">
        <v>3009</v>
      </c>
      <c r="AU387" s="1">
        <v>2025.0</v>
      </c>
      <c r="AV387" s="1">
        <v>330.0</v>
      </c>
      <c r="AW387" s="1" t="s">
        <v>74</v>
      </c>
      <c r="AX387" s="1" t="s">
        <v>1409</v>
      </c>
      <c r="AY387" s="1" t="s">
        <v>74</v>
      </c>
      <c r="AZ387" s="1" t="s">
        <v>74</v>
      </c>
      <c r="BA387" s="1" t="s">
        <v>74</v>
      </c>
      <c r="BB387" s="1" t="s">
        <v>74</v>
      </c>
      <c r="BC387" s="1" t="s">
        <v>74</v>
      </c>
      <c r="BD387" s="1">
        <v>114524.0</v>
      </c>
      <c r="BE387" s="1" t="s">
        <v>3688</v>
      </c>
      <c r="BF387" s="2" t="str">
        <f>HYPERLINK("http://dx.doi.org/10.1016/j.knosys.2025.114524","http://dx.doi.org/10.1016/j.knosys.2025.114524")</f>
        <v>http://dx.doi.org/10.1016/j.knosys.2025.114524</v>
      </c>
      <c r="BG387" s="1" t="s">
        <v>74</v>
      </c>
      <c r="BH387" s="1" t="s">
        <v>811</v>
      </c>
      <c r="BI387" s="1" t="s">
        <v>74</v>
      </c>
      <c r="BJ387" s="1" t="s">
        <v>74</v>
      </c>
      <c r="BK387" s="1" t="s">
        <v>74</v>
      </c>
      <c r="BL387" s="1" t="s">
        <v>174</v>
      </c>
      <c r="BM387" s="1" t="s">
        <v>74</v>
      </c>
      <c r="BN387" s="1" t="s">
        <v>74</v>
      </c>
      <c r="BO387" s="1" t="s">
        <v>74</v>
      </c>
      <c r="BP387" s="1" t="s">
        <v>74</v>
      </c>
      <c r="BQ387" s="1" t="s">
        <v>74</v>
      </c>
      <c r="BR387" s="1" t="s">
        <v>74</v>
      </c>
      <c r="BS387" s="1" t="s">
        <v>3689</v>
      </c>
      <c r="BT387" s="1" t="str">
        <f>HYPERLINK("https%3A%2F%2Fwww.webofscience.com%2Fwos%2Fwoscc%2Ffull-record%2FWOS:001589482700007","View Full Record in Web of Science")</f>
        <v>View Full Record in Web of Science</v>
      </c>
    </row>
    <row r="388" ht="12.75" customHeight="1">
      <c r="A388" s="1" t="s">
        <v>72</v>
      </c>
      <c r="B388" s="1" t="s">
        <v>3690</v>
      </c>
      <c r="C388" s="1" t="s">
        <v>74</v>
      </c>
      <c r="D388" s="1" t="s">
        <v>74</v>
      </c>
      <c r="E388" s="1" t="s">
        <v>74</v>
      </c>
      <c r="F388" s="1" t="s">
        <v>3691</v>
      </c>
      <c r="G388" s="1" t="s">
        <v>74</v>
      </c>
      <c r="H388" s="1" t="s">
        <v>74</v>
      </c>
      <c r="I388" s="1" t="s">
        <v>3692</v>
      </c>
      <c r="J388" s="1" t="s">
        <v>588</v>
      </c>
      <c r="K388" s="1" t="s">
        <v>74</v>
      </c>
      <c r="L388" s="1" t="s">
        <v>74</v>
      </c>
      <c r="M388" s="1" t="s">
        <v>74</v>
      </c>
      <c r="N388" s="1" t="s">
        <v>78</v>
      </c>
      <c r="O388" s="1" t="s">
        <v>74</v>
      </c>
      <c r="P388" s="1" t="s">
        <v>74</v>
      </c>
      <c r="Q388" s="1" t="s">
        <v>74</v>
      </c>
      <c r="R388" s="1" t="s">
        <v>74</v>
      </c>
      <c r="S388" s="1" t="s">
        <v>74</v>
      </c>
      <c r="T388" s="1" t="s">
        <v>3693</v>
      </c>
      <c r="U388" s="1" t="s">
        <v>74</v>
      </c>
      <c r="V388" s="1" t="s">
        <v>3694</v>
      </c>
      <c r="W388" s="1" t="s">
        <v>74</v>
      </c>
      <c r="X388" s="1" t="s">
        <v>74</v>
      </c>
      <c r="Y388" s="1" t="s">
        <v>74</v>
      </c>
      <c r="Z388" s="1" t="s">
        <v>74</v>
      </c>
      <c r="AA388" s="1" t="s">
        <v>74</v>
      </c>
      <c r="AB388" s="1" t="s">
        <v>74</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592</v>
      </c>
      <c r="AP388" s="1" t="s">
        <v>593</v>
      </c>
      <c r="AQ388" s="1" t="s">
        <v>74</v>
      </c>
      <c r="AR388" s="1" t="s">
        <v>74</v>
      </c>
      <c r="AS388" s="1" t="s">
        <v>74</v>
      </c>
      <c r="AT388" s="1" t="s">
        <v>3695</v>
      </c>
      <c r="AU388" s="1">
        <v>2025.0</v>
      </c>
      <c r="AV388" s="1">
        <v>41.0</v>
      </c>
      <c r="AW388" s="1">
        <v>23.0</v>
      </c>
      <c r="AX388" s="1" t="s">
        <v>74</v>
      </c>
      <c r="AY388" s="1" t="s">
        <v>74</v>
      </c>
      <c r="AZ388" s="1" t="s">
        <v>74</v>
      </c>
      <c r="BA388" s="1" t="s">
        <v>74</v>
      </c>
      <c r="BB388" s="1">
        <v>15169.0</v>
      </c>
      <c r="BC388" s="1">
        <v>15178.0</v>
      </c>
      <c r="BD388" s="1" t="s">
        <v>74</v>
      </c>
      <c r="BE388" s="1" t="s">
        <v>3696</v>
      </c>
      <c r="BF388" s="2" t="str">
        <f>HYPERLINK("http://dx.doi.org/10.1080/10447318.2025.2495117","http://dx.doi.org/10.1080/10447318.2025.2495117")</f>
        <v>http://dx.doi.org/10.1080/10447318.2025.2495117</v>
      </c>
      <c r="BG388" s="1" t="s">
        <v>74</v>
      </c>
      <c r="BH388" s="1" t="s">
        <v>1150</v>
      </c>
      <c r="BI388" s="1" t="s">
        <v>74</v>
      </c>
      <c r="BJ388" s="1" t="s">
        <v>74</v>
      </c>
      <c r="BK388" s="1" t="s">
        <v>74</v>
      </c>
      <c r="BL388" s="1" t="s">
        <v>98</v>
      </c>
      <c r="BM388" s="1" t="s">
        <v>74</v>
      </c>
      <c r="BN388" s="1" t="s">
        <v>74</v>
      </c>
      <c r="BO388" s="1" t="s">
        <v>74</v>
      </c>
      <c r="BP388" s="1" t="s">
        <v>74</v>
      </c>
      <c r="BQ388" s="1" t="s">
        <v>74</v>
      </c>
      <c r="BR388" s="1" t="s">
        <v>74</v>
      </c>
      <c r="BS388" s="1" t="s">
        <v>3697</v>
      </c>
      <c r="BT388" s="1" t="str">
        <f>HYPERLINK("https%3A%2F%2Fwww.webofscience.com%2Fwos%2Fwoscc%2Ffull-record%2FWOS:001488674300001","View Full Record in Web of Science")</f>
        <v>View Full Record in Web of Science</v>
      </c>
    </row>
    <row r="389" ht="12.75" customHeight="1">
      <c r="A389" s="1" t="s">
        <v>72</v>
      </c>
      <c r="B389" s="1" t="s">
        <v>3698</v>
      </c>
      <c r="C389" s="1" t="s">
        <v>74</v>
      </c>
      <c r="D389" s="1" t="s">
        <v>74</v>
      </c>
      <c r="E389" s="1" t="s">
        <v>74</v>
      </c>
      <c r="F389" s="1" t="s">
        <v>3699</v>
      </c>
      <c r="G389" s="1" t="s">
        <v>74</v>
      </c>
      <c r="H389" s="1" t="s">
        <v>74</v>
      </c>
      <c r="I389" s="1" t="s">
        <v>3700</v>
      </c>
      <c r="J389" s="1" t="s">
        <v>1230</v>
      </c>
      <c r="K389" s="1" t="s">
        <v>74</v>
      </c>
      <c r="L389" s="1" t="s">
        <v>74</v>
      </c>
      <c r="M389" s="1" t="s">
        <v>74</v>
      </c>
      <c r="N389" s="1" t="s">
        <v>78</v>
      </c>
      <c r="O389" s="1" t="s">
        <v>74</v>
      </c>
      <c r="P389" s="1" t="s">
        <v>74</v>
      </c>
      <c r="Q389" s="1" t="s">
        <v>74</v>
      </c>
      <c r="R389" s="1" t="s">
        <v>74</v>
      </c>
      <c r="S389" s="1" t="s">
        <v>74</v>
      </c>
      <c r="T389" s="1" t="s">
        <v>3701</v>
      </c>
      <c r="U389" s="1" t="s">
        <v>3702</v>
      </c>
      <c r="V389" s="1" t="s">
        <v>3703</v>
      </c>
      <c r="W389" s="1" t="s">
        <v>74</v>
      </c>
      <c r="X389" s="1" t="s">
        <v>74</v>
      </c>
      <c r="Y389" s="1" t="s">
        <v>74</v>
      </c>
      <c r="Z389" s="1" t="s">
        <v>74</v>
      </c>
      <c r="AA389" s="1" t="s">
        <v>74</v>
      </c>
      <c r="AB389" s="1" t="s">
        <v>74</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1233</v>
      </c>
      <c r="AP389" s="1" t="s">
        <v>1234</v>
      </c>
      <c r="AQ389" s="1" t="s">
        <v>74</v>
      </c>
      <c r="AR389" s="1" t="s">
        <v>74</v>
      </c>
      <c r="AS389" s="1" t="s">
        <v>74</v>
      </c>
      <c r="AT389" s="1" t="s">
        <v>1524</v>
      </c>
      <c r="AU389" s="1">
        <v>2026.0</v>
      </c>
      <c r="AV389" s="1">
        <v>299.0</v>
      </c>
      <c r="AW389" s="1" t="s">
        <v>74</v>
      </c>
      <c r="AX389" s="1" t="s">
        <v>110</v>
      </c>
      <c r="AY389" s="1" t="s">
        <v>74</v>
      </c>
      <c r="AZ389" s="1" t="s">
        <v>74</v>
      </c>
      <c r="BA389" s="1" t="s">
        <v>74</v>
      </c>
      <c r="BB389" s="1" t="s">
        <v>74</v>
      </c>
      <c r="BC389" s="1" t="s">
        <v>74</v>
      </c>
      <c r="BD389" s="1">
        <v>130171.0</v>
      </c>
      <c r="BE389" s="1" t="s">
        <v>3704</v>
      </c>
      <c r="BF389" s="2" t="str">
        <f>HYPERLINK("http://dx.doi.org/10.1016/j.eswa.2025.130171","http://dx.doi.org/10.1016/j.eswa.2025.130171")</f>
        <v>http://dx.doi.org/10.1016/j.eswa.2025.130171</v>
      </c>
      <c r="BG389" s="1" t="s">
        <v>74</v>
      </c>
      <c r="BH389" s="1" t="s">
        <v>811</v>
      </c>
      <c r="BI389" s="1" t="s">
        <v>74</v>
      </c>
      <c r="BJ389" s="1" t="s">
        <v>74</v>
      </c>
      <c r="BK389" s="1" t="s">
        <v>74</v>
      </c>
      <c r="BL389" s="1" t="s">
        <v>1237</v>
      </c>
      <c r="BM389" s="1" t="s">
        <v>74</v>
      </c>
      <c r="BN389" s="1" t="s">
        <v>74</v>
      </c>
      <c r="BO389" s="1" t="s">
        <v>74</v>
      </c>
      <c r="BP389" s="1" t="s">
        <v>74</v>
      </c>
      <c r="BQ389" s="1" t="s">
        <v>74</v>
      </c>
      <c r="BR389" s="1" t="s">
        <v>74</v>
      </c>
      <c r="BS389" s="1" t="s">
        <v>3705</v>
      </c>
      <c r="BT389" s="1" t="str">
        <f>HYPERLINK("https%3A%2F%2Fwww.webofscience.com%2Fwos%2Fwoscc%2Ffull-record%2FWOS:001609036700003","View Full Record in Web of Science")</f>
        <v>View Full Record in Web of Science</v>
      </c>
    </row>
    <row r="390" ht="12.75" customHeight="1">
      <c r="A390" s="1" t="s">
        <v>72</v>
      </c>
      <c r="B390" s="1" t="s">
        <v>3706</v>
      </c>
      <c r="C390" s="1" t="s">
        <v>74</v>
      </c>
      <c r="D390" s="1" t="s">
        <v>74</v>
      </c>
      <c r="E390" s="1" t="s">
        <v>74</v>
      </c>
      <c r="F390" s="1" t="s">
        <v>3707</v>
      </c>
      <c r="G390" s="1" t="s">
        <v>74</v>
      </c>
      <c r="H390" s="1" t="s">
        <v>74</v>
      </c>
      <c r="I390" s="1" t="s">
        <v>3708</v>
      </c>
      <c r="J390" s="1" t="s">
        <v>3709</v>
      </c>
      <c r="K390" s="1" t="s">
        <v>74</v>
      </c>
      <c r="L390" s="1" t="s">
        <v>74</v>
      </c>
      <c r="M390" s="1" t="s">
        <v>74</v>
      </c>
      <c r="N390" s="1" t="s">
        <v>78</v>
      </c>
      <c r="O390" s="1" t="s">
        <v>74</v>
      </c>
      <c r="P390" s="1" t="s">
        <v>74</v>
      </c>
      <c r="Q390" s="1" t="s">
        <v>74</v>
      </c>
      <c r="R390" s="1" t="s">
        <v>74</v>
      </c>
      <c r="S390" s="1" t="s">
        <v>74</v>
      </c>
      <c r="T390" s="1" t="s">
        <v>3710</v>
      </c>
      <c r="U390" s="1" t="s">
        <v>74</v>
      </c>
      <c r="V390" s="1" t="s">
        <v>3711</v>
      </c>
      <c r="W390" s="1" t="s">
        <v>74</v>
      </c>
      <c r="X390" s="1" t="s">
        <v>74</v>
      </c>
      <c r="Y390" s="1" t="s">
        <v>74</v>
      </c>
      <c r="Z390" s="1" t="s">
        <v>74</v>
      </c>
      <c r="AA390" s="1" t="s">
        <v>74</v>
      </c>
      <c r="AB390" s="1" t="s">
        <v>74</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3712</v>
      </c>
      <c r="AP390" s="1" t="s">
        <v>3713</v>
      </c>
      <c r="AQ390" s="1" t="s">
        <v>74</v>
      </c>
      <c r="AR390" s="1" t="s">
        <v>74</v>
      </c>
      <c r="AS390" s="1" t="s">
        <v>74</v>
      </c>
      <c r="AT390" s="1" t="s">
        <v>172</v>
      </c>
      <c r="AU390" s="1">
        <v>2025.0</v>
      </c>
      <c r="AV390" s="1">
        <v>27.0</v>
      </c>
      <c r="AW390" s="1">
        <v>11.0</v>
      </c>
      <c r="AX390" s="1" t="s">
        <v>74</v>
      </c>
      <c r="AY390" s="1" t="s">
        <v>74</v>
      </c>
      <c r="AZ390" s="1" t="s">
        <v>74</v>
      </c>
      <c r="BA390" s="1" t="s">
        <v>74</v>
      </c>
      <c r="BB390" s="1">
        <v>1685.0</v>
      </c>
      <c r="BC390" s="1">
        <v>1702.0</v>
      </c>
      <c r="BD390" s="1" t="s">
        <v>74</v>
      </c>
      <c r="BE390" s="1" t="s">
        <v>3714</v>
      </c>
      <c r="BF390" s="2" t="str">
        <f>HYPERLINK("http://dx.doi.org/10.2166/hydro.2025.130","http://dx.doi.org/10.2166/hydro.2025.130")</f>
        <v>http://dx.doi.org/10.2166/hydro.2025.130</v>
      </c>
      <c r="BG390" s="1" t="s">
        <v>74</v>
      </c>
      <c r="BH390" s="1" t="s">
        <v>255</v>
      </c>
      <c r="BI390" s="1" t="s">
        <v>74</v>
      </c>
      <c r="BJ390" s="1" t="s">
        <v>74</v>
      </c>
      <c r="BK390" s="1" t="s">
        <v>74</v>
      </c>
      <c r="BL390" s="1" t="s">
        <v>556</v>
      </c>
      <c r="BM390" s="1" t="s">
        <v>74</v>
      </c>
      <c r="BN390" s="1" t="s">
        <v>74</v>
      </c>
      <c r="BO390" s="1" t="s">
        <v>163</v>
      </c>
      <c r="BP390" s="1" t="s">
        <v>74</v>
      </c>
      <c r="BQ390" s="1" t="s">
        <v>74</v>
      </c>
      <c r="BR390" s="1" t="s">
        <v>74</v>
      </c>
      <c r="BS390" s="1" t="s">
        <v>3715</v>
      </c>
      <c r="BT390" s="1" t="str">
        <f>HYPERLINK("https%3A%2F%2Fwww.webofscience.com%2Fwos%2Fwoscc%2Ffull-record%2FWOS:001619488600001","View Full Record in Web of Science")</f>
        <v>View Full Record in Web of Science</v>
      </c>
    </row>
    <row r="391" ht="12.75" customHeight="1">
      <c r="A391" s="1" t="s">
        <v>72</v>
      </c>
      <c r="B391" s="1" t="s">
        <v>3716</v>
      </c>
      <c r="C391" s="1" t="s">
        <v>74</v>
      </c>
      <c r="D391" s="1" t="s">
        <v>74</v>
      </c>
      <c r="E391" s="1" t="s">
        <v>74</v>
      </c>
      <c r="F391" s="1" t="s">
        <v>3717</v>
      </c>
      <c r="G391" s="1" t="s">
        <v>74</v>
      </c>
      <c r="H391" s="1" t="s">
        <v>74</v>
      </c>
      <c r="I391" s="1" t="s">
        <v>3718</v>
      </c>
      <c r="J391" s="1" t="s">
        <v>1376</v>
      </c>
      <c r="K391" s="1" t="s">
        <v>74</v>
      </c>
      <c r="L391" s="1" t="s">
        <v>74</v>
      </c>
      <c r="M391" s="1" t="s">
        <v>74</v>
      </c>
      <c r="N391" s="1" t="s">
        <v>78</v>
      </c>
      <c r="O391" s="1" t="s">
        <v>74</v>
      </c>
      <c r="P391" s="1" t="s">
        <v>74</v>
      </c>
      <c r="Q391" s="1" t="s">
        <v>74</v>
      </c>
      <c r="R391" s="1" t="s">
        <v>74</v>
      </c>
      <c r="S391" s="1" t="s">
        <v>74</v>
      </c>
      <c r="T391" s="1" t="s">
        <v>3719</v>
      </c>
      <c r="U391" s="1" t="s">
        <v>74</v>
      </c>
      <c r="V391" s="1" t="s">
        <v>3720</v>
      </c>
      <c r="W391" s="1" t="s">
        <v>74</v>
      </c>
      <c r="X391" s="1" t="s">
        <v>74</v>
      </c>
      <c r="Y391" s="1" t="s">
        <v>74</v>
      </c>
      <c r="Z391" s="1" t="s">
        <v>74</v>
      </c>
      <c r="AA391" s="1" t="s">
        <v>74</v>
      </c>
      <c r="AB391" s="1" t="s">
        <v>74</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74</v>
      </c>
      <c r="AP391" s="1" t="s">
        <v>2256</v>
      </c>
      <c r="AQ391" s="1" t="s">
        <v>74</v>
      </c>
      <c r="AR391" s="1" t="s">
        <v>74</v>
      </c>
      <c r="AS391" s="1" t="s">
        <v>74</v>
      </c>
      <c r="AT391" s="1" t="s">
        <v>736</v>
      </c>
      <c r="AU391" s="1">
        <v>2025.0</v>
      </c>
      <c r="AV391" s="1">
        <v>6.0</v>
      </c>
      <c r="AW391" s="1">
        <v>1.0</v>
      </c>
      <c r="AX391" s="1" t="s">
        <v>74</v>
      </c>
      <c r="AY391" s="1" t="s">
        <v>74</v>
      </c>
      <c r="AZ391" s="1" t="s">
        <v>74</v>
      </c>
      <c r="BA391" s="1" t="s">
        <v>74</v>
      </c>
      <c r="BB391" s="1" t="s">
        <v>74</v>
      </c>
      <c r="BC391" s="1" t="s">
        <v>74</v>
      </c>
      <c r="BD391" s="1">
        <v>13.0</v>
      </c>
      <c r="BE391" s="1" t="s">
        <v>3721</v>
      </c>
      <c r="BF391" s="2" t="str">
        <f>HYPERLINK("http://dx.doi.org/10.3390/ai6010013","http://dx.doi.org/10.3390/ai6010013")</f>
        <v>http://dx.doi.org/10.3390/ai6010013</v>
      </c>
      <c r="BG391" s="1" t="s">
        <v>74</v>
      </c>
      <c r="BH391" s="1" t="s">
        <v>74</v>
      </c>
      <c r="BI391" s="1" t="s">
        <v>74</v>
      </c>
      <c r="BJ391" s="1" t="s">
        <v>74</v>
      </c>
      <c r="BK391" s="1" t="s">
        <v>74</v>
      </c>
      <c r="BL391" s="1" t="s">
        <v>174</v>
      </c>
      <c r="BM391" s="1" t="s">
        <v>74</v>
      </c>
      <c r="BN391" s="1" t="s">
        <v>74</v>
      </c>
      <c r="BO391" s="1" t="s">
        <v>153</v>
      </c>
      <c r="BP391" s="1" t="s">
        <v>74</v>
      </c>
      <c r="BQ391" s="1" t="s">
        <v>74</v>
      </c>
      <c r="BR391" s="1" t="s">
        <v>74</v>
      </c>
      <c r="BS391" s="1" t="s">
        <v>3722</v>
      </c>
      <c r="BT391" s="1" t="str">
        <f>HYPERLINK("https%3A%2F%2Fwww.webofscience.com%2Fwos%2Fwoscc%2Ffull-record%2FWOS:001403986200001","View Full Record in Web of Science")</f>
        <v>View Full Record in Web of Science</v>
      </c>
    </row>
    <row r="392" ht="12.75" customHeight="1">
      <c r="A392" s="1" t="s">
        <v>72</v>
      </c>
      <c r="B392" s="1" t="s">
        <v>3723</v>
      </c>
      <c r="C392" s="1" t="s">
        <v>74</v>
      </c>
      <c r="D392" s="1" t="s">
        <v>74</v>
      </c>
      <c r="E392" s="1" t="s">
        <v>74</v>
      </c>
      <c r="F392" s="1" t="s">
        <v>3724</v>
      </c>
      <c r="G392" s="1" t="s">
        <v>74</v>
      </c>
      <c r="H392" s="1" t="s">
        <v>74</v>
      </c>
      <c r="I392" s="1" t="s">
        <v>3725</v>
      </c>
      <c r="J392" s="1" t="s">
        <v>2857</v>
      </c>
      <c r="K392" s="1" t="s">
        <v>74</v>
      </c>
      <c r="L392" s="1" t="s">
        <v>74</v>
      </c>
      <c r="M392" s="1" t="s">
        <v>74</v>
      </c>
      <c r="N392" s="1" t="s">
        <v>78</v>
      </c>
      <c r="O392" s="1" t="s">
        <v>74</v>
      </c>
      <c r="P392" s="1" t="s">
        <v>74</v>
      </c>
      <c r="Q392" s="1" t="s">
        <v>74</v>
      </c>
      <c r="R392" s="1" t="s">
        <v>74</v>
      </c>
      <c r="S392" s="1" t="s">
        <v>74</v>
      </c>
      <c r="T392" s="1" t="s">
        <v>3726</v>
      </c>
      <c r="U392" s="1" t="s">
        <v>74</v>
      </c>
      <c r="V392" s="1" t="s">
        <v>3727</v>
      </c>
      <c r="W392" s="1" t="s">
        <v>74</v>
      </c>
      <c r="X392" s="1" t="s">
        <v>74</v>
      </c>
      <c r="Y392" s="1" t="s">
        <v>74</v>
      </c>
      <c r="Z392" s="1" t="s">
        <v>74</v>
      </c>
      <c r="AA392" s="1" t="s">
        <v>74</v>
      </c>
      <c r="AB392" s="1" t="s">
        <v>74</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2860</v>
      </c>
      <c r="AP392" s="1" t="s">
        <v>2861</v>
      </c>
      <c r="AQ392" s="1" t="s">
        <v>74</v>
      </c>
      <c r="AR392" s="1" t="s">
        <v>74</v>
      </c>
      <c r="AS392" s="1" t="s">
        <v>74</v>
      </c>
      <c r="AT392" s="1" t="s">
        <v>262</v>
      </c>
      <c r="AU392" s="1">
        <v>2025.0</v>
      </c>
      <c r="AV392" s="1">
        <v>29.0</v>
      </c>
      <c r="AW392" s="1">
        <v>9.0</v>
      </c>
      <c r="AX392" s="1" t="s">
        <v>74</v>
      </c>
      <c r="AY392" s="1" t="s">
        <v>74</v>
      </c>
      <c r="AZ392" s="1" t="s">
        <v>74</v>
      </c>
      <c r="BA392" s="1" t="s">
        <v>74</v>
      </c>
      <c r="BB392" s="1">
        <v>6143.0</v>
      </c>
      <c r="BC392" s="1">
        <v>6156.0</v>
      </c>
      <c r="BD392" s="1" t="s">
        <v>74</v>
      </c>
      <c r="BE392" s="1" t="s">
        <v>3728</v>
      </c>
      <c r="BF392" s="2" t="str">
        <f>HYPERLINK("http://dx.doi.org/10.1109/JBHI.2024.3483816","http://dx.doi.org/10.1109/JBHI.2024.3483816")</f>
        <v>http://dx.doi.org/10.1109/JBHI.2024.3483816</v>
      </c>
      <c r="BG392" s="1" t="s">
        <v>74</v>
      </c>
      <c r="BH392" s="1" t="s">
        <v>74</v>
      </c>
      <c r="BI392" s="1" t="s">
        <v>74</v>
      </c>
      <c r="BJ392" s="1" t="s">
        <v>74</v>
      </c>
      <c r="BK392" s="1" t="s">
        <v>74</v>
      </c>
      <c r="BL392" s="1" t="s">
        <v>2863</v>
      </c>
      <c r="BM392" s="1" t="s">
        <v>74</v>
      </c>
      <c r="BN392" s="1" t="s">
        <v>74</v>
      </c>
      <c r="BO392" s="1" t="s">
        <v>74</v>
      </c>
      <c r="BP392" s="1" t="s">
        <v>74</v>
      </c>
      <c r="BQ392" s="1" t="s">
        <v>74</v>
      </c>
      <c r="BR392" s="1" t="s">
        <v>74</v>
      </c>
      <c r="BS392" s="1" t="s">
        <v>3729</v>
      </c>
      <c r="BT392" s="1" t="str">
        <f>HYPERLINK("https%3A%2F%2Fwww.webofscience.com%2Fwos%2Fwoscc%2Ffull-record%2FWOS:001566981400049","View Full Record in Web of Science")</f>
        <v>View Full Record in Web of Science</v>
      </c>
    </row>
    <row r="393" ht="12.75" customHeight="1">
      <c r="A393" s="1" t="s">
        <v>72</v>
      </c>
      <c r="B393" s="1" t="s">
        <v>3730</v>
      </c>
      <c r="C393" s="1" t="s">
        <v>74</v>
      </c>
      <c r="D393" s="1" t="s">
        <v>74</v>
      </c>
      <c r="E393" s="1" t="s">
        <v>74</v>
      </c>
      <c r="F393" s="1" t="s">
        <v>3731</v>
      </c>
      <c r="G393" s="1" t="s">
        <v>74</v>
      </c>
      <c r="H393" s="1" t="s">
        <v>74</v>
      </c>
      <c r="I393" s="1" t="s">
        <v>3732</v>
      </c>
      <c r="J393" s="1" t="s">
        <v>77</v>
      </c>
      <c r="K393" s="1" t="s">
        <v>74</v>
      </c>
      <c r="L393" s="1" t="s">
        <v>74</v>
      </c>
      <c r="M393" s="1" t="s">
        <v>74</v>
      </c>
      <c r="N393" s="1" t="s">
        <v>78</v>
      </c>
      <c r="O393" s="1" t="s">
        <v>74</v>
      </c>
      <c r="P393" s="1" t="s">
        <v>74</v>
      </c>
      <c r="Q393" s="1" t="s">
        <v>74</v>
      </c>
      <c r="R393" s="1" t="s">
        <v>74</v>
      </c>
      <c r="S393" s="1" t="s">
        <v>74</v>
      </c>
      <c r="T393" s="1" t="s">
        <v>3733</v>
      </c>
      <c r="U393" s="1" t="s">
        <v>74</v>
      </c>
      <c r="V393" s="1" t="s">
        <v>3734</v>
      </c>
      <c r="W393" s="1" t="s">
        <v>74</v>
      </c>
      <c r="X393" s="1" t="s">
        <v>74</v>
      </c>
      <c r="Y393" s="1" t="s">
        <v>74</v>
      </c>
      <c r="Z393" s="1" t="s">
        <v>74</v>
      </c>
      <c r="AA393" s="1" t="s">
        <v>74</v>
      </c>
      <c r="AB393" s="1" t="s">
        <v>74</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82</v>
      </c>
      <c r="AP393" s="1" t="s">
        <v>83</v>
      </c>
      <c r="AQ393" s="1" t="s">
        <v>74</v>
      </c>
      <c r="AR393" s="1" t="s">
        <v>74</v>
      </c>
      <c r="AS393" s="1" t="s">
        <v>74</v>
      </c>
      <c r="AT393" s="1" t="s">
        <v>262</v>
      </c>
      <c r="AU393" s="1">
        <v>2025.0</v>
      </c>
      <c r="AV393" s="1">
        <v>171.0</v>
      </c>
      <c r="AW393" s="1" t="s">
        <v>74</v>
      </c>
      <c r="AX393" s="1" t="s">
        <v>74</v>
      </c>
      <c r="AY393" s="1" t="s">
        <v>74</v>
      </c>
      <c r="AZ393" s="1" t="s">
        <v>74</v>
      </c>
      <c r="BA393" s="1" t="s">
        <v>74</v>
      </c>
      <c r="BB393" s="1">
        <v>487.0</v>
      </c>
      <c r="BC393" s="1">
        <v>496.0</v>
      </c>
      <c r="BD393" s="1" t="s">
        <v>74</v>
      </c>
      <c r="BE393" s="1" t="s">
        <v>3735</v>
      </c>
      <c r="BF393" s="2" t="str">
        <f>HYPERLINK("http://dx.doi.org/10.1016/j.tranpol.2025.06.021","http://dx.doi.org/10.1016/j.tranpol.2025.06.021")</f>
        <v>http://dx.doi.org/10.1016/j.tranpol.2025.06.021</v>
      </c>
      <c r="BG393" s="1" t="s">
        <v>74</v>
      </c>
      <c r="BH393" s="1" t="s">
        <v>973</v>
      </c>
      <c r="BI393" s="1" t="s">
        <v>74</v>
      </c>
      <c r="BJ393" s="1" t="s">
        <v>74</v>
      </c>
      <c r="BK393" s="1" t="s">
        <v>74</v>
      </c>
      <c r="BL393" s="1" t="s">
        <v>87</v>
      </c>
      <c r="BM393" s="1" t="s">
        <v>74</v>
      </c>
      <c r="BN393" s="1" t="s">
        <v>74</v>
      </c>
      <c r="BO393" s="1" t="s">
        <v>3736</v>
      </c>
      <c r="BP393" s="1" t="s">
        <v>74</v>
      </c>
      <c r="BQ393" s="1" t="s">
        <v>74</v>
      </c>
      <c r="BR393" s="1" t="s">
        <v>74</v>
      </c>
      <c r="BS393" s="1" t="s">
        <v>3737</v>
      </c>
      <c r="BT393" s="1" t="str">
        <f>HYPERLINK("https%3A%2F%2Fwww.webofscience.com%2Fwos%2Fwoscc%2Ffull-record%2FWOS:001529589100001","View Full Record in Web of Science")</f>
        <v>View Full Record in Web of Science</v>
      </c>
    </row>
    <row r="394" ht="12.75" customHeight="1">
      <c r="A394" s="1" t="s">
        <v>72</v>
      </c>
      <c r="B394" s="1" t="s">
        <v>3738</v>
      </c>
      <c r="C394" s="1" t="s">
        <v>74</v>
      </c>
      <c r="D394" s="1" t="s">
        <v>74</v>
      </c>
      <c r="E394" s="1" t="s">
        <v>74</v>
      </c>
      <c r="F394" s="1" t="s">
        <v>3739</v>
      </c>
      <c r="G394" s="1" t="s">
        <v>74</v>
      </c>
      <c r="H394" s="1" t="s">
        <v>74</v>
      </c>
      <c r="I394" s="1" t="s">
        <v>3740</v>
      </c>
      <c r="J394" s="1" t="s">
        <v>3741</v>
      </c>
      <c r="K394" s="1" t="s">
        <v>74</v>
      </c>
      <c r="L394" s="1" t="s">
        <v>74</v>
      </c>
      <c r="M394" s="1" t="s">
        <v>74</v>
      </c>
      <c r="N394" s="1" t="s">
        <v>78</v>
      </c>
      <c r="O394" s="1" t="s">
        <v>74</v>
      </c>
      <c r="P394" s="1" t="s">
        <v>74</v>
      </c>
      <c r="Q394" s="1" t="s">
        <v>74</v>
      </c>
      <c r="R394" s="1" t="s">
        <v>74</v>
      </c>
      <c r="S394" s="1" t="s">
        <v>74</v>
      </c>
      <c r="T394" s="1" t="s">
        <v>3742</v>
      </c>
      <c r="U394" s="1" t="s">
        <v>74</v>
      </c>
      <c r="V394" s="1" t="s">
        <v>3743</v>
      </c>
      <c r="W394" s="1" t="s">
        <v>74</v>
      </c>
      <c r="X394" s="1" t="s">
        <v>74</v>
      </c>
      <c r="Y394" s="1" t="s">
        <v>74</v>
      </c>
      <c r="Z394" s="1" t="s">
        <v>74</v>
      </c>
      <c r="AA394" s="1" t="s">
        <v>74</v>
      </c>
      <c r="AB394" s="1" t="s">
        <v>74</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3744</v>
      </c>
      <c r="AP394" s="1" t="s">
        <v>3745</v>
      </c>
      <c r="AQ394" s="1" t="s">
        <v>74</v>
      </c>
      <c r="AR394" s="1" t="s">
        <v>74</v>
      </c>
      <c r="AS394" s="1" t="s">
        <v>74</v>
      </c>
      <c r="AT394" s="1" t="s">
        <v>84</v>
      </c>
      <c r="AU394" s="1">
        <v>2024.0</v>
      </c>
      <c r="AV394" s="1">
        <v>140.0</v>
      </c>
      <c r="AW394" s="1" t="s">
        <v>74</v>
      </c>
      <c r="AX394" s="1" t="s">
        <v>74</v>
      </c>
      <c r="AY394" s="1" t="s">
        <v>74</v>
      </c>
      <c r="AZ394" s="1" t="s">
        <v>74</v>
      </c>
      <c r="BA394" s="1" t="s">
        <v>74</v>
      </c>
      <c r="BB394" s="1" t="s">
        <v>74</v>
      </c>
      <c r="BC394" s="1" t="s">
        <v>74</v>
      </c>
      <c r="BD394" s="1">
        <v>103814.0</v>
      </c>
      <c r="BE394" s="1" t="s">
        <v>3746</v>
      </c>
      <c r="BF394" s="2" t="str">
        <f>HYPERLINK("http://dx.doi.org/10.1016/j.cose.2024.103814","http://dx.doi.org/10.1016/j.cose.2024.103814")</f>
        <v>http://dx.doi.org/10.1016/j.cose.2024.103814</v>
      </c>
      <c r="BG394" s="1" t="s">
        <v>74</v>
      </c>
      <c r="BH394" s="1" t="s">
        <v>86</v>
      </c>
      <c r="BI394" s="1" t="s">
        <v>74</v>
      </c>
      <c r="BJ394" s="1" t="s">
        <v>74</v>
      </c>
      <c r="BK394" s="1" t="s">
        <v>74</v>
      </c>
      <c r="BL394" s="1" t="s">
        <v>174</v>
      </c>
      <c r="BM394" s="1" t="s">
        <v>74</v>
      </c>
      <c r="BN394" s="1" t="s">
        <v>74</v>
      </c>
      <c r="BO394" s="1" t="s">
        <v>74</v>
      </c>
      <c r="BP394" s="1" t="s">
        <v>74</v>
      </c>
      <c r="BQ394" s="1" t="s">
        <v>74</v>
      </c>
      <c r="BR394" s="1" t="s">
        <v>74</v>
      </c>
      <c r="BS394" s="1" t="s">
        <v>3747</v>
      </c>
      <c r="BT394" s="1" t="str">
        <f>HYPERLINK("https%3A%2F%2Fwww.webofscience.com%2Fwos%2Fwoscc%2Ffull-record%2FWOS:001218425900001","View Full Record in Web of Science")</f>
        <v>View Full Record in Web of Science</v>
      </c>
    </row>
    <row r="395" ht="12.75" customHeight="1">
      <c r="A395" s="1" t="s">
        <v>72</v>
      </c>
      <c r="B395" s="1" t="s">
        <v>3748</v>
      </c>
      <c r="C395" s="1" t="s">
        <v>74</v>
      </c>
      <c r="D395" s="1" t="s">
        <v>74</v>
      </c>
      <c r="E395" s="1" t="s">
        <v>74</v>
      </c>
      <c r="F395" s="1" t="s">
        <v>3749</v>
      </c>
      <c r="G395" s="1" t="s">
        <v>74</v>
      </c>
      <c r="H395" s="1" t="s">
        <v>74</v>
      </c>
      <c r="I395" s="1" t="s">
        <v>3750</v>
      </c>
      <c r="J395" s="1" t="s">
        <v>1813</v>
      </c>
      <c r="K395" s="1" t="s">
        <v>74</v>
      </c>
      <c r="L395" s="1" t="s">
        <v>74</v>
      </c>
      <c r="M395" s="1" t="s">
        <v>74</v>
      </c>
      <c r="N395" s="1" t="s">
        <v>78</v>
      </c>
      <c r="O395" s="1" t="s">
        <v>74</v>
      </c>
      <c r="P395" s="1" t="s">
        <v>74</v>
      </c>
      <c r="Q395" s="1" t="s">
        <v>74</v>
      </c>
      <c r="R395" s="1" t="s">
        <v>74</v>
      </c>
      <c r="S395" s="1" t="s">
        <v>74</v>
      </c>
      <c r="T395" s="1" t="s">
        <v>3751</v>
      </c>
      <c r="U395" s="1" t="s">
        <v>74</v>
      </c>
      <c r="V395" s="1" t="s">
        <v>3752</v>
      </c>
      <c r="W395" s="1" t="s">
        <v>74</v>
      </c>
      <c r="X395" s="1" t="s">
        <v>74</v>
      </c>
      <c r="Y395" s="1" t="s">
        <v>74</v>
      </c>
      <c r="Z395" s="1" t="s">
        <v>74</v>
      </c>
      <c r="AA395" s="1" t="s">
        <v>74</v>
      </c>
      <c r="AB395" s="1" t="s">
        <v>74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74</v>
      </c>
      <c r="AP395" s="1" t="s">
        <v>1816</v>
      </c>
      <c r="AQ395" s="1" t="s">
        <v>74</v>
      </c>
      <c r="AR395" s="1" t="s">
        <v>74</v>
      </c>
      <c r="AS395" s="1" t="s">
        <v>74</v>
      </c>
      <c r="AT395" s="1" t="s">
        <v>867</v>
      </c>
      <c r="AU395" s="1">
        <v>2025.0</v>
      </c>
      <c r="AV395" s="1">
        <v>7.0</v>
      </c>
      <c r="AW395" s="1">
        <v>3.0</v>
      </c>
      <c r="AX395" s="1" t="s">
        <v>74</v>
      </c>
      <c r="AY395" s="1" t="s">
        <v>74</v>
      </c>
      <c r="AZ395" s="1" t="s">
        <v>74</v>
      </c>
      <c r="BA395" s="1" t="s">
        <v>74</v>
      </c>
      <c r="BB395" s="1" t="s">
        <v>74</v>
      </c>
      <c r="BC395" s="1" t="s">
        <v>74</v>
      </c>
      <c r="BD395" s="1">
        <v>77.0</v>
      </c>
      <c r="BE395" s="1" t="s">
        <v>3753</v>
      </c>
      <c r="BF395" s="2" t="str">
        <f>HYPERLINK("http://dx.doi.org/10.3390/make7030077","http://dx.doi.org/10.3390/make7030077")</f>
        <v>http://dx.doi.org/10.3390/make7030077</v>
      </c>
      <c r="BG395" s="1" t="s">
        <v>74</v>
      </c>
      <c r="BH395" s="1" t="s">
        <v>74</v>
      </c>
      <c r="BI395" s="1" t="s">
        <v>74</v>
      </c>
      <c r="BJ395" s="1" t="s">
        <v>74</v>
      </c>
      <c r="BK395" s="1" t="s">
        <v>74</v>
      </c>
      <c r="BL395" s="1" t="s">
        <v>98</v>
      </c>
      <c r="BM395" s="1" t="s">
        <v>74</v>
      </c>
      <c r="BN395" s="1" t="s">
        <v>74</v>
      </c>
      <c r="BO395" s="1" t="s">
        <v>163</v>
      </c>
      <c r="BP395" s="1" t="s">
        <v>74</v>
      </c>
      <c r="BQ395" s="1" t="s">
        <v>74</v>
      </c>
      <c r="BR395" s="1" t="s">
        <v>74</v>
      </c>
      <c r="BS395" s="1" t="s">
        <v>3754</v>
      </c>
      <c r="BT395" s="1" t="str">
        <f>HYPERLINK("https%3A%2F%2Fwww.webofscience.com%2Fwos%2Fwoscc%2Ffull-record%2FWOS:001580336900001","View Full Record in Web of Science")</f>
        <v>View Full Record in Web of Science</v>
      </c>
    </row>
    <row r="396" ht="12.75" customHeight="1">
      <c r="A396" s="1" t="s">
        <v>72</v>
      </c>
      <c r="B396" s="1" t="s">
        <v>3755</v>
      </c>
      <c r="C396" s="1" t="s">
        <v>74</v>
      </c>
      <c r="D396" s="1" t="s">
        <v>74</v>
      </c>
      <c r="E396" s="1" t="s">
        <v>74</v>
      </c>
      <c r="F396" s="1" t="s">
        <v>3756</v>
      </c>
      <c r="G396" s="1" t="s">
        <v>74</v>
      </c>
      <c r="H396" s="1" t="s">
        <v>74</v>
      </c>
      <c r="I396" s="1" t="s">
        <v>3757</v>
      </c>
      <c r="J396" s="1" t="s">
        <v>147</v>
      </c>
      <c r="K396" s="1" t="s">
        <v>74</v>
      </c>
      <c r="L396" s="1" t="s">
        <v>74</v>
      </c>
      <c r="M396" s="1" t="s">
        <v>74</v>
      </c>
      <c r="N396" s="1" t="s">
        <v>78</v>
      </c>
      <c r="O396" s="1" t="s">
        <v>74</v>
      </c>
      <c r="P396" s="1" t="s">
        <v>74</v>
      </c>
      <c r="Q396" s="1" t="s">
        <v>74</v>
      </c>
      <c r="R396" s="1" t="s">
        <v>74</v>
      </c>
      <c r="S396" s="1" t="s">
        <v>74</v>
      </c>
      <c r="T396" s="1" t="s">
        <v>3758</v>
      </c>
      <c r="U396" s="1" t="s">
        <v>74</v>
      </c>
      <c r="V396" s="1" t="s">
        <v>3759</v>
      </c>
      <c r="W396" s="1" t="s">
        <v>74</v>
      </c>
      <c r="X396" s="1" t="s">
        <v>74</v>
      </c>
      <c r="Y396" s="1" t="s">
        <v>74</v>
      </c>
      <c r="Z396" s="1" t="s">
        <v>74</v>
      </c>
      <c r="AA396" s="1" t="s">
        <v>74</v>
      </c>
      <c r="AB396" s="1" t="s">
        <v>74</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150</v>
      </c>
      <c r="AP396" s="1" t="s">
        <v>74</v>
      </c>
      <c r="AQ396" s="1" t="s">
        <v>74</v>
      </c>
      <c r="AR396" s="1" t="s">
        <v>74</v>
      </c>
      <c r="AS396" s="1" t="s">
        <v>74</v>
      </c>
      <c r="AT396" s="1" t="s">
        <v>74</v>
      </c>
      <c r="AU396" s="1">
        <v>2025.0</v>
      </c>
      <c r="AV396" s="1">
        <v>13.0</v>
      </c>
      <c r="AW396" s="1" t="s">
        <v>74</v>
      </c>
      <c r="AX396" s="1" t="s">
        <v>74</v>
      </c>
      <c r="AY396" s="1" t="s">
        <v>74</v>
      </c>
      <c r="AZ396" s="1" t="s">
        <v>74</v>
      </c>
      <c r="BA396" s="1" t="s">
        <v>74</v>
      </c>
      <c r="BB396" s="1">
        <v>119292.0</v>
      </c>
      <c r="BC396" s="1">
        <v>119304.0</v>
      </c>
      <c r="BD396" s="1" t="s">
        <v>74</v>
      </c>
      <c r="BE396" s="1" t="s">
        <v>3760</v>
      </c>
      <c r="BF396" s="2" t="str">
        <f>HYPERLINK("http://dx.doi.org/10.1109/ACCESS.2025.3587787","http://dx.doi.org/10.1109/ACCESS.2025.3587787")</f>
        <v>http://dx.doi.org/10.1109/ACCESS.2025.3587787</v>
      </c>
      <c r="BG396" s="1" t="s">
        <v>74</v>
      </c>
      <c r="BH396" s="1" t="s">
        <v>74</v>
      </c>
      <c r="BI396" s="1" t="s">
        <v>74</v>
      </c>
      <c r="BJ396" s="1" t="s">
        <v>74</v>
      </c>
      <c r="BK396" s="1" t="s">
        <v>74</v>
      </c>
      <c r="BL396" s="1" t="s">
        <v>152</v>
      </c>
      <c r="BM396" s="1" t="s">
        <v>74</v>
      </c>
      <c r="BN396" s="1" t="s">
        <v>74</v>
      </c>
      <c r="BO396" s="1" t="s">
        <v>153</v>
      </c>
      <c r="BP396" s="1" t="s">
        <v>74</v>
      </c>
      <c r="BQ396" s="1" t="s">
        <v>74</v>
      </c>
      <c r="BR396" s="1" t="s">
        <v>74</v>
      </c>
      <c r="BS396" s="1" t="s">
        <v>3761</v>
      </c>
      <c r="BT396" s="1" t="str">
        <f>HYPERLINK("https%3A%2F%2Fwww.webofscience.com%2Fwos%2Fwoscc%2Ffull-record%2FWOS:001530173700010","View Full Record in Web of Science")</f>
        <v>View Full Record in Web of Science</v>
      </c>
    </row>
    <row r="397" ht="12.75" customHeight="1">
      <c r="A397" s="1" t="s">
        <v>72</v>
      </c>
      <c r="B397" s="1" t="s">
        <v>3762</v>
      </c>
      <c r="C397" s="1" t="s">
        <v>74</v>
      </c>
      <c r="D397" s="1" t="s">
        <v>74</v>
      </c>
      <c r="E397" s="1" t="s">
        <v>74</v>
      </c>
      <c r="F397" s="1" t="s">
        <v>3763</v>
      </c>
      <c r="G397" s="1" t="s">
        <v>74</v>
      </c>
      <c r="H397" s="1" t="s">
        <v>74</v>
      </c>
      <c r="I397" s="1" t="s">
        <v>3764</v>
      </c>
      <c r="J397" s="1" t="s">
        <v>3598</v>
      </c>
      <c r="K397" s="1" t="s">
        <v>74</v>
      </c>
      <c r="L397" s="1" t="s">
        <v>74</v>
      </c>
      <c r="M397" s="1" t="s">
        <v>74</v>
      </c>
      <c r="N397" s="1" t="s">
        <v>78</v>
      </c>
      <c r="O397" s="1" t="s">
        <v>74</v>
      </c>
      <c r="P397" s="1" t="s">
        <v>74</v>
      </c>
      <c r="Q397" s="1" t="s">
        <v>74</v>
      </c>
      <c r="R397" s="1" t="s">
        <v>74</v>
      </c>
      <c r="S397" s="1" t="s">
        <v>74</v>
      </c>
      <c r="T397" s="1" t="s">
        <v>3765</v>
      </c>
      <c r="U397" s="1" t="s">
        <v>74</v>
      </c>
      <c r="V397" s="1" t="s">
        <v>3766</v>
      </c>
      <c r="W397" s="1" t="s">
        <v>74</v>
      </c>
      <c r="X397" s="1" t="s">
        <v>74</v>
      </c>
      <c r="Y397" s="1" t="s">
        <v>74</v>
      </c>
      <c r="Z397" s="1" t="s">
        <v>74</v>
      </c>
      <c r="AA397" s="1" t="s">
        <v>74</v>
      </c>
      <c r="AB397" s="1" t="s">
        <v>74</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3601</v>
      </c>
      <c r="AP397" s="1" t="s">
        <v>74</v>
      </c>
      <c r="AQ397" s="1" t="s">
        <v>74</v>
      </c>
      <c r="AR397" s="1" t="s">
        <v>74</v>
      </c>
      <c r="AS397" s="1" t="s">
        <v>74</v>
      </c>
      <c r="AT397" s="1" t="s">
        <v>335</v>
      </c>
      <c r="AU397" s="1">
        <v>2025.0</v>
      </c>
      <c r="AV397" s="1">
        <v>11.0</v>
      </c>
      <c r="AW397" s="1">
        <v>3.0</v>
      </c>
      <c r="AX397" s="1" t="s">
        <v>74</v>
      </c>
      <c r="AY397" s="1" t="s">
        <v>74</v>
      </c>
      <c r="AZ397" s="1" t="s">
        <v>74</v>
      </c>
      <c r="BA397" s="1" t="s">
        <v>74</v>
      </c>
      <c r="BB397" s="1">
        <v>1001.0</v>
      </c>
      <c r="BC397" s="1">
        <v>1012.0</v>
      </c>
      <c r="BD397" s="1" t="s">
        <v>74</v>
      </c>
      <c r="BE397" s="1" t="s">
        <v>3767</v>
      </c>
      <c r="BF397" s="2" t="str">
        <f>HYPERLINK("http://dx.doi.org/10.1109/TBDATA.2025.3536937","http://dx.doi.org/10.1109/TBDATA.2025.3536937")</f>
        <v>http://dx.doi.org/10.1109/TBDATA.2025.3536937</v>
      </c>
      <c r="BG397" s="1" t="s">
        <v>74</v>
      </c>
      <c r="BH397" s="1" t="s">
        <v>74</v>
      </c>
      <c r="BI397" s="1" t="s">
        <v>74</v>
      </c>
      <c r="BJ397" s="1" t="s">
        <v>74</v>
      </c>
      <c r="BK397" s="1" t="s">
        <v>74</v>
      </c>
      <c r="BL397" s="1" t="s">
        <v>174</v>
      </c>
      <c r="BM397" s="1" t="s">
        <v>74</v>
      </c>
      <c r="BN397" s="1" t="s">
        <v>74</v>
      </c>
      <c r="BO397" s="1" t="s">
        <v>74</v>
      </c>
      <c r="BP397" s="1" t="s">
        <v>74</v>
      </c>
      <c r="BQ397" s="1" t="s">
        <v>74</v>
      </c>
      <c r="BR397" s="1" t="s">
        <v>74</v>
      </c>
      <c r="BS397" s="1" t="s">
        <v>3768</v>
      </c>
      <c r="BT397" s="1" t="str">
        <f>HYPERLINK("https%3A%2F%2Fwww.webofscience.com%2Fwos%2Fwoscc%2Ffull-record%2FWOS:001488533700033","View Full Record in Web of Science")</f>
        <v>View Full Record in Web of Science</v>
      </c>
    </row>
    <row r="398" ht="12.75" customHeight="1">
      <c r="A398" s="1" t="s">
        <v>72</v>
      </c>
      <c r="B398" s="1" t="s">
        <v>3769</v>
      </c>
      <c r="C398" s="1" t="s">
        <v>74</v>
      </c>
      <c r="D398" s="1" t="s">
        <v>74</v>
      </c>
      <c r="E398" s="1" t="s">
        <v>74</v>
      </c>
      <c r="F398" s="1" t="s">
        <v>3770</v>
      </c>
      <c r="G398" s="1" t="s">
        <v>74</v>
      </c>
      <c r="H398" s="1" t="s">
        <v>74</v>
      </c>
      <c r="I398" s="1" t="s">
        <v>3771</v>
      </c>
      <c r="J398" s="1" t="s">
        <v>3772</v>
      </c>
      <c r="K398" s="1" t="s">
        <v>74</v>
      </c>
      <c r="L398" s="1" t="s">
        <v>74</v>
      </c>
      <c r="M398" s="1" t="s">
        <v>74</v>
      </c>
      <c r="N398" s="1" t="s">
        <v>78</v>
      </c>
      <c r="O398" s="1" t="s">
        <v>74</v>
      </c>
      <c r="P398" s="1" t="s">
        <v>74</v>
      </c>
      <c r="Q398" s="1" t="s">
        <v>74</v>
      </c>
      <c r="R398" s="1" t="s">
        <v>74</v>
      </c>
      <c r="S398" s="1" t="s">
        <v>74</v>
      </c>
      <c r="T398" s="1" t="s">
        <v>3773</v>
      </c>
      <c r="U398" s="1" t="s">
        <v>3774</v>
      </c>
      <c r="V398" s="1" t="s">
        <v>3775</v>
      </c>
      <c r="W398" s="1" t="s">
        <v>74</v>
      </c>
      <c r="X398" s="1" t="s">
        <v>74</v>
      </c>
      <c r="Y398" s="1" t="s">
        <v>74</v>
      </c>
      <c r="Z398" s="1" t="s">
        <v>74</v>
      </c>
      <c r="AA398" s="1" t="s">
        <v>74</v>
      </c>
      <c r="AB398" s="1" t="s">
        <v>74</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74</v>
      </c>
      <c r="AP398" s="1" t="s">
        <v>3776</v>
      </c>
      <c r="AQ398" s="1" t="s">
        <v>74</v>
      </c>
      <c r="AR398" s="1" t="s">
        <v>74</v>
      </c>
      <c r="AS398" s="1" t="s">
        <v>74</v>
      </c>
      <c r="AT398" s="1" t="s">
        <v>3777</v>
      </c>
      <c r="AU398" s="1">
        <v>2025.0</v>
      </c>
      <c r="AV398" s="1">
        <v>8.0</v>
      </c>
      <c r="AW398" s="1">
        <v>1.0</v>
      </c>
      <c r="AX398" s="1" t="s">
        <v>74</v>
      </c>
      <c r="AY398" s="1" t="s">
        <v>74</v>
      </c>
      <c r="AZ398" s="1" t="s">
        <v>74</v>
      </c>
      <c r="BA398" s="1" t="s">
        <v>74</v>
      </c>
      <c r="BB398" s="1" t="s">
        <v>74</v>
      </c>
      <c r="BC398" s="1" t="s">
        <v>74</v>
      </c>
      <c r="BD398" s="1">
        <v>8.0</v>
      </c>
      <c r="BE398" s="1" t="s">
        <v>3778</v>
      </c>
      <c r="BF398" s="2" t="str">
        <f>HYPERLINK("http://dx.doi.org/10.1186/s42492-025-00189-8","http://dx.doi.org/10.1186/s42492-025-00189-8")</f>
        <v>http://dx.doi.org/10.1186/s42492-025-00189-8</v>
      </c>
      <c r="BG398" s="1" t="s">
        <v>74</v>
      </c>
      <c r="BH398" s="1" t="s">
        <v>74</v>
      </c>
      <c r="BI398" s="1" t="s">
        <v>74</v>
      </c>
      <c r="BJ398" s="1" t="s">
        <v>74</v>
      </c>
      <c r="BK398" s="1" t="s">
        <v>74</v>
      </c>
      <c r="BL398" s="1" t="s">
        <v>3779</v>
      </c>
      <c r="BM398" s="1" t="s">
        <v>74</v>
      </c>
      <c r="BN398" s="1" t="s">
        <v>74</v>
      </c>
      <c r="BO398" s="1" t="s">
        <v>153</v>
      </c>
      <c r="BP398" s="1" t="s">
        <v>74</v>
      </c>
      <c r="BQ398" s="1" t="s">
        <v>74</v>
      </c>
      <c r="BR398" s="1" t="s">
        <v>74</v>
      </c>
      <c r="BS398" s="1" t="s">
        <v>3780</v>
      </c>
      <c r="BT398" s="1" t="str">
        <f>HYPERLINK("https%3A%2F%2Fwww.webofscience.com%2Fwos%2Fwoscc%2Ffull-record%2FWOS:001458788900001","View Full Record in Web of Science")</f>
        <v>View Full Record in Web of Science</v>
      </c>
    </row>
    <row r="399" ht="12.75" customHeight="1">
      <c r="A399" s="1" t="s">
        <v>72</v>
      </c>
      <c r="B399" s="1" t="s">
        <v>3781</v>
      </c>
      <c r="C399" s="1" t="s">
        <v>74</v>
      </c>
      <c r="D399" s="1" t="s">
        <v>74</v>
      </c>
      <c r="E399" s="1" t="s">
        <v>74</v>
      </c>
      <c r="F399" s="1" t="s">
        <v>3782</v>
      </c>
      <c r="G399" s="1" t="s">
        <v>74</v>
      </c>
      <c r="H399" s="1" t="s">
        <v>74</v>
      </c>
      <c r="I399" s="1" t="s">
        <v>3783</v>
      </c>
      <c r="J399" s="1" t="s">
        <v>3784</v>
      </c>
      <c r="K399" s="1" t="s">
        <v>74</v>
      </c>
      <c r="L399" s="1" t="s">
        <v>74</v>
      </c>
      <c r="M399" s="1" t="s">
        <v>74</v>
      </c>
      <c r="N399" s="1" t="s">
        <v>78</v>
      </c>
      <c r="O399" s="1" t="s">
        <v>74</v>
      </c>
      <c r="P399" s="1" t="s">
        <v>74</v>
      </c>
      <c r="Q399" s="1" t="s">
        <v>74</v>
      </c>
      <c r="R399" s="1" t="s">
        <v>74</v>
      </c>
      <c r="S399" s="1" t="s">
        <v>74</v>
      </c>
      <c r="T399" s="1" t="s">
        <v>3785</v>
      </c>
      <c r="U399" s="1" t="s">
        <v>3786</v>
      </c>
      <c r="V399" s="1" t="s">
        <v>3787</v>
      </c>
      <c r="W399" s="1" t="s">
        <v>74</v>
      </c>
      <c r="X399" s="1" t="s">
        <v>74</v>
      </c>
      <c r="Y399" s="1" t="s">
        <v>74</v>
      </c>
      <c r="Z399" s="1" t="s">
        <v>74</v>
      </c>
      <c r="AA399" s="1" t="s">
        <v>74</v>
      </c>
      <c r="AB399" s="1" t="s">
        <v>74</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3788</v>
      </c>
      <c r="AP399" s="1" t="s">
        <v>3789</v>
      </c>
      <c r="AQ399" s="1" t="s">
        <v>74</v>
      </c>
      <c r="AR399" s="1" t="s">
        <v>74</v>
      </c>
      <c r="AS399" s="1" t="s">
        <v>74</v>
      </c>
      <c r="AT399" s="1" t="s">
        <v>736</v>
      </c>
      <c r="AU399" s="1">
        <v>2026.0</v>
      </c>
      <c r="AV399" s="1">
        <v>224.0</v>
      </c>
      <c r="AW399" s="1" t="s">
        <v>74</v>
      </c>
      <c r="AX399" s="1" t="s">
        <v>74</v>
      </c>
      <c r="AY399" s="1" t="s">
        <v>74</v>
      </c>
      <c r="AZ399" s="1" t="s">
        <v>74</v>
      </c>
      <c r="BA399" s="1" t="s">
        <v>74</v>
      </c>
      <c r="BB399" s="1" t="s">
        <v>74</v>
      </c>
      <c r="BC399" s="1" t="s">
        <v>74</v>
      </c>
      <c r="BD399" s="1">
        <v>108299.0</v>
      </c>
      <c r="BE399" s="1" t="s">
        <v>3790</v>
      </c>
      <c r="BF399" s="2" t="str">
        <f>HYPERLINK("http://dx.doi.org/10.1016/j.aap.2025.108299","http://dx.doi.org/10.1016/j.aap.2025.108299")</f>
        <v>http://dx.doi.org/10.1016/j.aap.2025.108299</v>
      </c>
      <c r="BG399" s="1" t="s">
        <v>74</v>
      </c>
      <c r="BH399" s="1" t="s">
        <v>141</v>
      </c>
      <c r="BI399" s="1" t="s">
        <v>74</v>
      </c>
      <c r="BJ399" s="1" t="s">
        <v>74</v>
      </c>
      <c r="BK399" s="1" t="s">
        <v>74</v>
      </c>
      <c r="BL399" s="1" t="s">
        <v>3791</v>
      </c>
      <c r="BM399" s="1" t="s">
        <v>74</v>
      </c>
      <c r="BN399" s="1" t="s">
        <v>74</v>
      </c>
      <c r="BO399" s="1" t="s">
        <v>114</v>
      </c>
      <c r="BP399" s="1" t="s">
        <v>74</v>
      </c>
      <c r="BQ399" s="1" t="s">
        <v>74</v>
      </c>
      <c r="BR399" s="1" t="s">
        <v>74</v>
      </c>
      <c r="BS399" s="1" t="s">
        <v>3792</v>
      </c>
      <c r="BT399" s="1" t="str">
        <f>HYPERLINK("https%3A%2F%2Fwww.webofscience.com%2Fwos%2Fwoscc%2Ffull-record%2FWOS:001608363000004","View Full Record in Web of Science")</f>
        <v>View Full Record in Web of Science</v>
      </c>
    </row>
    <row r="400" ht="12.75" customHeight="1">
      <c r="A400" s="1" t="s">
        <v>72</v>
      </c>
      <c r="B400" s="1" t="s">
        <v>3793</v>
      </c>
      <c r="C400" s="1" t="s">
        <v>74</v>
      </c>
      <c r="D400" s="1" t="s">
        <v>74</v>
      </c>
      <c r="E400" s="1" t="s">
        <v>74</v>
      </c>
      <c r="F400" s="1" t="s">
        <v>3794</v>
      </c>
      <c r="G400" s="1" t="s">
        <v>74</v>
      </c>
      <c r="H400" s="1" t="s">
        <v>74</v>
      </c>
      <c r="I400" s="1" t="s">
        <v>3795</v>
      </c>
      <c r="J400" s="1" t="s">
        <v>3667</v>
      </c>
      <c r="K400" s="1" t="s">
        <v>74</v>
      </c>
      <c r="L400" s="1" t="s">
        <v>74</v>
      </c>
      <c r="M400" s="1" t="s">
        <v>74</v>
      </c>
      <c r="N400" s="1" t="s">
        <v>78</v>
      </c>
      <c r="O400" s="1" t="s">
        <v>74</v>
      </c>
      <c r="P400" s="1" t="s">
        <v>74</v>
      </c>
      <c r="Q400" s="1" t="s">
        <v>74</v>
      </c>
      <c r="R400" s="1" t="s">
        <v>74</v>
      </c>
      <c r="S400" s="1" t="s">
        <v>74</v>
      </c>
      <c r="T400" s="1" t="s">
        <v>3796</v>
      </c>
      <c r="U400" s="1" t="s">
        <v>3797</v>
      </c>
      <c r="V400" s="1" t="s">
        <v>3798</v>
      </c>
      <c r="W400" s="1" t="s">
        <v>74</v>
      </c>
      <c r="X400" s="1" t="s">
        <v>74</v>
      </c>
      <c r="Y400" s="1" t="s">
        <v>74</v>
      </c>
      <c r="Z400" s="1" t="s">
        <v>74</v>
      </c>
      <c r="AA400" s="1" t="s">
        <v>74</v>
      </c>
      <c r="AB400" s="1" t="s">
        <v>74</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3671</v>
      </c>
      <c r="AP400" s="1" t="s">
        <v>74</v>
      </c>
      <c r="AQ400" s="1" t="s">
        <v>74</v>
      </c>
      <c r="AR400" s="1" t="s">
        <v>74</v>
      </c>
      <c r="AS400" s="1" t="s">
        <v>74</v>
      </c>
      <c r="AT400" s="1" t="s">
        <v>74</v>
      </c>
      <c r="AU400" s="1">
        <v>2025.0</v>
      </c>
      <c r="AV400" s="1">
        <v>18.0</v>
      </c>
      <c r="AW400" s="1" t="s">
        <v>74</v>
      </c>
      <c r="AX400" s="1" t="s">
        <v>74</v>
      </c>
      <c r="AY400" s="1" t="s">
        <v>74</v>
      </c>
      <c r="AZ400" s="1" t="s">
        <v>74</v>
      </c>
      <c r="BA400" s="1" t="s">
        <v>74</v>
      </c>
      <c r="BB400" s="1">
        <v>757.0</v>
      </c>
      <c r="BC400" s="1">
        <v>768.0</v>
      </c>
      <c r="BD400" s="1" t="s">
        <v>74</v>
      </c>
      <c r="BE400" s="1" t="s">
        <v>3799</v>
      </c>
      <c r="BF400" s="2" t="str">
        <f>HYPERLINK("http://dx.doi.org/10.1109/TLT.2025.3587081","http://dx.doi.org/10.1109/TLT.2025.3587081")</f>
        <v>http://dx.doi.org/10.1109/TLT.2025.3587081</v>
      </c>
      <c r="BG400" s="1" t="s">
        <v>74</v>
      </c>
      <c r="BH400" s="1" t="s">
        <v>74</v>
      </c>
      <c r="BI400" s="1" t="s">
        <v>74</v>
      </c>
      <c r="BJ400" s="1" t="s">
        <v>74</v>
      </c>
      <c r="BK400" s="1" t="s">
        <v>74</v>
      </c>
      <c r="BL400" s="1" t="s">
        <v>2404</v>
      </c>
      <c r="BM400" s="1" t="s">
        <v>74</v>
      </c>
      <c r="BN400" s="1" t="s">
        <v>74</v>
      </c>
      <c r="BO400" s="1" t="s">
        <v>74</v>
      </c>
      <c r="BP400" s="1" t="s">
        <v>74</v>
      </c>
      <c r="BQ400" s="1" t="s">
        <v>74</v>
      </c>
      <c r="BR400" s="1" t="s">
        <v>74</v>
      </c>
      <c r="BS400" s="1" t="s">
        <v>3800</v>
      </c>
      <c r="BT400" s="1" t="str">
        <f>HYPERLINK("https%3A%2F%2Fwww.webofscience.com%2Fwos%2Fwoscc%2Ffull-record%2FWOS:001542419400001","View Full Record in Web of Science")</f>
        <v>View Full Record in Web of Science</v>
      </c>
    </row>
    <row r="401" ht="12.75" customHeight="1">
      <c r="A401" s="1" t="s">
        <v>72</v>
      </c>
      <c r="B401" s="1" t="s">
        <v>3801</v>
      </c>
      <c r="C401" s="1" t="s">
        <v>74</v>
      </c>
      <c r="D401" s="1" t="s">
        <v>74</v>
      </c>
      <c r="E401" s="1" t="s">
        <v>74</v>
      </c>
      <c r="F401" s="1" t="s">
        <v>3802</v>
      </c>
      <c r="G401" s="1" t="s">
        <v>74</v>
      </c>
      <c r="H401" s="1" t="s">
        <v>74</v>
      </c>
      <c r="I401" s="1" t="s">
        <v>3803</v>
      </c>
      <c r="J401" s="1" t="s">
        <v>147</v>
      </c>
      <c r="K401" s="1" t="s">
        <v>74</v>
      </c>
      <c r="L401" s="1" t="s">
        <v>74</v>
      </c>
      <c r="M401" s="1" t="s">
        <v>74</v>
      </c>
      <c r="N401" s="1" t="s">
        <v>78</v>
      </c>
      <c r="O401" s="1" t="s">
        <v>74</v>
      </c>
      <c r="P401" s="1" t="s">
        <v>74</v>
      </c>
      <c r="Q401" s="1" t="s">
        <v>74</v>
      </c>
      <c r="R401" s="1" t="s">
        <v>74</v>
      </c>
      <c r="S401" s="1" t="s">
        <v>74</v>
      </c>
      <c r="T401" s="1" t="s">
        <v>3804</v>
      </c>
      <c r="U401" s="1" t="s">
        <v>74</v>
      </c>
      <c r="V401" s="1" t="s">
        <v>3805</v>
      </c>
      <c r="W401" s="1" t="s">
        <v>74</v>
      </c>
      <c r="X401" s="1" t="s">
        <v>74</v>
      </c>
      <c r="Y401" s="1" t="s">
        <v>74</v>
      </c>
      <c r="Z401" s="1" t="s">
        <v>74</v>
      </c>
      <c r="AA401" s="1" t="s">
        <v>74</v>
      </c>
      <c r="AB401" s="1" t="s">
        <v>74</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150</v>
      </c>
      <c r="AP401" s="1" t="s">
        <v>74</v>
      </c>
      <c r="AQ401" s="1" t="s">
        <v>74</v>
      </c>
      <c r="AR401" s="1" t="s">
        <v>74</v>
      </c>
      <c r="AS401" s="1" t="s">
        <v>74</v>
      </c>
      <c r="AT401" s="1" t="s">
        <v>74</v>
      </c>
      <c r="AU401" s="1">
        <v>2025.0</v>
      </c>
      <c r="AV401" s="1">
        <v>13.0</v>
      </c>
      <c r="AW401" s="1" t="s">
        <v>74</v>
      </c>
      <c r="AX401" s="1" t="s">
        <v>74</v>
      </c>
      <c r="AY401" s="1" t="s">
        <v>74</v>
      </c>
      <c r="AZ401" s="1" t="s">
        <v>74</v>
      </c>
      <c r="BA401" s="1" t="s">
        <v>74</v>
      </c>
      <c r="BB401" s="1">
        <v>127086.0</v>
      </c>
      <c r="BC401" s="1">
        <v>127099.0</v>
      </c>
      <c r="BD401" s="1" t="s">
        <v>74</v>
      </c>
      <c r="BE401" s="1" t="s">
        <v>3806</v>
      </c>
      <c r="BF401" s="2" t="str">
        <f>HYPERLINK("http://dx.doi.org/10.1109/ACCESS.2025.3586502","http://dx.doi.org/10.1109/ACCESS.2025.3586502")</f>
        <v>http://dx.doi.org/10.1109/ACCESS.2025.3586502</v>
      </c>
      <c r="BG401" s="1" t="s">
        <v>74</v>
      </c>
      <c r="BH401" s="1" t="s">
        <v>74</v>
      </c>
      <c r="BI401" s="1" t="s">
        <v>74</v>
      </c>
      <c r="BJ401" s="1" t="s">
        <v>74</v>
      </c>
      <c r="BK401" s="1" t="s">
        <v>74</v>
      </c>
      <c r="BL401" s="1" t="s">
        <v>152</v>
      </c>
      <c r="BM401" s="1" t="s">
        <v>74</v>
      </c>
      <c r="BN401" s="1" t="s">
        <v>74</v>
      </c>
      <c r="BO401" s="1" t="s">
        <v>153</v>
      </c>
      <c r="BP401" s="1" t="s">
        <v>74</v>
      </c>
      <c r="BQ401" s="1" t="s">
        <v>74</v>
      </c>
      <c r="BR401" s="1" t="s">
        <v>74</v>
      </c>
      <c r="BS401" s="1" t="s">
        <v>3807</v>
      </c>
      <c r="BT401" s="1" t="str">
        <f>HYPERLINK("https%3A%2F%2Fwww.webofscience.com%2Fwos%2Fwoscc%2Ffull-record%2FWOS:001544669800012","View Full Record in Web of Science")</f>
        <v>View Full Record in Web of Science</v>
      </c>
    </row>
    <row r="402" ht="12.75" customHeight="1">
      <c r="A402" s="1" t="s">
        <v>72</v>
      </c>
      <c r="B402" s="1" t="s">
        <v>3808</v>
      </c>
      <c r="C402" s="1" t="s">
        <v>74</v>
      </c>
      <c r="D402" s="1" t="s">
        <v>74</v>
      </c>
      <c r="E402" s="1" t="s">
        <v>74</v>
      </c>
      <c r="F402" s="1" t="s">
        <v>3809</v>
      </c>
      <c r="G402" s="1" t="s">
        <v>74</v>
      </c>
      <c r="H402" s="1" t="s">
        <v>74</v>
      </c>
      <c r="I402" s="1" t="s">
        <v>3810</v>
      </c>
      <c r="J402" s="1" t="s">
        <v>3811</v>
      </c>
      <c r="K402" s="1" t="s">
        <v>74</v>
      </c>
      <c r="L402" s="1" t="s">
        <v>74</v>
      </c>
      <c r="M402" s="1" t="s">
        <v>74</v>
      </c>
      <c r="N402" s="1" t="s">
        <v>78</v>
      </c>
      <c r="O402" s="1" t="s">
        <v>74</v>
      </c>
      <c r="P402" s="1" t="s">
        <v>74</v>
      </c>
      <c r="Q402" s="1" t="s">
        <v>74</v>
      </c>
      <c r="R402" s="1" t="s">
        <v>74</v>
      </c>
      <c r="S402" s="1" t="s">
        <v>74</v>
      </c>
      <c r="T402" s="1" t="s">
        <v>3812</v>
      </c>
      <c r="U402" s="1" t="s">
        <v>3813</v>
      </c>
      <c r="V402" s="1" t="s">
        <v>3814</v>
      </c>
      <c r="W402" s="1" t="s">
        <v>74</v>
      </c>
      <c r="X402" s="1" t="s">
        <v>74</v>
      </c>
      <c r="Y402" s="1" t="s">
        <v>74</v>
      </c>
      <c r="Z402" s="1" t="s">
        <v>74</v>
      </c>
      <c r="AA402" s="1" t="s">
        <v>74</v>
      </c>
      <c r="AB402" s="1" t="s">
        <v>74</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3815</v>
      </c>
      <c r="AP402" s="1" t="s">
        <v>3816</v>
      </c>
      <c r="AQ402" s="1" t="s">
        <v>74</v>
      </c>
      <c r="AR402" s="1" t="s">
        <v>74</v>
      </c>
      <c r="AS402" s="1" t="s">
        <v>74</v>
      </c>
      <c r="AT402" s="1" t="s">
        <v>262</v>
      </c>
      <c r="AU402" s="1">
        <v>2024.0</v>
      </c>
      <c r="AV402" s="1">
        <v>43.0</v>
      </c>
      <c r="AW402" s="1" t="s">
        <v>74</v>
      </c>
      <c r="AX402" s="1" t="s">
        <v>74</v>
      </c>
      <c r="AY402" s="1" t="s">
        <v>74</v>
      </c>
      <c r="AZ402" s="1" t="s">
        <v>74</v>
      </c>
      <c r="BA402" s="1" t="s">
        <v>74</v>
      </c>
      <c r="BB402" s="1" t="s">
        <v>74</v>
      </c>
      <c r="BC402" s="1" t="s">
        <v>74</v>
      </c>
      <c r="BD402" s="1">
        <v>100971.0</v>
      </c>
      <c r="BE402" s="1" t="s">
        <v>3817</v>
      </c>
      <c r="BF402" s="2" t="str">
        <f>HYPERLINK("http://dx.doi.org/10.1016/j.jbef.2024.100971","http://dx.doi.org/10.1016/j.jbef.2024.100971")</f>
        <v>http://dx.doi.org/10.1016/j.jbef.2024.100971</v>
      </c>
      <c r="BG402" s="1" t="s">
        <v>74</v>
      </c>
      <c r="BH402" s="1" t="s">
        <v>453</v>
      </c>
      <c r="BI402" s="1" t="s">
        <v>74</v>
      </c>
      <c r="BJ402" s="1" t="s">
        <v>74</v>
      </c>
      <c r="BK402" s="1" t="s">
        <v>74</v>
      </c>
      <c r="BL402" s="1" t="s">
        <v>214</v>
      </c>
      <c r="BM402" s="1" t="s">
        <v>74</v>
      </c>
      <c r="BN402" s="1" t="s">
        <v>74</v>
      </c>
      <c r="BO402" s="1" t="s">
        <v>114</v>
      </c>
      <c r="BP402" s="1" t="s">
        <v>74</v>
      </c>
      <c r="BQ402" s="1" t="s">
        <v>74</v>
      </c>
      <c r="BR402" s="1" t="s">
        <v>74</v>
      </c>
      <c r="BS402" s="1" t="s">
        <v>3818</v>
      </c>
      <c r="BT402" s="1" t="str">
        <f>HYPERLINK("https%3A%2F%2Fwww.webofscience.com%2Fwos%2Fwoscc%2Ffull-record%2FWOS:001331560900001","View Full Record in Web of Science")</f>
        <v>View Full Record in Web of Science</v>
      </c>
    </row>
    <row r="403" ht="12.75" customHeight="1">
      <c r="A403" s="1" t="s">
        <v>72</v>
      </c>
      <c r="B403" s="1" t="s">
        <v>3819</v>
      </c>
      <c r="C403" s="1" t="s">
        <v>74</v>
      </c>
      <c r="D403" s="1" t="s">
        <v>74</v>
      </c>
      <c r="E403" s="1" t="s">
        <v>74</v>
      </c>
      <c r="F403" s="1" t="s">
        <v>3820</v>
      </c>
      <c r="G403" s="1" t="s">
        <v>74</v>
      </c>
      <c r="H403" s="1" t="s">
        <v>74</v>
      </c>
      <c r="I403" s="1" t="s">
        <v>3821</v>
      </c>
      <c r="J403" s="1" t="s">
        <v>2479</v>
      </c>
      <c r="K403" s="1" t="s">
        <v>74</v>
      </c>
      <c r="L403" s="1" t="s">
        <v>74</v>
      </c>
      <c r="M403" s="1" t="s">
        <v>74</v>
      </c>
      <c r="N403" s="1" t="s">
        <v>78</v>
      </c>
      <c r="O403" s="1" t="s">
        <v>74</v>
      </c>
      <c r="P403" s="1" t="s">
        <v>74</v>
      </c>
      <c r="Q403" s="1" t="s">
        <v>74</v>
      </c>
      <c r="R403" s="1" t="s">
        <v>74</v>
      </c>
      <c r="S403" s="1" t="s">
        <v>74</v>
      </c>
      <c r="T403" s="1" t="s">
        <v>3822</v>
      </c>
      <c r="U403" s="1" t="s">
        <v>74</v>
      </c>
      <c r="V403" s="1" t="s">
        <v>3823</v>
      </c>
      <c r="W403" s="1" t="s">
        <v>74</v>
      </c>
      <c r="X403" s="1" t="s">
        <v>74</v>
      </c>
      <c r="Y403" s="1" t="s">
        <v>74</v>
      </c>
      <c r="Z403" s="1" t="s">
        <v>74</v>
      </c>
      <c r="AA403" s="1" t="s">
        <v>74</v>
      </c>
      <c r="AB403" s="1" t="s">
        <v>74</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2483</v>
      </c>
      <c r="AP403" s="1" t="s">
        <v>2484</v>
      </c>
      <c r="AQ403" s="1" t="s">
        <v>74</v>
      </c>
      <c r="AR403" s="1" t="s">
        <v>74</v>
      </c>
      <c r="AS403" s="1" t="s">
        <v>74</v>
      </c>
      <c r="AT403" s="1" t="s">
        <v>262</v>
      </c>
      <c r="AU403" s="1">
        <v>2025.0</v>
      </c>
      <c r="AV403" s="1">
        <v>43.0</v>
      </c>
      <c r="AW403" s="1">
        <v>5.0</v>
      </c>
      <c r="AX403" s="1" t="s">
        <v>74</v>
      </c>
      <c r="AY403" s="1" t="s">
        <v>74</v>
      </c>
      <c r="AZ403" s="1" t="s">
        <v>707</v>
      </c>
      <c r="BA403" s="1" t="s">
        <v>74</v>
      </c>
      <c r="BB403" s="1" t="s">
        <v>74</v>
      </c>
      <c r="BC403" s="1" t="s">
        <v>74</v>
      </c>
      <c r="BD403" s="1">
        <v>135.0</v>
      </c>
      <c r="BE403" s="1" t="s">
        <v>3824</v>
      </c>
      <c r="BF403" s="2" t="str">
        <f>HYPERLINK("http://dx.doi.org/10.1145/3742423","http://dx.doi.org/10.1145/3742423")</f>
        <v>http://dx.doi.org/10.1145/3742423</v>
      </c>
      <c r="BG403" s="1" t="s">
        <v>74</v>
      </c>
      <c r="BH403" s="1" t="s">
        <v>74</v>
      </c>
      <c r="BI403" s="1" t="s">
        <v>74</v>
      </c>
      <c r="BJ403" s="1" t="s">
        <v>74</v>
      </c>
      <c r="BK403" s="1" t="s">
        <v>74</v>
      </c>
      <c r="BL403" s="1" t="s">
        <v>174</v>
      </c>
      <c r="BM403" s="1" t="s">
        <v>74</v>
      </c>
      <c r="BN403" s="1" t="s">
        <v>74</v>
      </c>
      <c r="BO403" s="1" t="s">
        <v>74</v>
      </c>
      <c r="BP403" s="1" t="s">
        <v>74</v>
      </c>
      <c r="BQ403" s="1" t="s">
        <v>74</v>
      </c>
      <c r="BR403" s="1" t="s">
        <v>74</v>
      </c>
      <c r="BS403" s="1" t="s">
        <v>3825</v>
      </c>
      <c r="BT403" s="1" t="str">
        <f>HYPERLINK("https%3A%2F%2Fwww.webofscience.com%2Fwos%2Fwoscc%2Ffull-record%2FWOS:001552837600001","View Full Record in Web of Science")</f>
        <v>View Full Record in Web of Science</v>
      </c>
    </row>
    <row r="404" ht="12.75" customHeight="1">
      <c r="A404" s="1" t="s">
        <v>72</v>
      </c>
      <c r="B404" s="1" t="s">
        <v>3826</v>
      </c>
      <c r="C404" s="1" t="s">
        <v>74</v>
      </c>
      <c r="D404" s="1" t="s">
        <v>74</v>
      </c>
      <c r="E404" s="1" t="s">
        <v>74</v>
      </c>
      <c r="F404" s="1" t="s">
        <v>3827</v>
      </c>
      <c r="G404" s="1" t="s">
        <v>74</v>
      </c>
      <c r="H404" s="1" t="s">
        <v>74</v>
      </c>
      <c r="I404" s="1" t="s">
        <v>3828</v>
      </c>
      <c r="J404" s="1" t="s">
        <v>2868</v>
      </c>
      <c r="K404" s="1" t="s">
        <v>74</v>
      </c>
      <c r="L404" s="1" t="s">
        <v>74</v>
      </c>
      <c r="M404" s="1" t="s">
        <v>74</v>
      </c>
      <c r="N404" s="1" t="s">
        <v>78</v>
      </c>
      <c r="O404" s="1" t="s">
        <v>74</v>
      </c>
      <c r="P404" s="1" t="s">
        <v>74</v>
      </c>
      <c r="Q404" s="1" t="s">
        <v>74</v>
      </c>
      <c r="R404" s="1" t="s">
        <v>74</v>
      </c>
      <c r="S404" s="1" t="s">
        <v>74</v>
      </c>
      <c r="T404" s="1" t="s">
        <v>3829</v>
      </c>
      <c r="U404" s="1" t="s">
        <v>74</v>
      </c>
      <c r="V404" s="1" t="s">
        <v>3830</v>
      </c>
      <c r="W404" s="1" t="s">
        <v>74</v>
      </c>
      <c r="X404" s="1" t="s">
        <v>74</v>
      </c>
      <c r="Y404" s="1" t="s">
        <v>74</v>
      </c>
      <c r="Z404" s="1" t="s">
        <v>74</v>
      </c>
      <c r="AA404" s="1" t="s">
        <v>74</v>
      </c>
      <c r="AB404" s="1" t="s">
        <v>74</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2871</v>
      </c>
      <c r="AP404" s="1" t="s">
        <v>2872</v>
      </c>
      <c r="AQ404" s="1" t="s">
        <v>74</v>
      </c>
      <c r="AR404" s="1" t="s">
        <v>74</v>
      </c>
      <c r="AS404" s="1" t="s">
        <v>74</v>
      </c>
      <c r="AT404" s="1" t="s">
        <v>688</v>
      </c>
      <c r="AU404" s="1">
        <v>2026.0</v>
      </c>
      <c r="AV404" s="1">
        <v>63.0</v>
      </c>
      <c r="AW404" s="1">
        <v>2.0</v>
      </c>
      <c r="AX404" s="1" t="s">
        <v>110</v>
      </c>
      <c r="AY404" s="1" t="s">
        <v>74</v>
      </c>
      <c r="AZ404" s="1" t="s">
        <v>74</v>
      </c>
      <c r="BA404" s="1" t="s">
        <v>74</v>
      </c>
      <c r="BB404" s="1" t="s">
        <v>74</v>
      </c>
      <c r="BC404" s="1" t="s">
        <v>74</v>
      </c>
      <c r="BD404" s="1">
        <v>104461.0</v>
      </c>
      <c r="BE404" s="1" t="s">
        <v>3831</v>
      </c>
      <c r="BF404" s="2" t="str">
        <f>HYPERLINK("http://dx.doi.org/10.1016/j.ipm.2025.104461","http://dx.doi.org/10.1016/j.ipm.2025.104461")</f>
        <v>http://dx.doi.org/10.1016/j.ipm.2025.104461</v>
      </c>
      <c r="BG404" s="1" t="s">
        <v>74</v>
      </c>
      <c r="BH404" s="1" t="s">
        <v>255</v>
      </c>
      <c r="BI404" s="1" t="s">
        <v>74</v>
      </c>
      <c r="BJ404" s="1" t="s">
        <v>74</v>
      </c>
      <c r="BK404" s="1" t="s">
        <v>74</v>
      </c>
      <c r="BL404" s="1" t="s">
        <v>2874</v>
      </c>
      <c r="BM404" s="1" t="s">
        <v>74</v>
      </c>
      <c r="BN404" s="1" t="s">
        <v>74</v>
      </c>
      <c r="BO404" s="1" t="s">
        <v>74</v>
      </c>
      <c r="BP404" s="1" t="s">
        <v>74</v>
      </c>
      <c r="BQ404" s="1" t="s">
        <v>74</v>
      </c>
      <c r="BR404" s="1" t="s">
        <v>74</v>
      </c>
      <c r="BS404" s="1" t="s">
        <v>3832</v>
      </c>
      <c r="BT404" s="1" t="str">
        <f>HYPERLINK("https%3A%2F%2Fwww.webofscience.com%2Fwos%2Fwoscc%2Ffull-record%2FWOS:001611008300001","View Full Record in Web of Science")</f>
        <v>View Full Record in Web of Science</v>
      </c>
    </row>
    <row r="405" ht="12.75" customHeight="1">
      <c r="A405" s="1" t="s">
        <v>72</v>
      </c>
      <c r="B405" s="1" t="s">
        <v>3833</v>
      </c>
      <c r="C405" s="1" t="s">
        <v>74</v>
      </c>
      <c r="D405" s="1" t="s">
        <v>74</v>
      </c>
      <c r="E405" s="1" t="s">
        <v>74</v>
      </c>
      <c r="F405" s="1" t="s">
        <v>3834</v>
      </c>
      <c r="G405" s="1" t="s">
        <v>74</v>
      </c>
      <c r="H405" s="1" t="s">
        <v>74</v>
      </c>
      <c r="I405" s="1" t="s">
        <v>3835</v>
      </c>
      <c r="J405" s="1" t="s">
        <v>3836</v>
      </c>
      <c r="K405" s="1" t="s">
        <v>74</v>
      </c>
      <c r="L405" s="1" t="s">
        <v>74</v>
      </c>
      <c r="M405" s="1" t="s">
        <v>74</v>
      </c>
      <c r="N405" s="1" t="s">
        <v>158</v>
      </c>
      <c r="O405" s="1" t="s">
        <v>74</v>
      </c>
      <c r="P405" s="1" t="s">
        <v>74</v>
      </c>
      <c r="Q405" s="1" t="s">
        <v>74</v>
      </c>
      <c r="R405" s="1" t="s">
        <v>74</v>
      </c>
      <c r="S405" s="1" t="s">
        <v>74</v>
      </c>
      <c r="T405" s="1" t="s">
        <v>3837</v>
      </c>
      <c r="U405" s="1" t="s">
        <v>3838</v>
      </c>
      <c r="V405" s="1" t="s">
        <v>3839</v>
      </c>
      <c r="W405" s="1" t="s">
        <v>74</v>
      </c>
      <c r="X405" s="1" t="s">
        <v>74</v>
      </c>
      <c r="Y405" s="1" t="s">
        <v>74</v>
      </c>
      <c r="Z405" s="1" t="s">
        <v>74</v>
      </c>
      <c r="AA405" s="1" t="s">
        <v>74</v>
      </c>
      <c r="AB405" s="1" t="s">
        <v>74</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3840</v>
      </c>
      <c r="AP405" s="1" t="s">
        <v>3841</v>
      </c>
      <c r="AQ405" s="1" t="s">
        <v>74</v>
      </c>
      <c r="AR405" s="1" t="s">
        <v>74</v>
      </c>
      <c r="AS405" s="1" t="s">
        <v>74</v>
      </c>
      <c r="AT405" s="1" t="s">
        <v>357</v>
      </c>
      <c r="AU405" s="1">
        <v>2025.0</v>
      </c>
      <c r="AV405" s="1">
        <v>57.0</v>
      </c>
      <c r="AW405" s="1" t="s">
        <v>74</v>
      </c>
      <c r="AX405" s="1" t="s">
        <v>74</v>
      </c>
      <c r="AY405" s="1" t="s">
        <v>74</v>
      </c>
      <c r="AZ405" s="1" t="s">
        <v>74</v>
      </c>
      <c r="BA405" s="1" t="s">
        <v>74</v>
      </c>
      <c r="BB405" s="1" t="s">
        <v>74</v>
      </c>
      <c r="BC405" s="1" t="s">
        <v>74</v>
      </c>
      <c r="BD405" s="1">
        <v>100812.0</v>
      </c>
      <c r="BE405" s="1" t="s">
        <v>3842</v>
      </c>
      <c r="BF405" s="2" t="str">
        <f>HYPERLINK("http://dx.doi.org/10.1016/j.osn.2025.100812","http://dx.doi.org/10.1016/j.osn.2025.100812")</f>
        <v>http://dx.doi.org/10.1016/j.osn.2025.100812</v>
      </c>
      <c r="BG405" s="1" t="s">
        <v>74</v>
      </c>
      <c r="BH405" s="1" t="s">
        <v>112</v>
      </c>
      <c r="BI405" s="1" t="s">
        <v>74</v>
      </c>
      <c r="BJ405" s="1" t="s">
        <v>74</v>
      </c>
      <c r="BK405" s="1" t="s">
        <v>74</v>
      </c>
      <c r="BL405" s="1" t="s">
        <v>3843</v>
      </c>
      <c r="BM405" s="1" t="s">
        <v>74</v>
      </c>
      <c r="BN405" s="1" t="s">
        <v>74</v>
      </c>
      <c r="BO405" s="1" t="s">
        <v>74</v>
      </c>
      <c r="BP405" s="1" t="s">
        <v>74</v>
      </c>
      <c r="BQ405" s="1" t="s">
        <v>74</v>
      </c>
      <c r="BR405" s="1" t="s">
        <v>74</v>
      </c>
      <c r="BS405" s="1" t="s">
        <v>3844</v>
      </c>
      <c r="BT405" s="1" t="str">
        <f>HYPERLINK("https%3A%2F%2Fwww.webofscience.com%2Fwos%2Fwoscc%2Ffull-record%2FWOS:001523166900001","View Full Record in Web of Science")</f>
        <v>View Full Record in Web of Science</v>
      </c>
    </row>
    <row r="406" ht="12.75" customHeight="1">
      <c r="A406" s="1" t="s">
        <v>72</v>
      </c>
      <c r="B406" s="1" t="s">
        <v>3845</v>
      </c>
      <c r="C406" s="1" t="s">
        <v>74</v>
      </c>
      <c r="D406" s="1" t="s">
        <v>74</v>
      </c>
      <c r="E406" s="1" t="s">
        <v>74</v>
      </c>
      <c r="F406" s="1" t="s">
        <v>3846</v>
      </c>
      <c r="G406" s="1" t="s">
        <v>74</v>
      </c>
      <c r="H406" s="1" t="s">
        <v>74</v>
      </c>
      <c r="I406" s="1" t="s">
        <v>3847</v>
      </c>
      <c r="J406" s="1" t="s">
        <v>3848</v>
      </c>
      <c r="K406" s="1" t="s">
        <v>74</v>
      </c>
      <c r="L406" s="1" t="s">
        <v>74</v>
      </c>
      <c r="M406" s="1" t="s">
        <v>74</v>
      </c>
      <c r="N406" s="1" t="s">
        <v>78</v>
      </c>
      <c r="O406" s="1" t="s">
        <v>74</v>
      </c>
      <c r="P406" s="1" t="s">
        <v>74</v>
      </c>
      <c r="Q406" s="1" t="s">
        <v>74</v>
      </c>
      <c r="R406" s="1" t="s">
        <v>74</v>
      </c>
      <c r="S406" s="1" t="s">
        <v>74</v>
      </c>
      <c r="T406" s="1" t="s">
        <v>3849</v>
      </c>
      <c r="U406" s="1" t="s">
        <v>74</v>
      </c>
      <c r="V406" s="1" t="s">
        <v>3850</v>
      </c>
      <c r="W406" s="1" t="s">
        <v>74</v>
      </c>
      <c r="X406" s="1" t="s">
        <v>74</v>
      </c>
      <c r="Y406" s="1" t="s">
        <v>74</v>
      </c>
      <c r="Z406" s="1" t="s">
        <v>74</v>
      </c>
      <c r="AA406" s="1" t="s">
        <v>74</v>
      </c>
      <c r="AB406" s="1" t="s">
        <v>74</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3851</v>
      </c>
      <c r="AP406" s="1" t="s">
        <v>3852</v>
      </c>
      <c r="AQ406" s="1" t="s">
        <v>74</v>
      </c>
      <c r="AR406" s="1" t="s">
        <v>74</v>
      </c>
      <c r="AS406" s="1" t="s">
        <v>74</v>
      </c>
      <c r="AT406" s="1" t="s">
        <v>225</v>
      </c>
      <c r="AU406" s="1">
        <v>2023.0</v>
      </c>
      <c r="AV406" s="1">
        <v>29.0</v>
      </c>
      <c r="AW406" s="1">
        <v>4.0</v>
      </c>
      <c r="AX406" s="1" t="s">
        <v>74</v>
      </c>
      <c r="AY406" s="1" t="s">
        <v>74</v>
      </c>
      <c r="AZ406" s="1" t="s">
        <v>74</v>
      </c>
      <c r="BA406" s="1" t="s">
        <v>74</v>
      </c>
      <c r="BB406" s="1">
        <v>1188.0</v>
      </c>
      <c r="BC406" s="1">
        <v>1197.0</v>
      </c>
      <c r="BD406" s="1" t="s">
        <v>74</v>
      </c>
      <c r="BE406" s="1" t="s">
        <v>3853</v>
      </c>
      <c r="BF406" s="2" t="str">
        <f>HYPERLINK("http://dx.doi.org/10.1017/S1351324923000347","http://dx.doi.org/10.1017/S1351324923000347")</f>
        <v>http://dx.doi.org/10.1017/S1351324923000347</v>
      </c>
      <c r="BG406" s="1" t="s">
        <v>74</v>
      </c>
      <c r="BH406" s="1" t="s">
        <v>74</v>
      </c>
      <c r="BI406" s="1" t="s">
        <v>74</v>
      </c>
      <c r="BJ406" s="1" t="s">
        <v>74</v>
      </c>
      <c r="BK406" s="1" t="s">
        <v>74</v>
      </c>
      <c r="BL406" s="1" t="s">
        <v>3854</v>
      </c>
      <c r="BM406" s="1" t="s">
        <v>74</v>
      </c>
      <c r="BN406" s="1" t="s">
        <v>74</v>
      </c>
      <c r="BO406" s="1" t="s">
        <v>114</v>
      </c>
      <c r="BP406" s="1" t="s">
        <v>74</v>
      </c>
      <c r="BQ406" s="1" t="s">
        <v>74</v>
      </c>
      <c r="BR406" s="1" t="s">
        <v>74</v>
      </c>
      <c r="BS406" s="1" t="s">
        <v>3855</v>
      </c>
      <c r="BT406" s="1" t="str">
        <f>HYPERLINK("https%3A%2F%2Fwww.webofscience.com%2Fwos%2Fwoscc%2Ffull-record%2FWOS:001032435400011","View Full Record in Web of Science")</f>
        <v>View Full Record in Web of Science</v>
      </c>
    </row>
    <row r="407" ht="12.75" customHeight="1">
      <c r="A407" s="1" t="s">
        <v>72</v>
      </c>
      <c r="B407" s="1" t="s">
        <v>3856</v>
      </c>
      <c r="C407" s="1" t="s">
        <v>74</v>
      </c>
      <c r="D407" s="1" t="s">
        <v>74</v>
      </c>
      <c r="E407" s="1" t="s">
        <v>74</v>
      </c>
      <c r="F407" s="1" t="s">
        <v>3857</v>
      </c>
      <c r="G407" s="1" t="s">
        <v>74</v>
      </c>
      <c r="H407" s="1" t="s">
        <v>74</v>
      </c>
      <c r="I407" s="1" t="s">
        <v>3858</v>
      </c>
      <c r="J407" s="1" t="s">
        <v>3305</v>
      </c>
      <c r="K407" s="1" t="s">
        <v>74</v>
      </c>
      <c r="L407" s="1" t="s">
        <v>74</v>
      </c>
      <c r="M407" s="1" t="s">
        <v>74</v>
      </c>
      <c r="N407" s="1" t="s">
        <v>78</v>
      </c>
      <c r="O407" s="1" t="s">
        <v>74</v>
      </c>
      <c r="P407" s="1" t="s">
        <v>74</v>
      </c>
      <c r="Q407" s="1" t="s">
        <v>74</v>
      </c>
      <c r="R407" s="1" t="s">
        <v>74</v>
      </c>
      <c r="S407" s="1" t="s">
        <v>74</v>
      </c>
      <c r="T407" s="1" t="s">
        <v>3859</v>
      </c>
      <c r="U407" s="1" t="s">
        <v>3860</v>
      </c>
      <c r="V407" s="1" t="s">
        <v>3861</v>
      </c>
      <c r="W407" s="1" t="s">
        <v>74</v>
      </c>
      <c r="X407" s="1" t="s">
        <v>74</v>
      </c>
      <c r="Y407" s="1" t="s">
        <v>74</v>
      </c>
      <c r="Z407" s="1" t="s">
        <v>74</v>
      </c>
      <c r="AA407" s="1" t="s">
        <v>74</v>
      </c>
      <c r="AB407" s="1" t="s">
        <v>74</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3308</v>
      </c>
      <c r="AP407" s="1" t="s">
        <v>3309</v>
      </c>
      <c r="AQ407" s="1" t="s">
        <v>74</v>
      </c>
      <c r="AR407" s="1" t="s">
        <v>74</v>
      </c>
      <c r="AS407" s="1" t="s">
        <v>74</v>
      </c>
      <c r="AT407" s="1" t="s">
        <v>200</v>
      </c>
      <c r="AU407" s="1">
        <v>2024.0</v>
      </c>
      <c r="AV407" s="1">
        <v>120.0</v>
      </c>
      <c r="AW407" s="1" t="s">
        <v>74</v>
      </c>
      <c r="AX407" s="1" t="s">
        <v>110</v>
      </c>
      <c r="AY407" s="1" t="s">
        <v>74</v>
      </c>
      <c r="AZ407" s="1" t="s">
        <v>74</v>
      </c>
      <c r="BA407" s="1" t="s">
        <v>74</v>
      </c>
      <c r="BB407" s="1" t="s">
        <v>74</v>
      </c>
      <c r="BC407" s="1" t="s">
        <v>74</v>
      </c>
      <c r="BD407" s="1">
        <v>109770.0</v>
      </c>
      <c r="BE407" s="1" t="s">
        <v>3862</v>
      </c>
      <c r="BF407" s="2" t="str">
        <f>HYPERLINK("http://dx.doi.org/10.1016/j.compeleceng.2024.109770","http://dx.doi.org/10.1016/j.compeleceng.2024.109770")</f>
        <v>http://dx.doi.org/10.1016/j.compeleceng.2024.109770</v>
      </c>
      <c r="BG407" s="1" t="s">
        <v>74</v>
      </c>
      <c r="BH407" s="1" t="s">
        <v>2216</v>
      </c>
      <c r="BI407" s="1" t="s">
        <v>74</v>
      </c>
      <c r="BJ407" s="1" t="s">
        <v>74</v>
      </c>
      <c r="BK407" s="1" t="s">
        <v>74</v>
      </c>
      <c r="BL407" s="1" t="s">
        <v>98</v>
      </c>
      <c r="BM407" s="1" t="s">
        <v>74</v>
      </c>
      <c r="BN407" s="1" t="s">
        <v>74</v>
      </c>
      <c r="BO407" s="1" t="s">
        <v>74</v>
      </c>
      <c r="BP407" s="1" t="s">
        <v>74</v>
      </c>
      <c r="BQ407" s="1" t="s">
        <v>74</v>
      </c>
      <c r="BR407" s="1" t="s">
        <v>74</v>
      </c>
      <c r="BS407" s="1" t="s">
        <v>3863</v>
      </c>
      <c r="BT407" s="1" t="str">
        <f>HYPERLINK("https%3A%2F%2Fwww.webofscience.com%2Fwos%2Fwoscc%2Ffull-record%2FWOS:001361506200001","View Full Record in Web of Science")</f>
        <v>View Full Record in Web of Science</v>
      </c>
    </row>
    <row r="408" ht="12.75" customHeight="1">
      <c r="A408" s="1" t="s">
        <v>72</v>
      </c>
      <c r="B408" s="1" t="s">
        <v>3864</v>
      </c>
      <c r="C408" s="1" t="s">
        <v>74</v>
      </c>
      <c r="D408" s="1" t="s">
        <v>74</v>
      </c>
      <c r="E408" s="1" t="s">
        <v>74</v>
      </c>
      <c r="F408" s="1" t="s">
        <v>3865</v>
      </c>
      <c r="G408" s="1" t="s">
        <v>74</v>
      </c>
      <c r="H408" s="1" t="s">
        <v>74</v>
      </c>
      <c r="I408" s="1" t="s">
        <v>3866</v>
      </c>
      <c r="J408" s="1" t="s">
        <v>881</v>
      </c>
      <c r="K408" s="1" t="s">
        <v>74</v>
      </c>
      <c r="L408" s="1" t="s">
        <v>74</v>
      </c>
      <c r="M408" s="1" t="s">
        <v>74</v>
      </c>
      <c r="N408" s="1" t="s">
        <v>78</v>
      </c>
      <c r="O408" s="1" t="s">
        <v>74</v>
      </c>
      <c r="P408" s="1" t="s">
        <v>74</v>
      </c>
      <c r="Q408" s="1" t="s">
        <v>74</v>
      </c>
      <c r="R408" s="1" t="s">
        <v>74</v>
      </c>
      <c r="S408" s="1" t="s">
        <v>74</v>
      </c>
      <c r="T408" s="1" t="s">
        <v>3867</v>
      </c>
      <c r="U408" s="1" t="s">
        <v>74</v>
      </c>
      <c r="V408" s="1" t="s">
        <v>3868</v>
      </c>
      <c r="W408" s="1" t="s">
        <v>74</v>
      </c>
      <c r="X408" s="1" t="s">
        <v>74</v>
      </c>
      <c r="Y408" s="1" t="s">
        <v>74</v>
      </c>
      <c r="Z408" s="1" t="s">
        <v>74</v>
      </c>
      <c r="AA408" s="1" t="s">
        <v>74</v>
      </c>
      <c r="AB408" s="1" t="s">
        <v>74</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74</v>
      </c>
      <c r="AP408" s="1" t="s">
        <v>884</v>
      </c>
      <c r="AQ408" s="1" t="s">
        <v>74</v>
      </c>
      <c r="AR408" s="1" t="s">
        <v>74</v>
      </c>
      <c r="AS408" s="1" t="s">
        <v>74</v>
      </c>
      <c r="AT408" s="1" t="s">
        <v>3869</v>
      </c>
      <c r="AU408" s="1">
        <v>2025.0</v>
      </c>
      <c r="AV408" s="1">
        <v>16.0</v>
      </c>
      <c r="AW408" s="1">
        <v>6.0</v>
      </c>
      <c r="AX408" s="1" t="s">
        <v>74</v>
      </c>
      <c r="AY408" s="1" t="s">
        <v>74</v>
      </c>
      <c r="AZ408" s="1" t="s">
        <v>74</v>
      </c>
      <c r="BA408" s="1" t="s">
        <v>74</v>
      </c>
      <c r="BB408" s="1" t="s">
        <v>74</v>
      </c>
      <c r="BC408" s="1" t="s">
        <v>74</v>
      </c>
      <c r="BD408" s="1">
        <v>440.0</v>
      </c>
      <c r="BE408" s="1" t="s">
        <v>3870</v>
      </c>
      <c r="BF408" s="2" t="str">
        <f>HYPERLINK("http://dx.doi.org/10.3390/info16060440","http://dx.doi.org/10.3390/info16060440")</f>
        <v>http://dx.doi.org/10.3390/info16060440</v>
      </c>
      <c r="BG408" s="1" t="s">
        <v>74</v>
      </c>
      <c r="BH408" s="1" t="s">
        <v>74</v>
      </c>
      <c r="BI408" s="1" t="s">
        <v>74</v>
      </c>
      <c r="BJ408" s="1" t="s">
        <v>74</v>
      </c>
      <c r="BK408" s="1" t="s">
        <v>74</v>
      </c>
      <c r="BL408" s="1" t="s">
        <v>174</v>
      </c>
      <c r="BM408" s="1" t="s">
        <v>74</v>
      </c>
      <c r="BN408" s="1" t="s">
        <v>74</v>
      </c>
      <c r="BO408" s="1" t="s">
        <v>163</v>
      </c>
      <c r="BP408" s="1" t="s">
        <v>74</v>
      </c>
      <c r="BQ408" s="1" t="s">
        <v>74</v>
      </c>
      <c r="BR408" s="1" t="s">
        <v>74</v>
      </c>
      <c r="BS408" s="1" t="s">
        <v>3871</v>
      </c>
      <c r="BT408" s="1" t="str">
        <f>HYPERLINK("https%3A%2F%2Fwww.webofscience.com%2Fwos%2Fwoscc%2Ffull-record%2FWOS:001517574800001","View Full Record in Web of Science")</f>
        <v>View Full Record in Web of Science</v>
      </c>
    </row>
    <row r="409" ht="12.75" customHeight="1">
      <c r="A409" s="1" t="s">
        <v>72</v>
      </c>
      <c r="B409" s="1" t="s">
        <v>3872</v>
      </c>
      <c r="C409" s="1" t="s">
        <v>74</v>
      </c>
      <c r="D409" s="1" t="s">
        <v>74</v>
      </c>
      <c r="E409" s="1" t="s">
        <v>74</v>
      </c>
      <c r="F409" s="1" t="s">
        <v>3873</v>
      </c>
      <c r="G409" s="1" t="s">
        <v>74</v>
      </c>
      <c r="H409" s="1" t="s">
        <v>74</v>
      </c>
      <c r="I409" s="1" t="s">
        <v>3874</v>
      </c>
      <c r="J409" s="1" t="s">
        <v>2868</v>
      </c>
      <c r="K409" s="1" t="s">
        <v>74</v>
      </c>
      <c r="L409" s="1" t="s">
        <v>74</v>
      </c>
      <c r="M409" s="1" t="s">
        <v>74</v>
      </c>
      <c r="N409" s="1" t="s">
        <v>78</v>
      </c>
      <c r="O409" s="1" t="s">
        <v>74</v>
      </c>
      <c r="P409" s="1" t="s">
        <v>74</v>
      </c>
      <c r="Q409" s="1" t="s">
        <v>74</v>
      </c>
      <c r="R409" s="1" t="s">
        <v>74</v>
      </c>
      <c r="S409" s="1" t="s">
        <v>74</v>
      </c>
      <c r="T409" s="1" t="s">
        <v>3875</v>
      </c>
      <c r="U409" s="1" t="s">
        <v>74</v>
      </c>
      <c r="V409" s="1" t="s">
        <v>3876</v>
      </c>
      <c r="W409" s="1" t="s">
        <v>74</v>
      </c>
      <c r="X409" s="1" t="s">
        <v>74</v>
      </c>
      <c r="Y409" s="1" t="s">
        <v>74</v>
      </c>
      <c r="Z409" s="1" t="s">
        <v>74</v>
      </c>
      <c r="AA409" s="1" t="s">
        <v>74</v>
      </c>
      <c r="AB409" s="1" t="s">
        <v>74</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2871</v>
      </c>
      <c r="AP409" s="1" t="s">
        <v>2872</v>
      </c>
      <c r="AQ409" s="1" t="s">
        <v>74</v>
      </c>
      <c r="AR409" s="1" t="s">
        <v>74</v>
      </c>
      <c r="AS409" s="1" t="s">
        <v>74</v>
      </c>
      <c r="AT409" s="1" t="s">
        <v>736</v>
      </c>
      <c r="AU409" s="1">
        <v>2026.0</v>
      </c>
      <c r="AV409" s="1">
        <v>63.0</v>
      </c>
      <c r="AW409" s="1">
        <v>1.0</v>
      </c>
      <c r="AX409" s="1" t="s">
        <v>74</v>
      </c>
      <c r="AY409" s="1" t="s">
        <v>74</v>
      </c>
      <c r="AZ409" s="1" t="s">
        <v>74</v>
      </c>
      <c r="BA409" s="1" t="s">
        <v>74</v>
      </c>
      <c r="BB409" s="1" t="s">
        <v>74</v>
      </c>
      <c r="BC409" s="1" t="s">
        <v>74</v>
      </c>
      <c r="BD409" s="1">
        <v>104354.0</v>
      </c>
      <c r="BE409" s="1" t="s">
        <v>3877</v>
      </c>
      <c r="BF409" s="2" t="str">
        <f>HYPERLINK("http://dx.doi.org/10.1016/j.ipm.2025.104354","http://dx.doi.org/10.1016/j.ipm.2025.104354")</f>
        <v>http://dx.doi.org/10.1016/j.ipm.2025.104354</v>
      </c>
      <c r="BG409" s="1" t="s">
        <v>74</v>
      </c>
      <c r="BH409" s="1" t="s">
        <v>276</v>
      </c>
      <c r="BI409" s="1" t="s">
        <v>74</v>
      </c>
      <c r="BJ409" s="1" t="s">
        <v>74</v>
      </c>
      <c r="BK409" s="1" t="s">
        <v>74</v>
      </c>
      <c r="BL409" s="1" t="s">
        <v>2874</v>
      </c>
      <c r="BM409" s="1" t="s">
        <v>74</v>
      </c>
      <c r="BN409" s="1" t="s">
        <v>74</v>
      </c>
      <c r="BO409" s="1" t="s">
        <v>74</v>
      </c>
      <c r="BP409" s="1" t="s">
        <v>74</v>
      </c>
      <c r="BQ409" s="1" t="s">
        <v>74</v>
      </c>
      <c r="BR409" s="1" t="s">
        <v>74</v>
      </c>
      <c r="BS409" s="1" t="s">
        <v>3878</v>
      </c>
      <c r="BT409" s="1" t="str">
        <f>HYPERLINK("https%3A%2F%2Fwww.webofscience.com%2Fwos%2Fwoscc%2Ffull-record%2FWOS:001565179300001","View Full Record in Web of Science")</f>
        <v>View Full Record in Web of Science</v>
      </c>
    </row>
    <row r="410" ht="12.75" customHeight="1">
      <c r="A410" s="1" t="s">
        <v>72</v>
      </c>
      <c r="B410" s="1" t="s">
        <v>3879</v>
      </c>
      <c r="C410" s="1" t="s">
        <v>74</v>
      </c>
      <c r="D410" s="1" t="s">
        <v>74</v>
      </c>
      <c r="E410" s="1" t="s">
        <v>74</v>
      </c>
      <c r="F410" s="1" t="s">
        <v>3880</v>
      </c>
      <c r="G410" s="1" t="s">
        <v>74</v>
      </c>
      <c r="H410" s="1" t="s">
        <v>74</v>
      </c>
      <c r="I410" s="1" t="s">
        <v>3881</v>
      </c>
      <c r="J410" s="1" t="s">
        <v>3882</v>
      </c>
      <c r="K410" s="1" t="s">
        <v>74</v>
      </c>
      <c r="L410" s="1" t="s">
        <v>74</v>
      </c>
      <c r="M410" s="1" t="s">
        <v>74</v>
      </c>
      <c r="N410" s="1" t="s">
        <v>78</v>
      </c>
      <c r="O410" s="1" t="s">
        <v>74</v>
      </c>
      <c r="P410" s="1" t="s">
        <v>74</v>
      </c>
      <c r="Q410" s="1" t="s">
        <v>74</v>
      </c>
      <c r="R410" s="1" t="s">
        <v>74</v>
      </c>
      <c r="S410" s="1" t="s">
        <v>74</v>
      </c>
      <c r="T410" s="1" t="s">
        <v>74</v>
      </c>
      <c r="U410" s="1" t="s">
        <v>3883</v>
      </c>
      <c r="V410" s="1" t="s">
        <v>3884</v>
      </c>
      <c r="W410" s="1" t="s">
        <v>74</v>
      </c>
      <c r="X410" s="1" t="s">
        <v>74</v>
      </c>
      <c r="Y410" s="1" t="s">
        <v>74</v>
      </c>
      <c r="Z410" s="1" t="s">
        <v>74</v>
      </c>
      <c r="AA410" s="1" t="s">
        <v>74</v>
      </c>
      <c r="AB410" s="1" t="s">
        <v>74</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74</v>
      </c>
      <c r="AP410" s="1" t="s">
        <v>3885</v>
      </c>
      <c r="AQ410" s="1" t="s">
        <v>74</v>
      </c>
      <c r="AR410" s="1" t="s">
        <v>74</v>
      </c>
      <c r="AS410" s="1" t="s">
        <v>74</v>
      </c>
      <c r="AT410" s="1" t="s">
        <v>464</v>
      </c>
      <c r="AU410" s="1">
        <v>2024.0</v>
      </c>
      <c r="AV410" s="1">
        <v>6.0</v>
      </c>
      <c r="AW410" s="1">
        <v>8.0</v>
      </c>
      <c r="AX410" s="1" t="s">
        <v>74</v>
      </c>
      <c r="AY410" s="1" t="s">
        <v>74</v>
      </c>
      <c r="AZ410" s="1" t="s">
        <v>74</v>
      </c>
      <c r="BA410" s="1" t="s">
        <v>74</v>
      </c>
      <c r="BB410" s="1" t="s">
        <v>74</v>
      </c>
      <c r="BC410" s="1" t="s">
        <v>74</v>
      </c>
      <c r="BD410" s="1" t="s">
        <v>74</v>
      </c>
      <c r="BE410" s="1" t="s">
        <v>3886</v>
      </c>
      <c r="BF410" s="2" t="str">
        <f>HYPERLINK("http://dx.doi.org/10.1038/s42256-024-00876-w","http://dx.doi.org/10.1038/s42256-024-00876-w")</f>
        <v>http://dx.doi.org/10.1038/s42256-024-00876-w</v>
      </c>
      <c r="BG410" s="1" t="s">
        <v>74</v>
      </c>
      <c r="BH410" s="1" t="s">
        <v>3887</v>
      </c>
      <c r="BI410" s="1" t="s">
        <v>74</v>
      </c>
      <c r="BJ410" s="1" t="s">
        <v>74</v>
      </c>
      <c r="BK410" s="1" t="s">
        <v>74</v>
      </c>
      <c r="BL410" s="1" t="s">
        <v>174</v>
      </c>
      <c r="BM410" s="1" t="s">
        <v>74</v>
      </c>
      <c r="BN410" s="1" t="s">
        <v>74</v>
      </c>
      <c r="BO410" s="1" t="s">
        <v>74</v>
      </c>
      <c r="BP410" s="1" t="s">
        <v>74</v>
      </c>
      <c r="BQ410" s="1" t="s">
        <v>74</v>
      </c>
      <c r="BR410" s="1" t="s">
        <v>74</v>
      </c>
      <c r="BS410" s="1" t="s">
        <v>3888</v>
      </c>
      <c r="BT410" s="1" t="str">
        <f>HYPERLINK("https%3A%2F%2Fwww.webofscience.com%2Fwos%2Fwoscc%2Ffull-record%2FWOS:001290666200001","View Full Record in Web of Science")</f>
        <v>View Full Record in Web of Science</v>
      </c>
    </row>
    <row r="411" ht="12.75" customHeight="1">
      <c r="A411" s="1" t="s">
        <v>72</v>
      </c>
      <c r="B411" s="1" t="s">
        <v>3889</v>
      </c>
      <c r="C411" s="1" t="s">
        <v>74</v>
      </c>
      <c r="D411" s="1" t="s">
        <v>74</v>
      </c>
      <c r="E411" s="1" t="s">
        <v>74</v>
      </c>
      <c r="F411" s="1" t="s">
        <v>3890</v>
      </c>
      <c r="G411" s="1" t="s">
        <v>74</v>
      </c>
      <c r="H411" s="1" t="s">
        <v>74</v>
      </c>
      <c r="I411" s="1" t="s">
        <v>3891</v>
      </c>
      <c r="J411" s="1" t="s">
        <v>966</v>
      </c>
      <c r="K411" s="1" t="s">
        <v>74</v>
      </c>
      <c r="L411" s="1" t="s">
        <v>74</v>
      </c>
      <c r="M411" s="1" t="s">
        <v>74</v>
      </c>
      <c r="N411" s="1" t="s">
        <v>78</v>
      </c>
      <c r="O411" s="1" t="s">
        <v>74</v>
      </c>
      <c r="P411" s="1" t="s">
        <v>74</v>
      </c>
      <c r="Q411" s="1" t="s">
        <v>74</v>
      </c>
      <c r="R411" s="1" t="s">
        <v>74</v>
      </c>
      <c r="S411" s="1" t="s">
        <v>74</v>
      </c>
      <c r="T411" s="1" t="s">
        <v>3892</v>
      </c>
      <c r="U411" s="1" t="s">
        <v>74</v>
      </c>
      <c r="V411" s="1" t="s">
        <v>3893</v>
      </c>
      <c r="W411" s="1" t="s">
        <v>74</v>
      </c>
      <c r="X411" s="1" t="s">
        <v>74</v>
      </c>
      <c r="Y411" s="1" t="s">
        <v>74</v>
      </c>
      <c r="Z411" s="1" t="s">
        <v>74</v>
      </c>
      <c r="AA411" s="1" t="s">
        <v>74</v>
      </c>
      <c r="AB411" s="1" t="s">
        <v>74</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969</v>
      </c>
      <c r="AP411" s="1" t="s">
        <v>970</v>
      </c>
      <c r="AQ411" s="1" t="s">
        <v>74</v>
      </c>
      <c r="AR411" s="1" t="s">
        <v>74</v>
      </c>
      <c r="AS411" s="1" t="s">
        <v>74</v>
      </c>
      <c r="AT411" s="1" t="s">
        <v>1255</v>
      </c>
      <c r="AU411" s="1">
        <v>2025.0</v>
      </c>
      <c r="AV411" s="1">
        <v>329.0</v>
      </c>
      <c r="AW411" s="1" t="s">
        <v>74</v>
      </c>
      <c r="AX411" s="1" t="s">
        <v>1409</v>
      </c>
      <c r="AY411" s="1" t="s">
        <v>74</v>
      </c>
      <c r="AZ411" s="1" t="s">
        <v>74</v>
      </c>
      <c r="BA411" s="1" t="s">
        <v>74</v>
      </c>
      <c r="BB411" s="1" t="s">
        <v>74</v>
      </c>
      <c r="BC411" s="1" t="s">
        <v>74</v>
      </c>
      <c r="BD411" s="1">
        <v>114298.0</v>
      </c>
      <c r="BE411" s="1" t="s">
        <v>3894</v>
      </c>
      <c r="BF411" s="2" t="str">
        <f>HYPERLINK("http://dx.doi.org/10.1016/j.knosys.2025.114298","http://dx.doi.org/10.1016/j.knosys.2025.114298")</f>
        <v>http://dx.doi.org/10.1016/j.knosys.2025.114298</v>
      </c>
      <c r="BG411" s="1" t="s">
        <v>74</v>
      </c>
      <c r="BH411" s="1" t="s">
        <v>276</v>
      </c>
      <c r="BI411" s="1" t="s">
        <v>74</v>
      </c>
      <c r="BJ411" s="1" t="s">
        <v>74</v>
      </c>
      <c r="BK411" s="1" t="s">
        <v>74</v>
      </c>
      <c r="BL411" s="1" t="s">
        <v>174</v>
      </c>
      <c r="BM411" s="1" t="s">
        <v>74</v>
      </c>
      <c r="BN411" s="1" t="s">
        <v>74</v>
      </c>
      <c r="BO411" s="1" t="s">
        <v>74</v>
      </c>
      <c r="BP411" s="1" t="s">
        <v>74</v>
      </c>
      <c r="BQ411" s="1" t="s">
        <v>74</v>
      </c>
      <c r="BR411" s="1" t="s">
        <v>74</v>
      </c>
      <c r="BS411" s="1" t="s">
        <v>3895</v>
      </c>
      <c r="BT411" s="1" t="str">
        <f>HYPERLINK("https%3A%2F%2Fwww.webofscience.com%2Fwos%2Fwoscc%2Ffull-record%2FWOS:001564403800001","View Full Record in Web of Science")</f>
        <v>View Full Record in Web of Science</v>
      </c>
    </row>
    <row r="412" ht="12.75" customHeight="1">
      <c r="A412" s="1" t="s">
        <v>72</v>
      </c>
      <c r="B412" s="1" t="s">
        <v>3896</v>
      </c>
      <c r="C412" s="1" t="s">
        <v>74</v>
      </c>
      <c r="D412" s="1" t="s">
        <v>74</v>
      </c>
      <c r="E412" s="1" t="s">
        <v>74</v>
      </c>
      <c r="F412" s="1" t="s">
        <v>3897</v>
      </c>
      <c r="G412" s="1" t="s">
        <v>74</v>
      </c>
      <c r="H412" s="1" t="s">
        <v>74</v>
      </c>
      <c r="I412" s="1" t="s">
        <v>3898</v>
      </c>
      <c r="J412" s="1" t="s">
        <v>1720</v>
      </c>
      <c r="K412" s="1" t="s">
        <v>74</v>
      </c>
      <c r="L412" s="1" t="s">
        <v>74</v>
      </c>
      <c r="M412" s="1" t="s">
        <v>74</v>
      </c>
      <c r="N412" s="1" t="s">
        <v>78</v>
      </c>
      <c r="O412" s="1" t="s">
        <v>74</v>
      </c>
      <c r="P412" s="1" t="s">
        <v>74</v>
      </c>
      <c r="Q412" s="1" t="s">
        <v>74</v>
      </c>
      <c r="R412" s="1" t="s">
        <v>74</v>
      </c>
      <c r="S412" s="1" t="s">
        <v>74</v>
      </c>
      <c r="T412" s="1" t="s">
        <v>3899</v>
      </c>
      <c r="U412" s="1" t="s">
        <v>3900</v>
      </c>
      <c r="V412" s="1" t="s">
        <v>3901</v>
      </c>
      <c r="W412" s="1" t="s">
        <v>74</v>
      </c>
      <c r="X412" s="1" t="s">
        <v>74</v>
      </c>
      <c r="Y412" s="1" t="s">
        <v>74</v>
      </c>
      <c r="Z412" s="1" t="s">
        <v>74</v>
      </c>
      <c r="AA412" s="1" t="s">
        <v>74</v>
      </c>
      <c r="AB412" s="1" t="s">
        <v>74</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74</v>
      </c>
      <c r="AP412" s="1" t="s">
        <v>1723</v>
      </c>
      <c r="AQ412" s="1" t="s">
        <v>74</v>
      </c>
      <c r="AR412" s="1" t="s">
        <v>74</v>
      </c>
      <c r="AS412" s="1" t="s">
        <v>74</v>
      </c>
      <c r="AT412" s="1" t="s">
        <v>84</v>
      </c>
      <c r="AU412" s="1">
        <v>2025.0</v>
      </c>
      <c r="AV412" s="1">
        <v>9.0</v>
      </c>
      <c r="AW412" s="1">
        <v>2.0</v>
      </c>
      <c r="AX412" s="1" t="s">
        <v>74</v>
      </c>
      <c r="AY412" s="1" t="s">
        <v>74</v>
      </c>
      <c r="AZ412" s="1" t="s">
        <v>74</v>
      </c>
      <c r="BA412" s="1" t="s">
        <v>74</v>
      </c>
      <c r="BB412" s="1" t="s">
        <v>74</v>
      </c>
      <c r="BC412" s="1" t="s">
        <v>74</v>
      </c>
      <c r="BD412" s="1" t="s">
        <v>3902</v>
      </c>
      <c r="BE412" s="1" t="s">
        <v>3903</v>
      </c>
      <c r="BF412" s="2" t="str">
        <f>HYPERLINK("http://dx.doi.org/10.1145/3711022","http://dx.doi.org/10.1145/3711022")</f>
        <v>http://dx.doi.org/10.1145/3711022</v>
      </c>
      <c r="BG412" s="1" t="s">
        <v>74</v>
      </c>
      <c r="BH412" s="1" t="s">
        <v>74</v>
      </c>
      <c r="BI412" s="1" t="s">
        <v>74</v>
      </c>
      <c r="BJ412" s="1" t="s">
        <v>74</v>
      </c>
      <c r="BK412" s="1" t="s">
        <v>74</v>
      </c>
      <c r="BL412" s="1" t="s">
        <v>174</v>
      </c>
      <c r="BM412" s="1" t="s">
        <v>74</v>
      </c>
      <c r="BN412" s="1" t="s">
        <v>74</v>
      </c>
      <c r="BO412" s="1" t="s">
        <v>74</v>
      </c>
      <c r="BP412" s="1" t="s">
        <v>74</v>
      </c>
      <c r="BQ412" s="1" t="s">
        <v>74</v>
      </c>
      <c r="BR412" s="1" t="s">
        <v>74</v>
      </c>
      <c r="BS412" s="1" t="s">
        <v>3904</v>
      </c>
      <c r="BT412" s="1" t="str">
        <f>HYPERLINK("https%3A%2F%2Fwww.webofscience.com%2Fwos%2Fwoscc%2Ffull-record%2FWOS:001550403100007","View Full Record in Web of Science")</f>
        <v>View Full Record in Web of Science</v>
      </c>
    </row>
    <row r="413" ht="12.75" customHeight="1">
      <c r="A413" s="1" t="s">
        <v>72</v>
      </c>
      <c r="B413" s="1" t="s">
        <v>3905</v>
      </c>
      <c r="C413" s="1" t="s">
        <v>74</v>
      </c>
      <c r="D413" s="1" t="s">
        <v>74</v>
      </c>
      <c r="E413" s="1" t="s">
        <v>74</v>
      </c>
      <c r="F413" s="1" t="s">
        <v>3906</v>
      </c>
      <c r="G413" s="1" t="s">
        <v>74</v>
      </c>
      <c r="H413" s="1" t="s">
        <v>74</v>
      </c>
      <c r="I413" s="1" t="s">
        <v>3907</v>
      </c>
      <c r="J413" s="1" t="s">
        <v>3358</v>
      </c>
      <c r="K413" s="1" t="s">
        <v>74</v>
      </c>
      <c r="L413" s="1" t="s">
        <v>74</v>
      </c>
      <c r="M413" s="1" t="s">
        <v>74</v>
      </c>
      <c r="N413" s="1" t="s">
        <v>78</v>
      </c>
      <c r="O413" s="1" t="s">
        <v>74</v>
      </c>
      <c r="P413" s="1" t="s">
        <v>74</v>
      </c>
      <c r="Q413" s="1" t="s">
        <v>74</v>
      </c>
      <c r="R413" s="1" t="s">
        <v>74</v>
      </c>
      <c r="S413" s="1" t="s">
        <v>74</v>
      </c>
      <c r="T413" s="1" t="s">
        <v>3908</v>
      </c>
      <c r="U413" s="1" t="s">
        <v>3909</v>
      </c>
      <c r="V413" s="1" t="s">
        <v>3910</v>
      </c>
      <c r="W413" s="1" t="s">
        <v>74</v>
      </c>
      <c r="X413" s="1" t="s">
        <v>74</v>
      </c>
      <c r="Y413" s="1" t="s">
        <v>74</v>
      </c>
      <c r="Z413" s="1" t="s">
        <v>74</v>
      </c>
      <c r="AA413" s="1" t="s">
        <v>74</v>
      </c>
      <c r="AB413" s="1" t="s">
        <v>74</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3361</v>
      </c>
      <c r="AP413" s="1" t="s">
        <v>3362</v>
      </c>
      <c r="AQ413" s="1" t="s">
        <v>74</v>
      </c>
      <c r="AR413" s="1" t="s">
        <v>74</v>
      </c>
      <c r="AS413" s="1" t="s">
        <v>74</v>
      </c>
      <c r="AT413" s="1" t="s">
        <v>357</v>
      </c>
      <c r="AU413" s="1">
        <v>2025.0</v>
      </c>
      <c r="AV413" s="1">
        <v>95.0</v>
      </c>
      <c r="AW413" s="1" t="s">
        <v>74</v>
      </c>
      <c r="AX413" s="1" t="s">
        <v>74</v>
      </c>
      <c r="AY413" s="1" t="s">
        <v>74</v>
      </c>
      <c r="AZ413" s="1" t="s">
        <v>74</v>
      </c>
      <c r="BA413" s="1" t="s">
        <v>74</v>
      </c>
      <c r="BB413" s="1" t="s">
        <v>74</v>
      </c>
      <c r="BC413" s="1" t="s">
        <v>74</v>
      </c>
      <c r="BD413" s="1">
        <v>103009.0</v>
      </c>
      <c r="BE413" s="1" t="s">
        <v>3911</v>
      </c>
      <c r="BF413" s="2" t="str">
        <f>HYPERLINK("http://dx.doi.org/10.1016/j.rcim.2025.103009","http://dx.doi.org/10.1016/j.rcim.2025.103009")</f>
        <v>http://dx.doi.org/10.1016/j.rcim.2025.103009</v>
      </c>
      <c r="BG413" s="1" t="s">
        <v>74</v>
      </c>
      <c r="BH413" s="1" t="s">
        <v>347</v>
      </c>
      <c r="BI413" s="1" t="s">
        <v>74</v>
      </c>
      <c r="BJ413" s="1" t="s">
        <v>74</v>
      </c>
      <c r="BK413" s="1" t="s">
        <v>74</v>
      </c>
      <c r="BL413" s="1" t="s">
        <v>3364</v>
      </c>
      <c r="BM413" s="1" t="s">
        <v>74</v>
      </c>
      <c r="BN413" s="1" t="s">
        <v>74</v>
      </c>
      <c r="BO413" s="1" t="s">
        <v>74</v>
      </c>
      <c r="BP413" s="1" t="s">
        <v>74</v>
      </c>
      <c r="BQ413" s="1" t="s">
        <v>74</v>
      </c>
      <c r="BR413" s="1" t="s">
        <v>74</v>
      </c>
      <c r="BS413" s="1" t="s">
        <v>3912</v>
      </c>
      <c r="BT413" s="1" t="str">
        <f>HYPERLINK("https%3A%2F%2Fwww.webofscience.com%2Fwos%2Fwoscc%2Ffull-record%2FWOS:001446545000001","View Full Record in Web of Science")</f>
        <v>View Full Record in Web of Science</v>
      </c>
    </row>
    <row r="414" ht="12.75" customHeight="1">
      <c r="A414" s="1" t="s">
        <v>72</v>
      </c>
      <c r="B414" s="1" t="s">
        <v>3913</v>
      </c>
      <c r="C414" s="1" t="s">
        <v>74</v>
      </c>
      <c r="D414" s="1" t="s">
        <v>74</v>
      </c>
      <c r="E414" s="1" t="s">
        <v>74</v>
      </c>
      <c r="F414" s="1" t="s">
        <v>3914</v>
      </c>
      <c r="G414" s="1" t="s">
        <v>74</v>
      </c>
      <c r="H414" s="1" t="s">
        <v>74</v>
      </c>
      <c r="I414" s="1" t="s">
        <v>3915</v>
      </c>
      <c r="J414" s="1" t="s">
        <v>2740</v>
      </c>
      <c r="K414" s="1" t="s">
        <v>74</v>
      </c>
      <c r="L414" s="1" t="s">
        <v>74</v>
      </c>
      <c r="M414" s="1" t="s">
        <v>74</v>
      </c>
      <c r="N414" s="1" t="s">
        <v>78</v>
      </c>
      <c r="O414" s="1" t="s">
        <v>74</v>
      </c>
      <c r="P414" s="1" t="s">
        <v>74</v>
      </c>
      <c r="Q414" s="1" t="s">
        <v>74</v>
      </c>
      <c r="R414" s="1" t="s">
        <v>74</v>
      </c>
      <c r="S414" s="1" t="s">
        <v>74</v>
      </c>
      <c r="T414" s="1" t="s">
        <v>3916</v>
      </c>
      <c r="U414" s="1" t="s">
        <v>2289</v>
      </c>
      <c r="V414" s="1" t="s">
        <v>3917</v>
      </c>
      <c r="W414" s="1" t="s">
        <v>74</v>
      </c>
      <c r="X414" s="1" t="s">
        <v>74</v>
      </c>
      <c r="Y414" s="1" t="s">
        <v>74</v>
      </c>
      <c r="Z414" s="1" t="s">
        <v>74</v>
      </c>
      <c r="AA414" s="1" t="s">
        <v>74</v>
      </c>
      <c r="AB414" s="1" t="s">
        <v>74</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74</v>
      </c>
      <c r="AP414" s="1" t="s">
        <v>2743</v>
      </c>
      <c r="AQ414" s="1" t="s">
        <v>74</v>
      </c>
      <c r="AR414" s="1" t="s">
        <v>74</v>
      </c>
      <c r="AS414" s="1" t="s">
        <v>74</v>
      </c>
      <c r="AT414" s="1" t="s">
        <v>3918</v>
      </c>
      <c r="AU414" s="1">
        <v>2024.0</v>
      </c>
      <c r="AV414" s="1">
        <v>7.0</v>
      </c>
      <c r="AW414" s="1" t="s">
        <v>74</v>
      </c>
      <c r="AX414" s="1" t="s">
        <v>74</v>
      </c>
      <c r="AY414" s="1" t="s">
        <v>74</v>
      </c>
      <c r="AZ414" s="1" t="s">
        <v>74</v>
      </c>
      <c r="BA414" s="1" t="s">
        <v>74</v>
      </c>
      <c r="BB414" s="1" t="s">
        <v>74</v>
      </c>
      <c r="BC414" s="1" t="s">
        <v>74</v>
      </c>
      <c r="BD414" s="1">
        <v>5.0</v>
      </c>
      <c r="BE414" s="1" t="s">
        <v>3919</v>
      </c>
      <c r="BF414" s="2" t="str">
        <f>HYPERLINK("http://dx.doi.org/10.21037/jmai-23-180","http://dx.doi.org/10.21037/jmai-23-180")</f>
        <v>http://dx.doi.org/10.21037/jmai-23-180</v>
      </c>
      <c r="BG414" s="1" t="s">
        <v>74</v>
      </c>
      <c r="BH414" s="1" t="s">
        <v>74</v>
      </c>
      <c r="BI414" s="1" t="s">
        <v>74</v>
      </c>
      <c r="BJ414" s="1" t="s">
        <v>74</v>
      </c>
      <c r="BK414" s="1" t="s">
        <v>74</v>
      </c>
      <c r="BL414" s="1" t="s">
        <v>823</v>
      </c>
      <c r="BM414" s="1" t="s">
        <v>74</v>
      </c>
      <c r="BN414" s="1" t="s">
        <v>74</v>
      </c>
      <c r="BO414" s="1" t="s">
        <v>163</v>
      </c>
      <c r="BP414" s="1" t="s">
        <v>74</v>
      </c>
      <c r="BQ414" s="1" t="s">
        <v>74</v>
      </c>
      <c r="BR414" s="1" t="s">
        <v>74</v>
      </c>
      <c r="BS414" s="1" t="s">
        <v>3920</v>
      </c>
      <c r="BT414" s="1" t="str">
        <f>HYPERLINK("https%3A%2F%2Fwww.webofscience.com%2Fwos%2Fwoscc%2Ffull-record%2FWOS:001538057400033","View Full Record in Web of Science")</f>
        <v>View Full Record in Web of Science</v>
      </c>
    </row>
    <row r="415" ht="12.75" customHeight="1">
      <c r="A415" s="1" t="s">
        <v>72</v>
      </c>
      <c r="B415" s="1" t="s">
        <v>3921</v>
      </c>
      <c r="C415" s="1" t="s">
        <v>74</v>
      </c>
      <c r="D415" s="1" t="s">
        <v>74</v>
      </c>
      <c r="E415" s="1" t="s">
        <v>74</v>
      </c>
      <c r="F415" s="1" t="s">
        <v>3922</v>
      </c>
      <c r="G415" s="1" t="s">
        <v>74</v>
      </c>
      <c r="H415" s="1" t="s">
        <v>74</v>
      </c>
      <c r="I415" s="1" t="s">
        <v>3923</v>
      </c>
      <c r="J415" s="1" t="s">
        <v>3924</v>
      </c>
      <c r="K415" s="1" t="s">
        <v>74</v>
      </c>
      <c r="L415" s="1" t="s">
        <v>74</v>
      </c>
      <c r="M415" s="1" t="s">
        <v>74</v>
      </c>
      <c r="N415" s="1" t="s">
        <v>78</v>
      </c>
      <c r="O415" s="1" t="s">
        <v>74</v>
      </c>
      <c r="P415" s="1" t="s">
        <v>74</v>
      </c>
      <c r="Q415" s="1" t="s">
        <v>74</v>
      </c>
      <c r="R415" s="1" t="s">
        <v>74</v>
      </c>
      <c r="S415" s="1" t="s">
        <v>74</v>
      </c>
      <c r="T415" s="1" t="s">
        <v>3925</v>
      </c>
      <c r="U415" s="1" t="s">
        <v>3926</v>
      </c>
      <c r="V415" s="1" t="s">
        <v>3927</v>
      </c>
      <c r="W415" s="1" t="s">
        <v>74</v>
      </c>
      <c r="X415" s="1" t="s">
        <v>74</v>
      </c>
      <c r="Y415" s="1" t="s">
        <v>74</v>
      </c>
      <c r="Z415" s="1" t="s">
        <v>74</v>
      </c>
      <c r="AA415" s="1" t="s">
        <v>74</v>
      </c>
      <c r="AB415" s="1" t="s">
        <v>74</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3928</v>
      </c>
      <c r="AP415" s="1" t="s">
        <v>3929</v>
      </c>
      <c r="AQ415" s="1" t="s">
        <v>74</v>
      </c>
      <c r="AR415" s="1" t="s">
        <v>74</v>
      </c>
      <c r="AS415" s="1" t="s">
        <v>74</v>
      </c>
      <c r="AT415" s="1" t="s">
        <v>200</v>
      </c>
      <c r="AU415" s="1">
        <v>2025.0</v>
      </c>
      <c r="AV415" s="1">
        <v>14.0</v>
      </c>
      <c r="AW415" s="1" t="s">
        <v>74</v>
      </c>
      <c r="AX415" s="1" t="s">
        <v>74</v>
      </c>
      <c r="AY415" s="1" t="s">
        <v>74</v>
      </c>
      <c r="AZ415" s="1" t="s">
        <v>74</v>
      </c>
      <c r="BA415" s="1" t="s">
        <v>74</v>
      </c>
      <c r="BB415" s="1" t="s">
        <v>74</v>
      </c>
      <c r="BC415" s="1" t="s">
        <v>74</v>
      </c>
      <c r="BD415" s="1">
        <v>101016.0</v>
      </c>
      <c r="BE415" s="1" t="s">
        <v>3930</v>
      </c>
      <c r="BF415" s="2" t="str">
        <f>HYPERLINK("http://dx.doi.org/10.1016/j.jshs.2024.101016","http://dx.doi.org/10.1016/j.jshs.2024.101016")</f>
        <v>http://dx.doi.org/10.1016/j.jshs.2024.101016</v>
      </c>
      <c r="BG415" s="1" t="s">
        <v>74</v>
      </c>
      <c r="BH415" s="1" t="s">
        <v>112</v>
      </c>
      <c r="BI415" s="1" t="s">
        <v>74</v>
      </c>
      <c r="BJ415" s="1" t="s">
        <v>74</v>
      </c>
      <c r="BK415" s="1" t="s">
        <v>74</v>
      </c>
      <c r="BL415" s="1" t="s">
        <v>3931</v>
      </c>
      <c r="BM415" s="1" t="s">
        <v>74</v>
      </c>
      <c r="BN415" s="1" t="s">
        <v>74</v>
      </c>
      <c r="BO415" s="1" t="s">
        <v>153</v>
      </c>
      <c r="BP415" s="1" t="s">
        <v>74</v>
      </c>
      <c r="BQ415" s="1" t="s">
        <v>74</v>
      </c>
      <c r="BR415" s="1" t="s">
        <v>74</v>
      </c>
      <c r="BS415" s="1" t="s">
        <v>3932</v>
      </c>
      <c r="BT415" s="1" t="str">
        <f>HYPERLINK("https%3A%2F%2Fwww.webofscience.com%2Fwos%2Fwoscc%2Ffull-record%2FWOS:001523208500001","View Full Record in Web of Science")</f>
        <v>View Full Record in Web of Science</v>
      </c>
    </row>
    <row r="416" ht="12.75" customHeight="1">
      <c r="A416" s="1" t="s">
        <v>72</v>
      </c>
      <c r="B416" s="1" t="s">
        <v>3933</v>
      </c>
      <c r="C416" s="1" t="s">
        <v>74</v>
      </c>
      <c r="D416" s="1" t="s">
        <v>74</v>
      </c>
      <c r="E416" s="1" t="s">
        <v>74</v>
      </c>
      <c r="F416" s="1" t="s">
        <v>3934</v>
      </c>
      <c r="G416" s="1" t="s">
        <v>74</v>
      </c>
      <c r="H416" s="1" t="s">
        <v>74</v>
      </c>
      <c r="I416" s="1" t="s">
        <v>3935</v>
      </c>
      <c r="J416" s="1" t="s">
        <v>3936</v>
      </c>
      <c r="K416" s="1" t="s">
        <v>74</v>
      </c>
      <c r="L416" s="1" t="s">
        <v>74</v>
      </c>
      <c r="M416" s="1" t="s">
        <v>74</v>
      </c>
      <c r="N416" s="1" t="s">
        <v>78</v>
      </c>
      <c r="O416" s="1" t="s">
        <v>74</v>
      </c>
      <c r="P416" s="1" t="s">
        <v>74</v>
      </c>
      <c r="Q416" s="1" t="s">
        <v>74</v>
      </c>
      <c r="R416" s="1" t="s">
        <v>74</v>
      </c>
      <c r="S416" s="1" t="s">
        <v>74</v>
      </c>
      <c r="T416" s="1" t="s">
        <v>3937</v>
      </c>
      <c r="U416" s="1" t="s">
        <v>74</v>
      </c>
      <c r="V416" s="1" t="s">
        <v>3938</v>
      </c>
      <c r="W416" s="1" t="s">
        <v>74</v>
      </c>
      <c r="X416" s="1" t="s">
        <v>74</v>
      </c>
      <c r="Y416" s="1" t="s">
        <v>74</v>
      </c>
      <c r="Z416" s="1" t="s">
        <v>74</v>
      </c>
      <c r="AA416" s="1" t="s">
        <v>74</v>
      </c>
      <c r="AB416" s="1" t="s">
        <v>74</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3939</v>
      </c>
      <c r="AP416" s="1" t="s">
        <v>3940</v>
      </c>
      <c r="AQ416" s="1" t="s">
        <v>74</v>
      </c>
      <c r="AR416" s="1" t="s">
        <v>74</v>
      </c>
      <c r="AS416" s="1" t="s">
        <v>74</v>
      </c>
      <c r="AT416" s="1" t="s">
        <v>3941</v>
      </c>
      <c r="AU416" s="1">
        <v>2024.0</v>
      </c>
      <c r="AV416" s="1">
        <v>11.0</v>
      </c>
      <c r="AW416" s="1">
        <v>1.0</v>
      </c>
      <c r="AX416" s="1" t="s">
        <v>74</v>
      </c>
      <c r="AY416" s="1" t="s">
        <v>74</v>
      </c>
      <c r="AZ416" s="1" t="s">
        <v>74</v>
      </c>
      <c r="BA416" s="1" t="s">
        <v>74</v>
      </c>
      <c r="BB416" s="1" t="s">
        <v>74</v>
      </c>
      <c r="BC416" s="1" t="s">
        <v>74</v>
      </c>
      <c r="BD416" s="1">
        <v>72.0</v>
      </c>
      <c r="BE416" s="1" t="s">
        <v>3942</v>
      </c>
      <c r="BF416" s="2" t="str">
        <f>HYPERLINK("http://dx.doi.org/10.1007/s40747-024-01641-7","http://dx.doi.org/10.1007/s40747-024-01641-7")</f>
        <v>http://dx.doi.org/10.1007/s40747-024-01641-7</v>
      </c>
      <c r="BG416" s="1" t="s">
        <v>74</v>
      </c>
      <c r="BH416" s="1" t="s">
        <v>74</v>
      </c>
      <c r="BI416" s="1" t="s">
        <v>74</v>
      </c>
      <c r="BJ416" s="1" t="s">
        <v>74</v>
      </c>
      <c r="BK416" s="1" t="s">
        <v>74</v>
      </c>
      <c r="BL416" s="1" t="s">
        <v>174</v>
      </c>
      <c r="BM416" s="1" t="s">
        <v>74</v>
      </c>
      <c r="BN416" s="1" t="s">
        <v>74</v>
      </c>
      <c r="BO416" s="1" t="s">
        <v>163</v>
      </c>
      <c r="BP416" s="1" t="s">
        <v>74</v>
      </c>
      <c r="BQ416" s="1" t="s">
        <v>74</v>
      </c>
      <c r="BR416" s="1" t="s">
        <v>74</v>
      </c>
      <c r="BS416" s="1" t="s">
        <v>3943</v>
      </c>
      <c r="BT416" s="1" t="str">
        <f>HYPERLINK("https%3A%2F%2Fwww.webofscience.com%2Fwos%2Fwoscc%2Ffull-record%2FWOS:001380505300004","View Full Record in Web of Science")</f>
        <v>View Full Record in Web of Science</v>
      </c>
    </row>
    <row r="417" ht="12.75" customHeight="1">
      <c r="A417" s="1" t="s">
        <v>72</v>
      </c>
      <c r="B417" s="1" t="s">
        <v>3944</v>
      </c>
      <c r="C417" s="1" t="s">
        <v>74</v>
      </c>
      <c r="D417" s="1" t="s">
        <v>74</v>
      </c>
      <c r="E417" s="1" t="s">
        <v>74</v>
      </c>
      <c r="F417" s="1" t="s">
        <v>3945</v>
      </c>
      <c r="G417" s="1" t="s">
        <v>74</v>
      </c>
      <c r="H417" s="1" t="s">
        <v>74</v>
      </c>
      <c r="I417" s="1" t="s">
        <v>3946</v>
      </c>
      <c r="J417" s="1" t="s">
        <v>2740</v>
      </c>
      <c r="K417" s="1" t="s">
        <v>74</v>
      </c>
      <c r="L417" s="1" t="s">
        <v>74</v>
      </c>
      <c r="M417" s="1" t="s">
        <v>74</v>
      </c>
      <c r="N417" s="1" t="s">
        <v>78</v>
      </c>
      <c r="O417" s="1" t="s">
        <v>74</v>
      </c>
      <c r="P417" s="1" t="s">
        <v>74</v>
      </c>
      <c r="Q417" s="1" t="s">
        <v>74</v>
      </c>
      <c r="R417" s="1" t="s">
        <v>74</v>
      </c>
      <c r="S417" s="1" t="s">
        <v>74</v>
      </c>
      <c r="T417" s="1" t="s">
        <v>3947</v>
      </c>
      <c r="U417" s="1" t="s">
        <v>74</v>
      </c>
      <c r="V417" s="1" t="s">
        <v>3948</v>
      </c>
      <c r="W417" s="1" t="s">
        <v>74</v>
      </c>
      <c r="X417" s="1" t="s">
        <v>74</v>
      </c>
      <c r="Y417" s="1" t="s">
        <v>74</v>
      </c>
      <c r="Z417" s="1" t="s">
        <v>74</v>
      </c>
      <c r="AA417" s="1" t="s">
        <v>74</v>
      </c>
      <c r="AB417" s="1" t="s">
        <v>74</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74</v>
      </c>
      <c r="AP417" s="1" t="s">
        <v>2743</v>
      </c>
      <c r="AQ417" s="1" t="s">
        <v>74</v>
      </c>
      <c r="AR417" s="1" t="s">
        <v>74</v>
      </c>
      <c r="AS417" s="1" t="s">
        <v>74</v>
      </c>
      <c r="AT417" s="1" t="s">
        <v>2744</v>
      </c>
      <c r="AU417" s="1">
        <v>2025.0</v>
      </c>
      <c r="AV417" s="1">
        <v>8.0</v>
      </c>
      <c r="AW417" s="1" t="s">
        <v>74</v>
      </c>
      <c r="AX417" s="1" t="s">
        <v>74</v>
      </c>
      <c r="AY417" s="1" t="s">
        <v>74</v>
      </c>
      <c r="AZ417" s="1" t="s">
        <v>74</v>
      </c>
      <c r="BA417" s="1" t="s">
        <v>74</v>
      </c>
      <c r="BB417" s="1" t="s">
        <v>74</v>
      </c>
      <c r="BC417" s="1" t="s">
        <v>74</v>
      </c>
      <c r="BD417" s="1">
        <v>47.0</v>
      </c>
      <c r="BE417" s="1" t="s">
        <v>3949</v>
      </c>
      <c r="BF417" s="2" t="str">
        <f>HYPERLINK("http://dx.doi.org/10.21037/jmai-24-287","http://dx.doi.org/10.21037/jmai-24-287")</f>
        <v>http://dx.doi.org/10.21037/jmai-24-287</v>
      </c>
      <c r="BG417" s="1" t="s">
        <v>74</v>
      </c>
      <c r="BH417" s="1" t="s">
        <v>74</v>
      </c>
      <c r="BI417" s="1" t="s">
        <v>74</v>
      </c>
      <c r="BJ417" s="1" t="s">
        <v>74</v>
      </c>
      <c r="BK417" s="1" t="s">
        <v>74</v>
      </c>
      <c r="BL417" s="1" t="s">
        <v>823</v>
      </c>
      <c r="BM417" s="1" t="s">
        <v>74</v>
      </c>
      <c r="BN417" s="1" t="s">
        <v>74</v>
      </c>
      <c r="BO417" s="1" t="s">
        <v>163</v>
      </c>
      <c r="BP417" s="1" t="s">
        <v>74</v>
      </c>
      <c r="BQ417" s="1" t="s">
        <v>74</v>
      </c>
      <c r="BR417" s="1" t="s">
        <v>74</v>
      </c>
      <c r="BS417" s="1" t="s">
        <v>3950</v>
      </c>
      <c r="BT417" s="1" t="str">
        <f>HYPERLINK("https%3A%2F%2Fwww.webofscience.com%2Fwos%2Fwoscc%2Ffull-record%2FWOS:001532550700028","View Full Record in Web of Science")</f>
        <v>View Full Record in Web of Science</v>
      </c>
    </row>
    <row r="418" ht="12.75" customHeight="1">
      <c r="A418" s="1" t="s">
        <v>72</v>
      </c>
      <c r="B418" s="1" t="s">
        <v>3951</v>
      </c>
      <c r="C418" s="1" t="s">
        <v>74</v>
      </c>
      <c r="D418" s="1" t="s">
        <v>74</v>
      </c>
      <c r="E418" s="1" t="s">
        <v>74</v>
      </c>
      <c r="F418" s="1" t="s">
        <v>3952</v>
      </c>
      <c r="G418" s="1" t="s">
        <v>74</v>
      </c>
      <c r="H418" s="1" t="s">
        <v>74</v>
      </c>
      <c r="I418" s="1" t="s">
        <v>3953</v>
      </c>
      <c r="J418" s="1" t="s">
        <v>3954</v>
      </c>
      <c r="K418" s="1" t="s">
        <v>74</v>
      </c>
      <c r="L418" s="1" t="s">
        <v>74</v>
      </c>
      <c r="M418" s="1" t="s">
        <v>74</v>
      </c>
      <c r="N418" s="1" t="s">
        <v>78</v>
      </c>
      <c r="O418" s="1" t="s">
        <v>74</v>
      </c>
      <c r="P418" s="1" t="s">
        <v>74</v>
      </c>
      <c r="Q418" s="1" t="s">
        <v>74</v>
      </c>
      <c r="R418" s="1" t="s">
        <v>74</v>
      </c>
      <c r="S418" s="1" t="s">
        <v>74</v>
      </c>
      <c r="T418" s="1" t="s">
        <v>3955</v>
      </c>
      <c r="U418" s="1" t="s">
        <v>3956</v>
      </c>
      <c r="V418" s="1" t="s">
        <v>3957</v>
      </c>
      <c r="W418" s="1" t="s">
        <v>74</v>
      </c>
      <c r="X418" s="1" t="s">
        <v>74</v>
      </c>
      <c r="Y418" s="1" t="s">
        <v>74</v>
      </c>
      <c r="Z418" s="1" t="s">
        <v>74</v>
      </c>
      <c r="AA418" s="1" t="s">
        <v>74</v>
      </c>
      <c r="AB418" s="1" t="s">
        <v>74</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3958</v>
      </c>
      <c r="AP418" s="1" t="s">
        <v>3959</v>
      </c>
      <c r="AQ418" s="1" t="s">
        <v>74</v>
      </c>
      <c r="AR418" s="1" t="s">
        <v>74</v>
      </c>
      <c r="AS418" s="1" t="s">
        <v>74</v>
      </c>
      <c r="AT418" s="1" t="s">
        <v>3960</v>
      </c>
      <c r="AU418" s="1">
        <v>2024.0</v>
      </c>
      <c r="AV418" s="1">
        <v>17.0</v>
      </c>
      <c r="AW418" s="1">
        <v>1.0</v>
      </c>
      <c r="AX418" s="1" t="s">
        <v>74</v>
      </c>
      <c r="AY418" s="1" t="s">
        <v>74</v>
      </c>
      <c r="AZ418" s="1" t="s">
        <v>74</v>
      </c>
      <c r="BA418" s="1" t="s">
        <v>74</v>
      </c>
      <c r="BB418" s="1" t="s">
        <v>74</v>
      </c>
      <c r="BC418" s="1" t="s">
        <v>74</v>
      </c>
      <c r="BD418" s="1">
        <v>262.0</v>
      </c>
      <c r="BE418" s="1" t="s">
        <v>3961</v>
      </c>
      <c r="BF418" s="2" t="str">
        <f>HYPERLINK("http://dx.doi.org/10.1007/s44196-024-00668-5","http://dx.doi.org/10.1007/s44196-024-00668-5")</f>
        <v>http://dx.doi.org/10.1007/s44196-024-00668-5</v>
      </c>
      <c r="BG418" s="1" t="s">
        <v>74</v>
      </c>
      <c r="BH418" s="1" t="s">
        <v>74</v>
      </c>
      <c r="BI418" s="1" t="s">
        <v>74</v>
      </c>
      <c r="BJ418" s="1" t="s">
        <v>74</v>
      </c>
      <c r="BK418" s="1" t="s">
        <v>74</v>
      </c>
      <c r="BL418" s="1" t="s">
        <v>174</v>
      </c>
      <c r="BM418" s="1" t="s">
        <v>74</v>
      </c>
      <c r="BN418" s="1" t="s">
        <v>74</v>
      </c>
      <c r="BO418" s="1" t="s">
        <v>153</v>
      </c>
      <c r="BP418" s="1" t="s">
        <v>74</v>
      </c>
      <c r="BQ418" s="1" t="s">
        <v>74</v>
      </c>
      <c r="BR418" s="1" t="s">
        <v>74</v>
      </c>
      <c r="BS418" s="1" t="s">
        <v>3962</v>
      </c>
      <c r="BT418" s="1" t="str">
        <f>HYPERLINK("https%3A%2F%2Fwww.webofscience.com%2Fwos%2Fwoscc%2Ffull-record%2FWOS:001337733400002","View Full Record in Web of Science")</f>
        <v>View Full Record in Web of Science</v>
      </c>
    </row>
    <row r="419" ht="12.75" customHeight="1">
      <c r="A419" s="1" t="s">
        <v>72</v>
      </c>
      <c r="B419" s="1" t="s">
        <v>3963</v>
      </c>
      <c r="C419" s="1" t="s">
        <v>74</v>
      </c>
      <c r="D419" s="1" t="s">
        <v>74</v>
      </c>
      <c r="E419" s="1" t="s">
        <v>74</v>
      </c>
      <c r="F419" s="1" t="s">
        <v>3964</v>
      </c>
      <c r="G419" s="1" t="s">
        <v>74</v>
      </c>
      <c r="H419" s="1" t="s">
        <v>74</v>
      </c>
      <c r="I419" s="1" t="s">
        <v>3965</v>
      </c>
      <c r="J419" s="1" t="s">
        <v>966</v>
      </c>
      <c r="K419" s="1" t="s">
        <v>74</v>
      </c>
      <c r="L419" s="1" t="s">
        <v>74</v>
      </c>
      <c r="M419" s="1" t="s">
        <v>74</v>
      </c>
      <c r="N419" s="1" t="s">
        <v>78</v>
      </c>
      <c r="O419" s="1" t="s">
        <v>74</v>
      </c>
      <c r="P419" s="1" t="s">
        <v>74</v>
      </c>
      <c r="Q419" s="1" t="s">
        <v>74</v>
      </c>
      <c r="R419" s="1" t="s">
        <v>74</v>
      </c>
      <c r="S419" s="1" t="s">
        <v>74</v>
      </c>
      <c r="T419" s="1" t="s">
        <v>3966</v>
      </c>
      <c r="U419" s="1" t="s">
        <v>74</v>
      </c>
      <c r="V419" s="1" t="s">
        <v>3967</v>
      </c>
      <c r="W419" s="1" t="s">
        <v>74</v>
      </c>
      <c r="X419" s="1" t="s">
        <v>74</v>
      </c>
      <c r="Y419" s="1" t="s">
        <v>74</v>
      </c>
      <c r="Z419" s="1" t="s">
        <v>74</v>
      </c>
      <c r="AA419" s="1" t="s">
        <v>74</v>
      </c>
      <c r="AB419" s="1" t="s">
        <v>74</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969</v>
      </c>
      <c r="AP419" s="1" t="s">
        <v>970</v>
      </c>
      <c r="AQ419" s="1" t="s">
        <v>74</v>
      </c>
      <c r="AR419" s="1" t="s">
        <v>74</v>
      </c>
      <c r="AS419" s="1" t="s">
        <v>74</v>
      </c>
      <c r="AT419" s="1" t="s">
        <v>3968</v>
      </c>
      <c r="AU419" s="1">
        <v>2025.0</v>
      </c>
      <c r="AV419" s="1">
        <v>314.0</v>
      </c>
      <c r="AW419" s="1" t="s">
        <v>74</v>
      </c>
      <c r="AX419" s="1" t="s">
        <v>74</v>
      </c>
      <c r="AY419" s="1" t="s">
        <v>74</v>
      </c>
      <c r="AZ419" s="1" t="s">
        <v>74</v>
      </c>
      <c r="BA419" s="1" t="s">
        <v>74</v>
      </c>
      <c r="BB419" s="1" t="s">
        <v>74</v>
      </c>
      <c r="BC419" s="1" t="s">
        <v>74</v>
      </c>
      <c r="BD419" s="1">
        <v>113197.0</v>
      </c>
      <c r="BE419" s="1" t="s">
        <v>3969</v>
      </c>
      <c r="BF419" s="2" t="str">
        <f>HYPERLINK("http://dx.doi.org/10.1016/j.knosys.2025.113197","http://dx.doi.org/10.1016/j.knosys.2025.113197")</f>
        <v>http://dx.doi.org/10.1016/j.knosys.2025.113197</v>
      </c>
      <c r="BG419" s="1" t="s">
        <v>74</v>
      </c>
      <c r="BH419" s="1" t="s">
        <v>314</v>
      </c>
      <c r="BI419" s="1" t="s">
        <v>74</v>
      </c>
      <c r="BJ419" s="1" t="s">
        <v>74</v>
      </c>
      <c r="BK419" s="1" t="s">
        <v>74</v>
      </c>
      <c r="BL419" s="1" t="s">
        <v>174</v>
      </c>
      <c r="BM419" s="1" t="s">
        <v>74</v>
      </c>
      <c r="BN419" s="1" t="s">
        <v>74</v>
      </c>
      <c r="BO419" s="1" t="s">
        <v>74</v>
      </c>
      <c r="BP419" s="1" t="s">
        <v>74</v>
      </c>
      <c r="BQ419" s="1" t="s">
        <v>74</v>
      </c>
      <c r="BR419" s="1" t="s">
        <v>74</v>
      </c>
      <c r="BS419" s="1" t="s">
        <v>3970</v>
      </c>
      <c r="BT419" s="1" t="str">
        <f>HYPERLINK("https%3A%2F%2Fwww.webofscience.com%2Fwos%2Fwoscc%2Ffull-record%2FWOS:001436422800001","View Full Record in Web of Science")</f>
        <v>View Full Record in Web of Science</v>
      </c>
    </row>
    <row r="420" ht="12.75" customHeight="1">
      <c r="A420" s="1" t="s">
        <v>72</v>
      </c>
      <c r="B420" s="1" t="s">
        <v>3971</v>
      </c>
      <c r="C420" s="1" t="s">
        <v>74</v>
      </c>
      <c r="D420" s="1" t="s">
        <v>74</v>
      </c>
      <c r="E420" s="1" t="s">
        <v>74</v>
      </c>
      <c r="F420" s="1" t="s">
        <v>3972</v>
      </c>
      <c r="G420" s="1" t="s">
        <v>74</v>
      </c>
      <c r="H420" s="1" t="s">
        <v>74</v>
      </c>
      <c r="I420" s="1" t="s">
        <v>3973</v>
      </c>
      <c r="J420" s="1" t="s">
        <v>3442</v>
      </c>
      <c r="K420" s="1" t="s">
        <v>74</v>
      </c>
      <c r="L420" s="1" t="s">
        <v>74</v>
      </c>
      <c r="M420" s="1" t="s">
        <v>74</v>
      </c>
      <c r="N420" s="1" t="s">
        <v>78</v>
      </c>
      <c r="O420" s="1" t="s">
        <v>74</v>
      </c>
      <c r="P420" s="1" t="s">
        <v>74</v>
      </c>
      <c r="Q420" s="1" t="s">
        <v>74</v>
      </c>
      <c r="R420" s="1" t="s">
        <v>74</v>
      </c>
      <c r="S420" s="1" t="s">
        <v>74</v>
      </c>
      <c r="T420" s="1" t="s">
        <v>3974</v>
      </c>
      <c r="U420" s="1" t="s">
        <v>74</v>
      </c>
      <c r="V420" s="1" t="s">
        <v>3975</v>
      </c>
      <c r="W420" s="1" t="s">
        <v>74</v>
      </c>
      <c r="X420" s="1" t="s">
        <v>74</v>
      </c>
      <c r="Y420" s="1" t="s">
        <v>74</v>
      </c>
      <c r="Z420" s="1" t="s">
        <v>74</v>
      </c>
      <c r="AA420" s="1" t="s">
        <v>74</v>
      </c>
      <c r="AB420" s="1" t="s">
        <v>74</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3446</v>
      </c>
      <c r="AP420" s="1" t="s">
        <v>3447</v>
      </c>
      <c r="AQ420" s="1" t="s">
        <v>74</v>
      </c>
      <c r="AR420" s="1" t="s">
        <v>74</v>
      </c>
      <c r="AS420" s="1" t="s">
        <v>74</v>
      </c>
      <c r="AT420" s="1" t="s">
        <v>124</v>
      </c>
      <c r="AU420" s="1">
        <v>2024.0</v>
      </c>
      <c r="AV420" s="1">
        <v>129.0</v>
      </c>
      <c r="AW420" s="1">
        <v>4.0</v>
      </c>
      <c r="AX420" s="1" t="s">
        <v>74</v>
      </c>
      <c r="AY420" s="1" t="s">
        <v>74</v>
      </c>
      <c r="AZ420" s="1" t="s">
        <v>74</v>
      </c>
      <c r="BA420" s="1" t="s">
        <v>74</v>
      </c>
      <c r="BB420" s="1">
        <v>2469.0</v>
      </c>
      <c r="BC420" s="1">
        <v>2487.0</v>
      </c>
      <c r="BD420" s="1" t="s">
        <v>74</v>
      </c>
      <c r="BE420" s="1" t="s">
        <v>3976</v>
      </c>
      <c r="BF420" s="2" t="str">
        <f>HYPERLINK("http://dx.doi.org/10.1007/s11192-024-04939-y","http://dx.doi.org/10.1007/s11192-024-04939-y")</f>
        <v>http://dx.doi.org/10.1007/s11192-024-04939-y</v>
      </c>
      <c r="BG420" s="1" t="s">
        <v>74</v>
      </c>
      <c r="BH420" s="1" t="s">
        <v>3033</v>
      </c>
      <c r="BI420" s="1" t="s">
        <v>74</v>
      </c>
      <c r="BJ420" s="1" t="s">
        <v>74</v>
      </c>
      <c r="BK420" s="1" t="s">
        <v>74</v>
      </c>
      <c r="BL420" s="1" t="s">
        <v>2874</v>
      </c>
      <c r="BM420" s="1" t="s">
        <v>74</v>
      </c>
      <c r="BN420" s="1" t="s">
        <v>74</v>
      </c>
      <c r="BO420" s="1" t="s">
        <v>576</v>
      </c>
      <c r="BP420" s="1" t="s">
        <v>74</v>
      </c>
      <c r="BQ420" s="1" t="s">
        <v>74</v>
      </c>
      <c r="BR420" s="1" t="s">
        <v>74</v>
      </c>
      <c r="BS420" s="1" t="s">
        <v>3977</v>
      </c>
      <c r="BT420" s="1" t="str">
        <f>HYPERLINK("https%3A%2F%2Fwww.webofscience.com%2Fwos%2Fwoscc%2Ffull-record%2FWOS:001162583700002","View Full Record in Web of Science")</f>
        <v>View Full Record in Web of Science</v>
      </c>
    </row>
    <row r="421" ht="12.75" customHeight="1">
      <c r="A421" s="1" t="s">
        <v>72</v>
      </c>
      <c r="B421" s="1" t="s">
        <v>3978</v>
      </c>
      <c r="C421" s="1" t="s">
        <v>74</v>
      </c>
      <c r="D421" s="1" t="s">
        <v>74</v>
      </c>
      <c r="E421" s="1" t="s">
        <v>74</v>
      </c>
      <c r="F421" s="1" t="s">
        <v>3979</v>
      </c>
      <c r="G421" s="1" t="s">
        <v>74</v>
      </c>
      <c r="H421" s="1" t="s">
        <v>74</v>
      </c>
      <c r="I421" s="1" t="s">
        <v>3980</v>
      </c>
      <c r="J421" s="1" t="s">
        <v>2479</v>
      </c>
      <c r="K421" s="1" t="s">
        <v>74</v>
      </c>
      <c r="L421" s="1" t="s">
        <v>74</v>
      </c>
      <c r="M421" s="1" t="s">
        <v>74</v>
      </c>
      <c r="N421" s="1" t="s">
        <v>78</v>
      </c>
      <c r="O421" s="1" t="s">
        <v>74</v>
      </c>
      <c r="P421" s="1" t="s">
        <v>74</v>
      </c>
      <c r="Q421" s="1" t="s">
        <v>74</v>
      </c>
      <c r="R421" s="1" t="s">
        <v>74</v>
      </c>
      <c r="S421" s="1" t="s">
        <v>74</v>
      </c>
      <c r="T421" s="1" t="s">
        <v>3981</v>
      </c>
      <c r="U421" s="1" t="s">
        <v>74</v>
      </c>
      <c r="V421" s="1" t="s">
        <v>3982</v>
      </c>
      <c r="W421" s="1" t="s">
        <v>74</v>
      </c>
      <c r="X421" s="1" t="s">
        <v>74</v>
      </c>
      <c r="Y421" s="1" t="s">
        <v>74</v>
      </c>
      <c r="Z421" s="1" t="s">
        <v>74</v>
      </c>
      <c r="AA421" s="1" t="s">
        <v>74</v>
      </c>
      <c r="AB421" s="1" t="s">
        <v>74</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2483</v>
      </c>
      <c r="AP421" s="1" t="s">
        <v>2484</v>
      </c>
      <c r="AQ421" s="1" t="s">
        <v>74</v>
      </c>
      <c r="AR421" s="1" t="s">
        <v>74</v>
      </c>
      <c r="AS421" s="1" t="s">
        <v>74</v>
      </c>
      <c r="AT421" s="1" t="s">
        <v>262</v>
      </c>
      <c r="AU421" s="1">
        <v>2025.0</v>
      </c>
      <c r="AV421" s="1">
        <v>43.0</v>
      </c>
      <c r="AW421" s="1">
        <v>5.0</v>
      </c>
      <c r="AX421" s="1" t="s">
        <v>74</v>
      </c>
      <c r="AY421" s="1" t="s">
        <v>74</v>
      </c>
      <c r="AZ421" s="1" t="s">
        <v>74</v>
      </c>
      <c r="BA421" s="1" t="s">
        <v>74</v>
      </c>
      <c r="BB421" s="1" t="s">
        <v>74</v>
      </c>
      <c r="BC421" s="1" t="s">
        <v>74</v>
      </c>
      <c r="BD421" s="1">
        <v>115.0</v>
      </c>
      <c r="BE421" s="1" t="s">
        <v>3983</v>
      </c>
      <c r="BF421" s="2" t="str">
        <f>HYPERLINK("http://dx.doi.org/10.1145/3716499","http://dx.doi.org/10.1145/3716499")</f>
        <v>http://dx.doi.org/10.1145/3716499</v>
      </c>
      <c r="BG421" s="1" t="s">
        <v>74</v>
      </c>
      <c r="BH421" s="1" t="s">
        <v>74</v>
      </c>
      <c r="BI421" s="1" t="s">
        <v>74</v>
      </c>
      <c r="BJ421" s="1" t="s">
        <v>74</v>
      </c>
      <c r="BK421" s="1" t="s">
        <v>74</v>
      </c>
      <c r="BL421" s="1" t="s">
        <v>174</v>
      </c>
      <c r="BM421" s="1" t="s">
        <v>74</v>
      </c>
      <c r="BN421" s="1" t="s">
        <v>74</v>
      </c>
      <c r="BO421" s="1" t="s">
        <v>74</v>
      </c>
      <c r="BP421" s="1" t="s">
        <v>74</v>
      </c>
      <c r="BQ421" s="1" t="s">
        <v>74</v>
      </c>
      <c r="BR421" s="1" t="s">
        <v>74</v>
      </c>
      <c r="BS421" s="1" t="s">
        <v>3984</v>
      </c>
      <c r="BT421" s="1" t="str">
        <f>HYPERLINK("https%3A%2F%2Fwww.webofscience.com%2Fwos%2Fwoscc%2Ffull-record%2FWOS:001552826800001","View Full Record in Web of Science")</f>
        <v>View Full Record in Web of Science</v>
      </c>
    </row>
    <row r="422" ht="12.75" customHeight="1">
      <c r="A422" s="1" t="s">
        <v>72</v>
      </c>
      <c r="B422" s="1" t="s">
        <v>3985</v>
      </c>
      <c r="C422" s="1" t="s">
        <v>74</v>
      </c>
      <c r="D422" s="1" t="s">
        <v>74</v>
      </c>
      <c r="E422" s="1" t="s">
        <v>74</v>
      </c>
      <c r="F422" s="1" t="s">
        <v>3986</v>
      </c>
      <c r="G422" s="1" t="s">
        <v>74</v>
      </c>
      <c r="H422" s="1" t="s">
        <v>74</v>
      </c>
      <c r="I422" s="1" t="s">
        <v>3987</v>
      </c>
      <c r="J422" s="1" t="s">
        <v>281</v>
      </c>
      <c r="K422" s="1" t="s">
        <v>74</v>
      </c>
      <c r="L422" s="1" t="s">
        <v>74</v>
      </c>
      <c r="M422" s="1" t="s">
        <v>74</v>
      </c>
      <c r="N422" s="1" t="s">
        <v>78</v>
      </c>
      <c r="O422" s="1" t="s">
        <v>74</v>
      </c>
      <c r="P422" s="1" t="s">
        <v>74</v>
      </c>
      <c r="Q422" s="1" t="s">
        <v>74</v>
      </c>
      <c r="R422" s="1" t="s">
        <v>74</v>
      </c>
      <c r="S422" s="1" t="s">
        <v>74</v>
      </c>
      <c r="T422" s="1" t="s">
        <v>3988</v>
      </c>
      <c r="U422" s="1" t="s">
        <v>3989</v>
      </c>
      <c r="V422" s="1" t="s">
        <v>3990</v>
      </c>
      <c r="W422" s="1" t="s">
        <v>74</v>
      </c>
      <c r="X422" s="1" t="s">
        <v>74</v>
      </c>
      <c r="Y422" s="1" t="s">
        <v>74</v>
      </c>
      <c r="Z422" s="1" t="s">
        <v>74</v>
      </c>
      <c r="AA422" s="1" t="s">
        <v>74</v>
      </c>
      <c r="AB422" s="1" t="s">
        <v>74</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285</v>
      </c>
      <c r="AP422" s="1" t="s">
        <v>286</v>
      </c>
      <c r="AQ422" s="1" t="s">
        <v>74</v>
      </c>
      <c r="AR422" s="1" t="s">
        <v>74</v>
      </c>
      <c r="AS422" s="1" t="s">
        <v>74</v>
      </c>
      <c r="AT422" s="1" t="s">
        <v>262</v>
      </c>
      <c r="AU422" s="1">
        <v>2025.0</v>
      </c>
      <c r="AV422" s="1">
        <v>32.0</v>
      </c>
      <c r="AW422" s="1">
        <v>9.0</v>
      </c>
      <c r="AX422" s="1" t="s">
        <v>74</v>
      </c>
      <c r="AY422" s="1" t="s">
        <v>74</v>
      </c>
      <c r="AZ422" s="1" t="s">
        <v>74</v>
      </c>
      <c r="BA422" s="1" t="s">
        <v>74</v>
      </c>
      <c r="BB422" s="1">
        <v>1471.0</v>
      </c>
      <c r="BC422" s="1">
        <v>1476.0</v>
      </c>
      <c r="BD422" s="1" t="s">
        <v>74</v>
      </c>
      <c r="BE422" s="1" t="s">
        <v>3991</v>
      </c>
      <c r="BF422" s="2" t="str">
        <f>HYPERLINK("http://dx.doi.org/10.1093/jamia/ocaf117","http://dx.doi.org/10.1093/jamia/ocaf117")</f>
        <v>http://dx.doi.org/10.1093/jamia/ocaf117</v>
      </c>
      <c r="BG422" s="1" t="s">
        <v>74</v>
      </c>
      <c r="BH422" s="1" t="s">
        <v>973</v>
      </c>
      <c r="BI422" s="1" t="s">
        <v>74</v>
      </c>
      <c r="BJ422" s="1" t="s">
        <v>74</v>
      </c>
      <c r="BK422" s="1" t="s">
        <v>74</v>
      </c>
      <c r="BL422" s="1" t="s">
        <v>291</v>
      </c>
      <c r="BM422" s="1" t="s">
        <v>74</v>
      </c>
      <c r="BN422" s="1" t="s">
        <v>74</v>
      </c>
      <c r="BO422" s="1" t="s">
        <v>74</v>
      </c>
      <c r="BP422" s="1" t="s">
        <v>74</v>
      </c>
      <c r="BQ422" s="1" t="s">
        <v>74</v>
      </c>
      <c r="BR422" s="1" t="s">
        <v>74</v>
      </c>
      <c r="BS422" s="1" t="s">
        <v>3992</v>
      </c>
      <c r="BT422" s="1" t="str">
        <f>HYPERLINK("https%3A%2F%2Fwww.webofscience.com%2Fwos%2Fwoscc%2Ffull-record%2FWOS:001530994300001","View Full Record in Web of Science")</f>
        <v>View Full Record in Web of Science</v>
      </c>
    </row>
    <row r="423" ht="12.75" customHeight="1">
      <c r="A423" s="1" t="s">
        <v>72</v>
      </c>
      <c r="B423" s="1" t="s">
        <v>3993</v>
      </c>
      <c r="C423" s="1" t="s">
        <v>74</v>
      </c>
      <c r="D423" s="1" t="s">
        <v>74</v>
      </c>
      <c r="E423" s="1" t="s">
        <v>74</v>
      </c>
      <c r="F423" s="1" t="s">
        <v>3994</v>
      </c>
      <c r="G423" s="1" t="s">
        <v>74</v>
      </c>
      <c r="H423" s="1" t="s">
        <v>74</v>
      </c>
      <c r="I423" s="1" t="s">
        <v>3995</v>
      </c>
      <c r="J423" s="1" t="s">
        <v>793</v>
      </c>
      <c r="K423" s="1" t="s">
        <v>74</v>
      </c>
      <c r="L423" s="1" t="s">
        <v>74</v>
      </c>
      <c r="M423" s="1" t="s">
        <v>74</v>
      </c>
      <c r="N423" s="1" t="s">
        <v>78</v>
      </c>
      <c r="O423" s="1" t="s">
        <v>74</v>
      </c>
      <c r="P423" s="1" t="s">
        <v>74</v>
      </c>
      <c r="Q423" s="1" t="s">
        <v>74</v>
      </c>
      <c r="R423" s="1" t="s">
        <v>74</v>
      </c>
      <c r="S423" s="1" t="s">
        <v>74</v>
      </c>
      <c r="T423" s="1" t="s">
        <v>3996</v>
      </c>
      <c r="U423" s="1" t="s">
        <v>74</v>
      </c>
      <c r="V423" s="1" t="s">
        <v>3997</v>
      </c>
      <c r="W423" s="1" t="s">
        <v>74</v>
      </c>
      <c r="X423" s="1" t="s">
        <v>74</v>
      </c>
      <c r="Y423" s="1" t="s">
        <v>74</v>
      </c>
      <c r="Z423" s="1" t="s">
        <v>74</v>
      </c>
      <c r="AA423" s="1" t="s">
        <v>74</v>
      </c>
      <c r="AB423" s="1" t="s">
        <v>74</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797</v>
      </c>
      <c r="AP423" s="1" t="s">
        <v>74</v>
      </c>
      <c r="AQ423" s="1" t="s">
        <v>74</v>
      </c>
      <c r="AR423" s="1" t="s">
        <v>74</v>
      </c>
      <c r="AS423" s="1" t="s">
        <v>74</v>
      </c>
      <c r="AT423" s="1" t="s">
        <v>3998</v>
      </c>
      <c r="AU423" s="1">
        <v>2025.0</v>
      </c>
      <c r="AV423" s="1">
        <v>17.0</v>
      </c>
      <c r="AW423" s="1">
        <v>4.0</v>
      </c>
      <c r="AX423" s="1" t="s">
        <v>74</v>
      </c>
      <c r="AY423" s="1" t="s">
        <v>74</v>
      </c>
      <c r="AZ423" s="1" t="s">
        <v>74</v>
      </c>
      <c r="BA423" s="1" t="s">
        <v>74</v>
      </c>
      <c r="BB423" s="1" t="s">
        <v>74</v>
      </c>
      <c r="BC423" s="1" t="s">
        <v>74</v>
      </c>
      <c r="BD423" s="1">
        <v>151.0</v>
      </c>
      <c r="BE423" s="1" t="s">
        <v>3999</v>
      </c>
      <c r="BF423" s="2" t="str">
        <f>HYPERLINK("http://dx.doi.org/10.3390/fi17040151","http://dx.doi.org/10.3390/fi17040151")</f>
        <v>http://dx.doi.org/10.3390/fi17040151</v>
      </c>
      <c r="BG423" s="1" t="s">
        <v>74</v>
      </c>
      <c r="BH423" s="1" t="s">
        <v>74</v>
      </c>
      <c r="BI423" s="1" t="s">
        <v>74</v>
      </c>
      <c r="BJ423" s="1" t="s">
        <v>74</v>
      </c>
      <c r="BK423" s="1" t="s">
        <v>74</v>
      </c>
      <c r="BL423" s="1" t="s">
        <v>174</v>
      </c>
      <c r="BM423" s="1" t="s">
        <v>74</v>
      </c>
      <c r="BN423" s="1" t="s">
        <v>74</v>
      </c>
      <c r="BO423" s="1" t="s">
        <v>163</v>
      </c>
      <c r="BP423" s="1" t="s">
        <v>74</v>
      </c>
      <c r="BQ423" s="1" t="s">
        <v>74</v>
      </c>
      <c r="BR423" s="1" t="s">
        <v>74</v>
      </c>
      <c r="BS423" s="1" t="s">
        <v>4000</v>
      </c>
      <c r="BT423" s="1" t="str">
        <f>HYPERLINK("https%3A%2F%2Fwww.webofscience.com%2Fwos%2Fwoscc%2Ffull-record%2FWOS:001474998600001","View Full Record in Web of Science")</f>
        <v>View Full Record in Web of Science</v>
      </c>
    </row>
    <row r="424" ht="12.75" customHeight="1">
      <c r="A424" s="1" t="s">
        <v>72</v>
      </c>
      <c r="B424" s="1" t="s">
        <v>4001</v>
      </c>
      <c r="C424" s="1" t="s">
        <v>74</v>
      </c>
      <c r="D424" s="1" t="s">
        <v>74</v>
      </c>
      <c r="E424" s="1" t="s">
        <v>74</v>
      </c>
      <c r="F424" s="1" t="s">
        <v>4002</v>
      </c>
      <c r="G424" s="1" t="s">
        <v>74</v>
      </c>
      <c r="H424" s="1" t="s">
        <v>74</v>
      </c>
      <c r="I424" s="1" t="s">
        <v>4003</v>
      </c>
      <c r="J424" s="1" t="s">
        <v>1428</v>
      </c>
      <c r="K424" s="1" t="s">
        <v>74</v>
      </c>
      <c r="L424" s="1" t="s">
        <v>74</v>
      </c>
      <c r="M424" s="1" t="s">
        <v>74</v>
      </c>
      <c r="N424" s="1" t="s">
        <v>158</v>
      </c>
      <c r="O424" s="1" t="s">
        <v>74</v>
      </c>
      <c r="P424" s="1" t="s">
        <v>74</v>
      </c>
      <c r="Q424" s="1" t="s">
        <v>74</v>
      </c>
      <c r="R424" s="1" t="s">
        <v>74</v>
      </c>
      <c r="S424" s="1" t="s">
        <v>74</v>
      </c>
      <c r="T424" s="1" t="s">
        <v>4004</v>
      </c>
      <c r="U424" s="1" t="s">
        <v>4005</v>
      </c>
      <c r="V424" s="1" t="s">
        <v>4006</v>
      </c>
      <c r="W424" s="1" t="s">
        <v>74</v>
      </c>
      <c r="X424" s="1" t="s">
        <v>74</v>
      </c>
      <c r="Y424" s="1" t="s">
        <v>74</v>
      </c>
      <c r="Z424" s="1" t="s">
        <v>74</v>
      </c>
      <c r="AA424" s="1" t="s">
        <v>74</v>
      </c>
      <c r="AB424" s="1" t="s">
        <v>74</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1432</v>
      </c>
      <c r="AP424" s="1" t="s">
        <v>1433</v>
      </c>
      <c r="AQ424" s="1" t="s">
        <v>74</v>
      </c>
      <c r="AR424" s="1" t="s">
        <v>74</v>
      </c>
      <c r="AS424" s="1" t="s">
        <v>74</v>
      </c>
      <c r="AT424" s="1" t="s">
        <v>139</v>
      </c>
      <c r="AU424" s="1">
        <v>2026.0</v>
      </c>
      <c r="AV424" s="1">
        <v>59.0</v>
      </c>
      <c r="AW424" s="1" t="s">
        <v>74</v>
      </c>
      <c r="AX424" s="1" t="s">
        <v>74</v>
      </c>
      <c r="AY424" s="1" t="s">
        <v>74</v>
      </c>
      <c r="AZ424" s="1" t="s">
        <v>74</v>
      </c>
      <c r="BA424" s="1" t="s">
        <v>74</v>
      </c>
      <c r="BB424" s="1" t="s">
        <v>74</v>
      </c>
      <c r="BC424" s="1" t="s">
        <v>74</v>
      </c>
      <c r="BD424" s="1">
        <v>100847.0</v>
      </c>
      <c r="BE424" s="1" t="s">
        <v>4007</v>
      </c>
      <c r="BF424" s="2" t="str">
        <f>HYPERLINK("http://dx.doi.org/10.1016/j.cosrev.2025.100847","http://dx.doi.org/10.1016/j.cosrev.2025.100847")</f>
        <v>http://dx.doi.org/10.1016/j.cosrev.2025.100847</v>
      </c>
      <c r="BG424" s="1" t="s">
        <v>74</v>
      </c>
      <c r="BH424" s="1" t="s">
        <v>811</v>
      </c>
      <c r="BI424" s="1" t="s">
        <v>74</v>
      </c>
      <c r="BJ424" s="1" t="s">
        <v>74</v>
      </c>
      <c r="BK424" s="1" t="s">
        <v>74</v>
      </c>
      <c r="BL424" s="1" t="s">
        <v>174</v>
      </c>
      <c r="BM424" s="1" t="s">
        <v>74</v>
      </c>
      <c r="BN424" s="1" t="s">
        <v>74</v>
      </c>
      <c r="BO424" s="1" t="s">
        <v>74</v>
      </c>
      <c r="BP424" s="1" t="s">
        <v>74</v>
      </c>
      <c r="BQ424" s="1" t="s">
        <v>74</v>
      </c>
      <c r="BR424" s="1" t="s">
        <v>74</v>
      </c>
      <c r="BS424" s="1" t="s">
        <v>4008</v>
      </c>
      <c r="BT424" s="1" t="str">
        <f>HYPERLINK("https%3A%2F%2Fwww.webofscience.com%2Fwos%2Fwoscc%2Ffull-record%2FWOS:001608307400001","View Full Record in Web of Science")</f>
        <v>View Full Record in Web of Science</v>
      </c>
    </row>
    <row r="425" ht="12.75" customHeight="1">
      <c r="A425" s="1" t="s">
        <v>72</v>
      </c>
      <c r="B425" s="1" t="s">
        <v>4009</v>
      </c>
      <c r="C425" s="1" t="s">
        <v>74</v>
      </c>
      <c r="D425" s="1" t="s">
        <v>74</v>
      </c>
      <c r="E425" s="1" t="s">
        <v>74</v>
      </c>
      <c r="F425" s="1" t="s">
        <v>4010</v>
      </c>
      <c r="G425" s="1" t="s">
        <v>74</v>
      </c>
      <c r="H425" s="1" t="s">
        <v>74</v>
      </c>
      <c r="I425" s="1" t="s">
        <v>4011</v>
      </c>
      <c r="J425" s="1" t="s">
        <v>4012</v>
      </c>
      <c r="K425" s="1" t="s">
        <v>74</v>
      </c>
      <c r="L425" s="1" t="s">
        <v>74</v>
      </c>
      <c r="M425" s="1" t="s">
        <v>74</v>
      </c>
      <c r="N425" s="1" t="s">
        <v>78</v>
      </c>
      <c r="O425" s="1" t="s">
        <v>74</v>
      </c>
      <c r="P425" s="1" t="s">
        <v>74</v>
      </c>
      <c r="Q425" s="1" t="s">
        <v>74</v>
      </c>
      <c r="R425" s="1" t="s">
        <v>74</v>
      </c>
      <c r="S425" s="1" t="s">
        <v>74</v>
      </c>
      <c r="T425" s="1" t="s">
        <v>4013</v>
      </c>
      <c r="U425" s="1" t="s">
        <v>74</v>
      </c>
      <c r="V425" s="1" t="s">
        <v>4014</v>
      </c>
      <c r="W425" s="1" t="s">
        <v>74</v>
      </c>
      <c r="X425" s="1" t="s">
        <v>74</v>
      </c>
      <c r="Y425" s="1" t="s">
        <v>74</v>
      </c>
      <c r="Z425" s="1" t="s">
        <v>74</v>
      </c>
      <c r="AA425" s="1" t="s">
        <v>74</v>
      </c>
      <c r="AB425" s="1" t="s">
        <v>74</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4015</v>
      </c>
      <c r="AP425" s="1" t="s">
        <v>74</v>
      </c>
      <c r="AQ425" s="1" t="s">
        <v>74</v>
      </c>
      <c r="AR425" s="1" t="s">
        <v>74</v>
      </c>
      <c r="AS425" s="1" t="s">
        <v>74</v>
      </c>
      <c r="AT425" s="1" t="s">
        <v>4016</v>
      </c>
      <c r="AU425" s="1">
        <v>2026.0</v>
      </c>
      <c r="AV425" s="1">
        <v>9.0</v>
      </c>
      <c r="AW425" s="1">
        <v>1.0</v>
      </c>
      <c r="AX425" s="1" t="s">
        <v>74</v>
      </c>
      <c r="AY425" s="1" t="s">
        <v>74</v>
      </c>
      <c r="AZ425" s="1" t="s">
        <v>74</v>
      </c>
      <c r="BA425" s="1" t="s">
        <v>74</v>
      </c>
      <c r="BB425" s="1" t="s">
        <v>74</v>
      </c>
      <c r="BC425" s="1" t="s">
        <v>74</v>
      </c>
      <c r="BD425" s="1">
        <v>7.0</v>
      </c>
      <c r="BE425" s="1" t="s">
        <v>4017</v>
      </c>
      <c r="BF425" s="2" t="str">
        <f>HYPERLINK("http://dx.doi.org/10.1186/s42400-025-00532-9","http://dx.doi.org/10.1186/s42400-025-00532-9")</f>
        <v>http://dx.doi.org/10.1186/s42400-025-00532-9</v>
      </c>
      <c r="BG425" s="1" t="s">
        <v>74</v>
      </c>
      <c r="BH425" s="1" t="s">
        <v>74</v>
      </c>
      <c r="BI425" s="1" t="s">
        <v>74</v>
      </c>
      <c r="BJ425" s="1" t="s">
        <v>74</v>
      </c>
      <c r="BK425" s="1" t="s">
        <v>74</v>
      </c>
      <c r="BL425" s="1" t="s">
        <v>174</v>
      </c>
      <c r="BM425" s="1" t="s">
        <v>74</v>
      </c>
      <c r="BN425" s="1" t="s">
        <v>74</v>
      </c>
      <c r="BO425" s="1" t="s">
        <v>163</v>
      </c>
      <c r="BP425" s="1" t="s">
        <v>74</v>
      </c>
      <c r="BQ425" s="1" t="s">
        <v>74</v>
      </c>
      <c r="BR425" s="1" t="s">
        <v>74</v>
      </c>
      <c r="BS425" s="1" t="s">
        <v>4018</v>
      </c>
      <c r="BT425" s="1" t="str">
        <f>HYPERLINK("https%3A%2F%2Fwww.webofscience.com%2Fwos%2Fwoscc%2Ffull-record%2FWOS:001652979800005","View Full Record in Web of Science")</f>
        <v>View Full Record in Web of Science</v>
      </c>
    </row>
    <row r="426" ht="12.75" customHeight="1">
      <c r="A426" s="1" t="s">
        <v>72</v>
      </c>
      <c r="B426" s="1" t="s">
        <v>4019</v>
      </c>
      <c r="C426" s="1" t="s">
        <v>74</v>
      </c>
      <c r="D426" s="1" t="s">
        <v>74</v>
      </c>
      <c r="E426" s="1" t="s">
        <v>74</v>
      </c>
      <c r="F426" s="1" t="s">
        <v>4020</v>
      </c>
      <c r="G426" s="1" t="s">
        <v>74</v>
      </c>
      <c r="H426" s="1" t="s">
        <v>74</v>
      </c>
      <c r="I426" s="1" t="s">
        <v>4021</v>
      </c>
      <c r="J426" s="1" t="s">
        <v>4022</v>
      </c>
      <c r="K426" s="1" t="s">
        <v>74</v>
      </c>
      <c r="L426" s="1" t="s">
        <v>74</v>
      </c>
      <c r="M426" s="1" t="s">
        <v>74</v>
      </c>
      <c r="N426" s="1" t="s">
        <v>158</v>
      </c>
      <c r="O426" s="1" t="s">
        <v>74</v>
      </c>
      <c r="P426" s="1" t="s">
        <v>74</v>
      </c>
      <c r="Q426" s="1" t="s">
        <v>74</v>
      </c>
      <c r="R426" s="1" t="s">
        <v>74</v>
      </c>
      <c r="S426" s="1" t="s">
        <v>74</v>
      </c>
      <c r="T426" s="1" t="s">
        <v>4023</v>
      </c>
      <c r="U426" s="1" t="s">
        <v>74</v>
      </c>
      <c r="V426" s="1" t="s">
        <v>4024</v>
      </c>
      <c r="W426" s="1" t="s">
        <v>74</v>
      </c>
      <c r="X426" s="1" t="s">
        <v>74</v>
      </c>
      <c r="Y426" s="1" t="s">
        <v>74</v>
      </c>
      <c r="Z426" s="1" t="s">
        <v>74</v>
      </c>
      <c r="AA426" s="1" t="s">
        <v>74</v>
      </c>
      <c r="AB426" s="1" t="s">
        <v>74</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4025</v>
      </c>
      <c r="AP426" s="1" t="s">
        <v>74</v>
      </c>
      <c r="AQ426" s="1" t="s">
        <v>74</v>
      </c>
      <c r="AR426" s="1" t="s">
        <v>74</v>
      </c>
      <c r="AS426" s="1" t="s">
        <v>74</v>
      </c>
      <c r="AT426" s="1" t="s">
        <v>736</v>
      </c>
      <c r="AU426" s="1">
        <v>2026.0</v>
      </c>
      <c r="AV426" s="1">
        <v>23.0</v>
      </c>
      <c r="AW426" s="1">
        <v>1.0</v>
      </c>
      <c r="AX426" s="1" t="s">
        <v>74</v>
      </c>
      <c r="AY426" s="1" t="s">
        <v>74</v>
      </c>
      <c r="AZ426" s="1" t="s">
        <v>74</v>
      </c>
      <c r="BA426" s="1" t="s">
        <v>74</v>
      </c>
      <c r="BB426" s="1">
        <v>81.0</v>
      </c>
      <c r="BC426" s="1">
        <v>97.0</v>
      </c>
      <c r="BD426" s="1" t="s">
        <v>74</v>
      </c>
      <c r="BE426" s="1" t="s">
        <v>4026</v>
      </c>
      <c r="BF426" s="2" t="str">
        <f>HYPERLINK("http://dx.doi.org/10.34028/iajit/23/1/8","http://dx.doi.org/10.34028/iajit/23/1/8")</f>
        <v>http://dx.doi.org/10.34028/iajit/23/1/8</v>
      </c>
      <c r="BG426" s="1" t="s">
        <v>74</v>
      </c>
      <c r="BH426" s="1" t="s">
        <v>74</v>
      </c>
      <c r="BI426" s="1" t="s">
        <v>74</v>
      </c>
      <c r="BJ426" s="1" t="s">
        <v>74</v>
      </c>
      <c r="BK426" s="1" t="s">
        <v>74</v>
      </c>
      <c r="BL426" s="1" t="s">
        <v>98</v>
      </c>
      <c r="BM426" s="1" t="s">
        <v>74</v>
      </c>
      <c r="BN426" s="1" t="s">
        <v>74</v>
      </c>
      <c r="BO426" s="1" t="s">
        <v>74</v>
      </c>
      <c r="BP426" s="1" t="s">
        <v>74</v>
      </c>
      <c r="BQ426" s="1" t="s">
        <v>74</v>
      </c>
      <c r="BR426" s="1" t="s">
        <v>74</v>
      </c>
      <c r="BS426" s="1" t="s">
        <v>4027</v>
      </c>
      <c r="BT426" s="1" t="str">
        <f>HYPERLINK("https%3A%2F%2Fwww.webofscience.com%2Fwos%2Fwoscc%2Ffull-record%2FWOS:001664459700008","View Full Record in Web of Science")</f>
        <v>View Full Record in Web of Science</v>
      </c>
    </row>
    <row r="427" ht="12.75" customHeight="1">
      <c r="A427" s="1" t="s">
        <v>72</v>
      </c>
      <c r="B427" s="1" t="s">
        <v>4028</v>
      </c>
      <c r="C427" s="1" t="s">
        <v>74</v>
      </c>
      <c r="D427" s="1" t="s">
        <v>74</v>
      </c>
      <c r="E427" s="1" t="s">
        <v>74</v>
      </c>
      <c r="F427" s="1" t="s">
        <v>4029</v>
      </c>
      <c r="G427" s="1" t="s">
        <v>74</v>
      </c>
      <c r="H427" s="1" t="s">
        <v>74</v>
      </c>
      <c r="I427" s="1" t="s">
        <v>4030</v>
      </c>
      <c r="J427" s="1" t="s">
        <v>653</v>
      </c>
      <c r="K427" s="1" t="s">
        <v>74</v>
      </c>
      <c r="L427" s="1" t="s">
        <v>74</v>
      </c>
      <c r="M427" s="1" t="s">
        <v>74</v>
      </c>
      <c r="N427" s="1" t="s">
        <v>78</v>
      </c>
      <c r="O427" s="1" t="s">
        <v>74</v>
      </c>
      <c r="P427" s="1" t="s">
        <v>74</v>
      </c>
      <c r="Q427" s="1" t="s">
        <v>74</v>
      </c>
      <c r="R427" s="1" t="s">
        <v>74</v>
      </c>
      <c r="S427" s="1" t="s">
        <v>74</v>
      </c>
      <c r="T427" s="1" t="s">
        <v>4031</v>
      </c>
      <c r="U427" s="1" t="s">
        <v>4032</v>
      </c>
      <c r="V427" s="1" t="s">
        <v>4033</v>
      </c>
      <c r="W427" s="1" t="s">
        <v>74</v>
      </c>
      <c r="X427" s="1" t="s">
        <v>74</v>
      </c>
      <c r="Y427" s="1" t="s">
        <v>74</v>
      </c>
      <c r="Z427" s="1" t="s">
        <v>74</v>
      </c>
      <c r="AA427" s="1" t="s">
        <v>74</v>
      </c>
      <c r="AB427" s="1" t="s">
        <v>74</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74</v>
      </c>
      <c r="AP427" s="1" t="s">
        <v>656</v>
      </c>
      <c r="AQ427" s="1" t="s">
        <v>74</v>
      </c>
      <c r="AR427" s="1" t="s">
        <v>74</v>
      </c>
      <c r="AS427" s="1" t="s">
        <v>74</v>
      </c>
      <c r="AT427" s="1" t="s">
        <v>4034</v>
      </c>
      <c r="AU427" s="1">
        <v>2025.0</v>
      </c>
      <c r="AV427" s="1">
        <v>11.0</v>
      </c>
      <c r="AW427" s="1" t="s">
        <v>74</v>
      </c>
      <c r="AX427" s="1" t="s">
        <v>74</v>
      </c>
      <c r="AY427" s="1" t="s">
        <v>74</v>
      </c>
      <c r="AZ427" s="1" t="s">
        <v>74</v>
      </c>
      <c r="BA427" s="1" t="s">
        <v>74</v>
      </c>
      <c r="BB427" s="1" t="s">
        <v>74</v>
      </c>
      <c r="BC427" s="1" t="s">
        <v>74</v>
      </c>
      <c r="BD427" s="1" t="s">
        <v>4035</v>
      </c>
      <c r="BE427" s="1" t="s">
        <v>4036</v>
      </c>
      <c r="BF427" s="2" t="str">
        <f>HYPERLINK("http://dx.doi.org/10.7717/peerj-cs.3324","http://dx.doi.org/10.7717/peerj-cs.3324")</f>
        <v>http://dx.doi.org/10.7717/peerj-cs.3324</v>
      </c>
      <c r="BG427" s="1" t="s">
        <v>74</v>
      </c>
      <c r="BH427" s="1" t="s">
        <v>74</v>
      </c>
      <c r="BI427" s="1" t="s">
        <v>74</v>
      </c>
      <c r="BJ427" s="1" t="s">
        <v>74</v>
      </c>
      <c r="BK427" s="1" t="s">
        <v>74</v>
      </c>
      <c r="BL427" s="1" t="s">
        <v>174</v>
      </c>
      <c r="BM427" s="1" t="s">
        <v>74</v>
      </c>
      <c r="BN427" s="1" t="s">
        <v>74</v>
      </c>
      <c r="BO427" s="1" t="s">
        <v>163</v>
      </c>
      <c r="BP427" s="1" t="s">
        <v>74</v>
      </c>
      <c r="BQ427" s="1" t="s">
        <v>74</v>
      </c>
      <c r="BR427" s="1" t="s">
        <v>74</v>
      </c>
      <c r="BS427" s="1" t="s">
        <v>4037</v>
      </c>
      <c r="BT427" s="1" t="str">
        <f>HYPERLINK("https%3A%2F%2Fwww.webofscience.com%2Fwos%2Fwoscc%2Ffull-record%2FWOS:001608727700001","View Full Record in Web of Science")</f>
        <v>View Full Record in Web of Science</v>
      </c>
    </row>
    <row r="428" ht="12.75" customHeight="1">
      <c r="A428" s="1" t="s">
        <v>72</v>
      </c>
      <c r="B428" s="1" t="s">
        <v>4038</v>
      </c>
      <c r="C428" s="1" t="s">
        <v>74</v>
      </c>
      <c r="D428" s="1" t="s">
        <v>74</v>
      </c>
      <c r="E428" s="1" t="s">
        <v>74</v>
      </c>
      <c r="F428" s="1" t="s">
        <v>4039</v>
      </c>
      <c r="G428" s="1" t="s">
        <v>74</v>
      </c>
      <c r="H428" s="1" t="s">
        <v>74</v>
      </c>
      <c r="I428" s="1" t="s">
        <v>4040</v>
      </c>
      <c r="J428" s="1" t="s">
        <v>147</v>
      </c>
      <c r="K428" s="1" t="s">
        <v>74</v>
      </c>
      <c r="L428" s="1" t="s">
        <v>74</v>
      </c>
      <c r="M428" s="1" t="s">
        <v>74</v>
      </c>
      <c r="N428" s="1" t="s">
        <v>78</v>
      </c>
      <c r="O428" s="1" t="s">
        <v>74</v>
      </c>
      <c r="P428" s="1" t="s">
        <v>74</v>
      </c>
      <c r="Q428" s="1" t="s">
        <v>74</v>
      </c>
      <c r="R428" s="1" t="s">
        <v>74</v>
      </c>
      <c r="S428" s="1" t="s">
        <v>74</v>
      </c>
      <c r="T428" s="1" t="s">
        <v>4041</v>
      </c>
      <c r="U428" s="1" t="s">
        <v>74</v>
      </c>
      <c r="V428" s="1" t="s">
        <v>4042</v>
      </c>
      <c r="W428" s="1" t="s">
        <v>74</v>
      </c>
      <c r="X428" s="1" t="s">
        <v>74</v>
      </c>
      <c r="Y428" s="1" t="s">
        <v>74</v>
      </c>
      <c r="Z428" s="1" t="s">
        <v>74</v>
      </c>
      <c r="AA428" s="1" t="s">
        <v>74</v>
      </c>
      <c r="AB428" s="1" t="s">
        <v>74</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150</v>
      </c>
      <c r="AP428" s="1" t="s">
        <v>74</v>
      </c>
      <c r="AQ428" s="1" t="s">
        <v>74</v>
      </c>
      <c r="AR428" s="1" t="s">
        <v>74</v>
      </c>
      <c r="AS428" s="1" t="s">
        <v>74</v>
      </c>
      <c r="AT428" s="1" t="s">
        <v>74</v>
      </c>
      <c r="AU428" s="1">
        <v>2025.0</v>
      </c>
      <c r="AV428" s="1">
        <v>13.0</v>
      </c>
      <c r="AW428" s="1" t="s">
        <v>74</v>
      </c>
      <c r="AX428" s="1" t="s">
        <v>74</v>
      </c>
      <c r="AY428" s="1" t="s">
        <v>74</v>
      </c>
      <c r="AZ428" s="1" t="s">
        <v>74</v>
      </c>
      <c r="BA428" s="1" t="s">
        <v>74</v>
      </c>
      <c r="BB428" s="1">
        <v>134943.0</v>
      </c>
      <c r="BC428" s="1">
        <v>134954.0</v>
      </c>
      <c r="BD428" s="1" t="s">
        <v>74</v>
      </c>
      <c r="BE428" s="1" t="s">
        <v>4043</v>
      </c>
      <c r="BF428" s="2" t="str">
        <f>HYPERLINK("http://dx.doi.org/10.1109/ACCESS.2025.3594010","http://dx.doi.org/10.1109/ACCESS.2025.3594010")</f>
        <v>http://dx.doi.org/10.1109/ACCESS.2025.3594010</v>
      </c>
      <c r="BG428" s="1" t="s">
        <v>74</v>
      </c>
      <c r="BH428" s="1" t="s">
        <v>74</v>
      </c>
      <c r="BI428" s="1" t="s">
        <v>74</v>
      </c>
      <c r="BJ428" s="1" t="s">
        <v>74</v>
      </c>
      <c r="BK428" s="1" t="s">
        <v>74</v>
      </c>
      <c r="BL428" s="1" t="s">
        <v>152</v>
      </c>
      <c r="BM428" s="1" t="s">
        <v>74</v>
      </c>
      <c r="BN428" s="1" t="s">
        <v>74</v>
      </c>
      <c r="BO428" s="1" t="s">
        <v>153</v>
      </c>
      <c r="BP428" s="1" t="s">
        <v>74</v>
      </c>
      <c r="BQ428" s="1" t="s">
        <v>74</v>
      </c>
      <c r="BR428" s="1" t="s">
        <v>74</v>
      </c>
      <c r="BS428" s="1" t="s">
        <v>4044</v>
      </c>
      <c r="BT428" s="1" t="str">
        <f>HYPERLINK("https%3A%2F%2Fwww.webofscience.com%2Fwos%2Fwoscc%2Ffull-record%2FWOS:001548014300017","View Full Record in Web of Science")</f>
        <v>View Full Record in Web of Science</v>
      </c>
    </row>
    <row r="429" ht="12.75" customHeight="1">
      <c r="A429" s="1" t="s">
        <v>72</v>
      </c>
      <c r="B429" s="1" t="s">
        <v>4045</v>
      </c>
      <c r="C429" s="1" t="s">
        <v>74</v>
      </c>
      <c r="D429" s="1" t="s">
        <v>74</v>
      </c>
      <c r="E429" s="1" t="s">
        <v>74</v>
      </c>
      <c r="F429" s="1" t="s">
        <v>4046</v>
      </c>
      <c r="G429" s="1" t="s">
        <v>74</v>
      </c>
      <c r="H429" s="1" t="s">
        <v>74</v>
      </c>
      <c r="I429" s="1" t="s">
        <v>4047</v>
      </c>
      <c r="J429" s="1" t="s">
        <v>239</v>
      </c>
      <c r="K429" s="1" t="s">
        <v>74</v>
      </c>
      <c r="L429" s="1" t="s">
        <v>74</v>
      </c>
      <c r="M429" s="1" t="s">
        <v>74</v>
      </c>
      <c r="N429" s="1" t="s">
        <v>78</v>
      </c>
      <c r="O429" s="1" t="s">
        <v>74</v>
      </c>
      <c r="P429" s="1" t="s">
        <v>74</v>
      </c>
      <c r="Q429" s="1" t="s">
        <v>74</v>
      </c>
      <c r="R429" s="1" t="s">
        <v>74</v>
      </c>
      <c r="S429" s="1" t="s">
        <v>74</v>
      </c>
      <c r="T429" s="1" t="s">
        <v>4048</v>
      </c>
      <c r="U429" s="1" t="s">
        <v>4049</v>
      </c>
      <c r="V429" s="1" t="s">
        <v>4050</v>
      </c>
      <c r="W429" s="1" t="s">
        <v>74</v>
      </c>
      <c r="X429" s="1" t="s">
        <v>74</v>
      </c>
      <c r="Y429" s="1" t="s">
        <v>74</v>
      </c>
      <c r="Z429" s="1" t="s">
        <v>74</v>
      </c>
      <c r="AA429" s="1" t="s">
        <v>74</v>
      </c>
      <c r="AB429" s="1" t="s">
        <v>74</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242</v>
      </c>
      <c r="AP429" s="1" t="s">
        <v>74</v>
      </c>
      <c r="AQ429" s="1" t="s">
        <v>74</v>
      </c>
      <c r="AR429" s="1" t="s">
        <v>74</v>
      </c>
      <c r="AS429" s="1" t="s">
        <v>74</v>
      </c>
      <c r="AT429" s="1" t="s">
        <v>3869</v>
      </c>
      <c r="AU429" s="1">
        <v>2025.0</v>
      </c>
      <c r="AV429" s="1">
        <v>14.0</v>
      </c>
      <c r="AW429" s="1">
        <v>11.0</v>
      </c>
      <c r="AX429" s="1" t="s">
        <v>74</v>
      </c>
      <c r="AY429" s="1" t="s">
        <v>74</v>
      </c>
      <c r="AZ429" s="1" t="s">
        <v>74</v>
      </c>
      <c r="BA429" s="1" t="s">
        <v>74</v>
      </c>
      <c r="BB429" s="1" t="s">
        <v>74</v>
      </c>
      <c r="BC429" s="1" t="s">
        <v>74</v>
      </c>
      <c r="BD429" s="1">
        <v>2164.0</v>
      </c>
      <c r="BE429" s="1" t="s">
        <v>4051</v>
      </c>
      <c r="BF429" s="2" t="str">
        <f>HYPERLINK("http://dx.doi.org/10.3390/electronics14112164","http://dx.doi.org/10.3390/electronics14112164")</f>
        <v>http://dx.doi.org/10.3390/electronics14112164</v>
      </c>
      <c r="BG429" s="1" t="s">
        <v>74</v>
      </c>
      <c r="BH429" s="1" t="s">
        <v>74</v>
      </c>
      <c r="BI429" s="1" t="s">
        <v>74</v>
      </c>
      <c r="BJ429" s="1" t="s">
        <v>74</v>
      </c>
      <c r="BK429" s="1" t="s">
        <v>74</v>
      </c>
      <c r="BL429" s="1" t="s">
        <v>244</v>
      </c>
      <c r="BM429" s="1" t="s">
        <v>74</v>
      </c>
      <c r="BN429" s="1" t="s">
        <v>74</v>
      </c>
      <c r="BO429" s="1" t="s">
        <v>163</v>
      </c>
      <c r="BP429" s="1" t="s">
        <v>74</v>
      </c>
      <c r="BQ429" s="1" t="s">
        <v>74</v>
      </c>
      <c r="BR429" s="1" t="s">
        <v>74</v>
      </c>
      <c r="BS429" s="1" t="s">
        <v>4052</v>
      </c>
      <c r="BT429" s="1" t="str">
        <f>HYPERLINK("https%3A%2F%2Fwww.webofscience.com%2Fwos%2Fwoscc%2Ffull-record%2FWOS:001505890500001","View Full Record in Web of Science")</f>
        <v>View Full Record in Web of Science</v>
      </c>
    </row>
    <row r="430" ht="12.75" customHeight="1">
      <c r="A430" s="1" t="s">
        <v>72</v>
      </c>
      <c r="B430" s="1" t="s">
        <v>4053</v>
      </c>
      <c r="C430" s="1" t="s">
        <v>74</v>
      </c>
      <c r="D430" s="1" t="s">
        <v>74</v>
      </c>
      <c r="E430" s="1" t="s">
        <v>74</v>
      </c>
      <c r="F430" s="1" t="s">
        <v>4054</v>
      </c>
      <c r="G430" s="1" t="s">
        <v>74</v>
      </c>
      <c r="H430" s="1" t="s">
        <v>74</v>
      </c>
      <c r="I430" s="1" t="s">
        <v>4055</v>
      </c>
      <c r="J430" s="1" t="s">
        <v>4056</v>
      </c>
      <c r="K430" s="1" t="s">
        <v>74</v>
      </c>
      <c r="L430" s="1" t="s">
        <v>74</v>
      </c>
      <c r="M430" s="1" t="s">
        <v>74</v>
      </c>
      <c r="N430" s="1" t="s">
        <v>78</v>
      </c>
      <c r="O430" s="1" t="s">
        <v>74</v>
      </c>
      <c r="P430" s="1" t="s">
        <v>74</v>
      </c>
      <c r="Q430" s="1" t="s">
        <v>74</v>
      </c>
      <c r="R430" s="1" t="s">
        <v>74</v>
      </c>
      <c r="S430" s="1" t="s">
        <v>74</v>
      </c>
      <c r="T430" s="1" t="s">
        <v>4057</v>
      </c>
      <c r="U430" s="1" t="s">
        <v>4058</v>
      </c>
      <c r="V430" s="1" t="s">
        <v>4059</v>
      </c>
      <c r="W430" s="1" t="s">
        <v>74</v>
      </c>
      <c r="X430" s="1" t="s">
        <v>74</v>
      </c>
      <c r="Y430" s="1" t="s">
        <v>74</v>
      </c>
      <c r="Z430" s="1" t="s">
        <v>74</v>
      </c>
      <c r="AA430" s="1" t="s">
        <v>74</v>
      </c>
      <c r="AB430" s="1" t="s">
        <v>74</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4060</v>
      </c>
      <c r="AP430" s="1" t="s">
        <v>4061</v>
      </c>
      <c r="AQ430" s="1" t="s">
        <v>74</v>
      </c>
      <c r="AR430" s="1" t="s">
        <v>74</v>
      </c>
      <c r="AS430" s="1" t="s">
        <v>74</v>
      </c>
      <c r="AT430" s="1" t="s">
        <v>688</v>
      </c>
      <c r="AU430" s="1">
        <v>2025.0</v>
      </c>
      <c r="AV430" s="1">
        <v>19.0</v>
      </c>
      <c r="AW430" s="1">
        <v>2.0</v>
      </c>
      <c r="AX430" s="1" t="s">
        <v>74</v>
      </c>
      <c r="AY430" s="1" t="s">
        <v>74</v>
      </c>
      <c r="AZ430" s="1" t="s">
        <v>74</v>
      </c>
      <c r="BA430" s="1" t="s">
        <v>74</v>
      </c>
      <c r="BB430" s="1">
        <v>574.0</v>
      </c>
      <c r="BC430" s="1">
        <v>584.0</v>
      </c>
      <c r="BD430" s="1" t="s">
        <v>74</v>
      </c>
      <c r="BE430" s="1" t="s">
        <v>4062</v>
      </c>
      <c r="BF430" s="2" t="str">
        <f>HYPERLINK("http://dx.doi.org/10.1177/18724981251320551","http://dx.doi.org/10.1177/18724981251320551")</f>
        <v>http://dx.doi.org/10.1177/18724981251320551</v>
      </c>
      <c r="BG430" s="1" t="s">
        <v>74</v>
      </c>
      <c r="BH430" s="1" t="s">
        <v>314</v>
      </c>
      <c r="BI430" s="1" t="s">
        <v>74</v>
      </c>
      <c r="BJ430" s="1" t="s">
        <v>74</v>
      </c>
      <c r="BK430" s="1" t="s">
        <v>74</v>
      </c>
      <c r="BL430" s="1" t="s">
        <v>174</v>
      </c>
      <c r="BM430" s="1" t="s">
        <v>74</v>
      </c>
      <c r="BN430" s="1" t="s">
        <v>74</v>
      </c>
      <c r="BO430" s="1" t="s">
        <v>383</v>
      </c>
      <c r="BP430" s="1" t="s">
        <v>74</v>
      </c>
      <c r="BQ430" s="1" t="s">
        <v>74</v>
      </c>
      <c r="BR430" s="1" t="s">
        <v>74</v>
      </c>
      <c r="BS430" s="1" t="s">
        <v>4063</v>
      </c>
      <c r="BT430" s="1" t="str">
        <f>HYPERLINK("https%3A%2F%2Fwww.webofscience.com%2Fwos%2Fwoscc%2Ffull-record%2FWOS:001470103800001","View Full Record in Web of Science")</f>
        <v>View Full Record in Web of Science</v>
      </c>
    </row>
    <row r="431" ht="12.75" customHeight="1">
      <c r="A431" s="1" t="s">
        <v>72</v>
      </c>
      <c r="B431" s="1" t="s">
        <v>4064</v>
      </c>
      <c r="C431" s="1" t="s">
        <v>74</v>
      </c>
      <c r="D431" s="1" t="s">
        <v>74</v>
      </c>
      <c r="E431" s="1" t="s">
        <v>74</v>
      </c>
      <c r="F431" s="1" t="s">
        <v>4065</v>
      </c>
      <c r="G431" s="1" t="s">
        <v>74</v>
      </c>
      <c r="H431" s="1" t="s">
        <v>74</v>
      </c>
      <c r="I431" s="1" t="s">
        <v>4066</v>
      </c>
      <c r="J431" s="1" t="s">
        <v>569</v>
      </c>
      <c r="K431" s="1" t="s">
        <v>74</v>
      </c>
      <c r="L431" s="1" t="s">
        <v>74</v>
      </c>
      <c r="M431" s="1" t="s">
        <v>74</v>
      </c>
      <c r="N431" s="1" t="s">
        <v>78</v>
      </c>
      <c r="O431" s="1" t="s">
        <v>74</v>
      </c>
      <c r="P431" s="1" t="s">
        <v>74</v>
      </c>
      <c r="Q431" s="1" t="s">
        <v>74</v>
      </c>
      <c r="R431" s="1" t="s">
        <v>74</v>
      </c>
      <c r="S431" s="1" t="s">
        <v>74</v>
      </c>
      <c r="T431" s="1" t="s">
        <v>4067</v>
      </c>
      <c r="U431" s="1" t="s">
        <v>4068</v>
      </c>
      <c r="V431" s="1" t="s">
        <v>4069</v>
      </c>
      <c r="W431" s="1" t="s">
        <v>74</v>
      </c>
      <c r="X431" s="1" t="s">
        <v>74</v>
      </c>
      <c r="Y431" s="1" t="s">
        <v>74</v>
      </c>
      <c r="Z431" s="1" t="s">
        <v>74</v>
      </c>
      <c r="AA431" s="1" t="s">
        <v>74</v>
      </c>
      <c r="AB431" s="1" t="s">
        <v>74</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572</v>
      </c>
      <c r="AP431" s="1" t="s">
        <v>573</v>
      </c>
      <c r="AQ431" s="1" t="s">
        <v>74</v>
      </c>
      <c r="AR431" s="1" t="s">
        <v>74</v>
      </c>
      <c r="AS431" s="1" t="s">
        <v>74</v>
      </c>
      <c r="AT431" s="1" t="s">
        <v>4070</v>
      </c>
      <c r="AU431" s="1">
        <v>2024.0</v>
      </c>
      <c r="AV431" s="1">
        <v>57.0</v>
      </c>
      <c r="AW431" s="1">
        <v>11.0</v>
      </c>
      <c r="AX431" s="1" t="s">
        <v>74</v>
      </c>
      <c r="AY431" s="1" t="s">
        <v>74</v>
      </c>
      <c r="AZ431" s="1" t="s">
        <v>74</v>
      </c>
      <c r="BA431" s="1" t="s">
        <v>74</v>
      </c>
      <c r="BB431" s="1" t="s">
        <v>74</v>
      </c>
      <c r="BC431" s="1" t="s">
        <v>74</v>
      </c>
      <c r="BD431" s="1">
        <v>299.0</v>
      </c>
      <c r="BE431" s="1" t="s">
        <v>4071</v>
      </c>
      <c r="BF431" s="2" t="str">
        <f>HYPERLINK("http://dx.doi.org/10.1007/s10462-024-10921-0","http://dx.doi.org/10.1007/s10462-024-10921-0")</f>
        <v>http://dx.doi.org/10.1007/s10462-024-10921-0</v>
      </c>
      <c r="BG431" s="1" t="s">
        <v>74</v>
      </c>
      <c r="BH431" s="1" t="s">
        <v>74</v>
      </c>
      <c r="BI431" s="1" t="s">
        <v>74</v>
      </c>
      <c r="BJ431" s="1" t="s">
        <v>74</v>
      </c>
      <c r="BK431" s="1" t="s">
        <v>74</v>
      </c>
      <c r="BL431" s="1" t="s">
        <v>174</v>
      </c>
      <c r="BM431" s="1" t="s">
        <v>74</v>
      </c>
      <c r="BN431" s="1" t="s">
        <v>74</v>
      </c>
      <c r="BO431" s="1" t="s">
        <v>114</v>
      </c>
      <c r="BP431" s="1" t="s">
        <v>74</v>
      </c>
      <c r="BQ431" s="1" t="s">
        <v>74</v>
      </c>
      <c r="BR431" s="1" t="s">
        <v>74</v>
      </c>
      <c r="BS431" s="1" t="s">
        <v>4072</v>
      </c>
      <c r="BT431" s="1" t="str">
        <f>HYPERLINK("https%3A%2F%2Fwww.webofscience.com%2Fwos%2Fwoscc%2Ffull-record%2FWOS:001316533900001","View Full Record in Web of Science")</f>
        <v>View Full Record in Web of Science</v>
      </c>
    </row>
    <row r="432" ht="12.75" customHeight="1">
      <c r="A432" s="1" t="s">
        <v>72</v>
      </c>
      <c r="B432" s="1" t="s">
        <v>4073</v>
      </c>
      <c r="C432" s="1" t="s">
        <v>74</v>
      </c>
      <c r="D432" s="1" t="s">
        <v>74</v>
      </c>
      <c r="E432" s="1" t="s">
        <v>74</v>
      </c>
      <c r="F432" s="1" t="s">
        <v>4074</v>
      </c>
      <c r="G432" s="1" t="s">
        <v>74</v>
      </c>
      <c r="H432" s="1" t="s">
        <v>74</v>
      </c>
      <c r="I432" s="1" t="s">
        <v>4075</v>
      </c>
      <c r="J432" s="1" t="s">
        <v>1155</v>
      </c>
      <c r="K432" s="1" t="s">
        <v>74</v>
      </c>
      <c r="L432" s="1" t="s">
        <v>74</v>
      </c>
      <c r="M432" s="1" t="s">
        <v>74</v>
      </c>
      <c r="N432" s="1" t="s">
        <v>953</v>
      </c>
      <c r="O432" s="1" t="s">
        <v>74</v>
      </c>
      <c r="P432" s="1" t="s">
        <v>74</v>
      </c>
      <c r="Q432" s="1" t="s">
        <v>74</v>
      </c>
      <c r="R432" s="1" t="s">
        <v>74</v>
      </c>
      <c r="S432" s="1" t="s">
        <v>74</v>
      </c>
      <c r="T432" s="1" t="s">
        <v>4076</v>
      </c>
      <c r="U432" s="1" t="s">
        <v>4077</v>
      </c>
      <c r="V432" s="1" t="s">
        <v>4078</v>
      </c>
      <c r="W432" s="1" t="s">
        <v>74</v>
      </c>
      <c r="X432" s="1" t="s">
        <v>74</v>
      </c>
      <c r="Y432" s="1" t="s">
        <v>74</v>
      </c>
      <c r="Z432" s="1" t="s">
        <v>74</v>
      </c>
      <c r="AA432" s="1" t="s">
        <v>74</v>
      </c>
      <c r="AB432" s="1" t="s">
        <v>74</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1158</v>
      </c>
      <c r="AP432" s="1" t="s">
        <v>74</v>
      </c>
      <c r="AQ432" s="1" t="s">
        <v>74</v>
      </c>
      <c r="AR432" s="1" t="s">
        <v>74</v>
      </c>
      <c r="AS432" s="1" t="s">
        <v>74</v>
      </c>
      <c r="AT432" s="1" t="s">
        <v>4079</v>
      </c>
      <c r="AU432" s="1">
        <v>2025.0</v>
      </c>
      <c r="AV432" s="1" t="s">
        <v>74</v>
      </c>
      <c r="AW432" s="1" t="s">
        <v>74</v>
      </c>
      <c r="AX432" s="1" t="s">
        <v>74</v>
      </c>
      <c r="AY432" s="1" t="s">
        <v>74</v>
      </c>
      <c r="AZ432" s="1" t="s">
        <v>74</v>
      </c>
      <c r="BA432" s="1" t="s">
        <v>74</v>
      </c>
      <c r="BB432" s="1" t="s">
        <v>74</v>
      </c>
      <c r="BC432" s="1" t="s">
        <v>74</v>
      </c>
      <c r="BD432" s="1" t="s">
        <v>74</v>
      </c>
      <c r="BE432" s="1" t="s">
        <v>4080</v>
      </c>
      <c r="BF432" s="2" t="str">
        <f>HYPERLINK("http://dx.doi.org/10.1109/TCSS.2025.3605278","http://dx.doi.org/10.1109/TCSS.2025.3605278")</f>
        <v>http://dx.doi.org/10.1109/TCSS.2025.3605278</v>
      </c>
      <c r="BG432" s="1" t="s">
        <v>74</v>
      </c>
      <c r="BH432" s="1" t="s">
        <v>738</v>
      </c>
      <c r="BI432" s="1" t="s">
        <v>74</v>
      </c>
      <c r="BJ432" s="1" t="s">
        <v>74</v>
      </c>
      <c r="BK432" s="1" t="s">
        <v>74</v>
      </c>
      <c r="BL432" s="1" t="s">
        <v>174</v>
      </c>
      <c r="BM432" s="1" t="s">
        <v>74</v>
      </c>
      <c r="BN432" s="1" t="s">
        <v>74</v>
      </c>
      <c r="BO432" s="1" t="s">
        <v>74</v>
      </c>
      <c r="BP432" s="1" t="s">
        <v>74</v>
      </c>
      <c r="BQ432" s="1" t="s">
        <v>74</v>
      </c>
      <c r="BR432" s="1" t="s">
        <v>74</v>
      </c>
      <c r="BS432" s="1" t="s">
        <v>4081</v>
      </c>
      <c r="BT432" s="1" t="str">
        <f>HYPERLINK("https%3A%2F%2Fwww.webofscience.com%2Fwos%2Fwoscc%2Ffull-record%2FWOS:001587320000001","View Full Record in Web of Science")</f>
        <v>View Full Record in Web of Science</v>
      </c>
    </row>
    <row r="433" ht="12.75" customHeight="1">
      <c r="A433" s="1" t="s">
        <v>72</v>
      </c>
      <c r="B433" s="1" t="s">
        <v>4082</v>
      </c>
      <c r="C433" s="1" t="s">
        <v>74</v>
      </c>
      <c r="D433" s="1" t="s">
        <v>74</v>
      </c>
      <c r="E433" s="1" t="s">
        <v>74</v>
      </c>
      <c r="F433" s="1" t="s">
        <v>4083</v>
      </c>
      <c r="G433" s="1" t="s">
        <v>74</v>
      </c>
      <c r="H433" s="1" t="s">
        <v>74</v>
      </c>
      <c r="I433" s="1" t="s">
        <v>4084</v>
      </c>
      <c r="J433" s="1" t="s">
        <v>4085</v>
      </c>
      <c r="K433" s="1" t="s">
        <v>74</v>
      </c>
      <c r="L433" s="1" t="s">
        <v>74</v>
      </c>
      <c r="M433" s="1" t="s">
        <v>74</v>
      </c>
      <c r="N433" s="1" t="s">
        <v>953</v>
      </c>
      <c r="O433" s="1" t="s">
        <v>74</v>
      </c>
      <c r="P433" s="1" t="s">
        <v>74</v>
      </c>
      <c r="Q433" s="1" t="s">
        <v>74</v>
      </c>
      <c r="R433" s="1" t="s">
        <v>74</v>
      </c>
      <c r="S433" s="1" t="s">
        <v>74</v>
      </c>
      <c r="T433" s="1" t="s">
        <v>4086</v>
      </c>
      <c r="U433" s="1" t="s">
        <v>4087</v>
      </c>
      <c r="V433" s="1" t="s">
        <v>4088</v>
      </c>
      <c r="W433" s="1" t="s">
        <v>74</v>
      </c>
      <c r="X433" s="1" t="s">
        <v>74</v>
      </c>
      <c r="Y433" s="1" t="s">
        <v>74</v>
      </c>
      <c r="Z433" s="1" t="s">
        <v>74</v>
      </c>
      <c r="AA433" s="1" t="s">
        <v>74</v>
      </c>
      <c r="AB433" s="1" t="s">
        <v>74</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4089</v>
      </c>
      <c r="AP433" s="1" t="s">
        <v>4090</v>
      </c>
      <c r="AQ433" s="1" t="s">
        <v>74</v>
      </c>
      <c r="AR433" s="1" t="s">
        <v>74</v>
      </c>
      <c r="AS433" s="1" t="s">
        <v>74</v>
      </c>
      <c r="AT433" s="1" t="s">
        <v>4091</v>
      </c>
      <c r="AU433" s="1">
        <v>2025.0</v>
      </c>
      <c r="AV433" s="1" t="s">
        <v>74</v>
      </c>
      <c r="AW433" s="1" t="s">
        <v>74</v>
      </c>
      <c r="AX433" s="1" t="s">
        <v>74</v>
      </c>
      <c r="AY433" s="1" t="s">
        <v>74</v>
      </c>
      <c r="AZ433" s="1" t="s">
        <v>74</v>
      </c>
      <c r="BA433" s="1" t="s">
        <v>74</v>
      </c>
      <c r="BB433" s="1" t="s">
        <v>74</v>
      </c>
      <c r="BC433" s="1" t="s">
        <v>74</v>
      </c>
      <c r="BD433" s="1" t="s">
        <v>74</v>
      </c>
      <c r="BE433" s="1" t="s">
        <v>4092</v>
      </c>
      <c r="BF433" s="2" t="str">
        <f>HYPERLINK("http://dx.doi.org/10.1080/08874417.2025.2467632","http://dx.doi.org/10.1080/08874417.2025.2467632")</f>
        <v>http://dx.doi.org/10.1080/08874417.2025.2467632</v>
      </c>
      <c r="BG433" s="1" t="s">
        <v>74</v>
      </c>
      <c r="BH433" s="1" t="s">
        <v>314</v>
      </c>
      <c r="BI433" s="1" t="s">
        <v>74</v>
      </c>
      <c r="BJ433" s="1" t="s">
        <v>74</v>
      </c>
      <c r="BK433" s="1" t="s">
        <v>74</v>
      </c>
      <c r="BL433" s="1" t="s">
        <v>174</v>
      </c>
      <c r="BM433" s="1" t="s">
        <v>74</v>
      </c>
      <c r="BN433" s="1" t="s">
        <v>74</v>
      </c>
      <c r="BO433" s="1" t="s">
        <v>74</v>
      </c>
      <c r="BP433" s="1" t="s">
        <v>74</v>
      </c>
      <c r="BQ433" s="1" t="s">
        <v>74</v>
      </c>
      <c r="BR433" s="1" t="s">
        <v>74</v>
      </c>
      <c r="BS433" s="1" t="s">
        <v>4093</v>
      </c>
      <c r="BT433" s="1" t="str">
        <f>HYPERLINK("https%3A%2F%2Fwww.webofscience.com%2Fwos%2Fwoscc%2Ffull-record%2FWOS:001423202400001","View Full Record in Web of Science")</f>
        <v>View Full Record in Web of Science</v>
      </c>
    </row>
    <row r="434" ht="12.75" customHeight="1">
      <c r="A434" s="1" t="s">
        <v>72</v>
      </c>
      <c r="B434" s="1" t="s">
        <v>4094</v>
      </c>
      <c r="C434" s="1" t="s">
        <v>74</v>
      </c>
      <c r="D434" s="1" t="s">
        <v>74</v>
      </c>
      <c r="E434" s="1" t="s">
        <v>74</v>
      </c>
      <c r="F434" s="1" t="s">
        <v>4095</v>
      </c>
      <c r="G434" s="1" t="s">
        <v>74</v>
      </c>
      <c r="H434" s="1" t="s">
        <v>74</v>
      </c>
      <c r="I434" s="1" t="s">
        <v>4096</v>
      </c>
      <c r="J434" s="1" t="s">
        <v>3587</v>
      </c>
      <c r="K434" s="1" t="s">
        <v>74</v>
      </c>
      <c r="L434" s="1" t="s">
        <v>74</v>
      </c>
      <c r="M434" s="1" t="s">
        <v>74</v>
      </c>
      <c r="N434" s="1" t="s">
        <v>78</v>
      </c>
      <c r="O434" s="1" t="s">
        <v>74</v>
      </c>
      <c r="P434" s="1" t="s">
        <v>74</v>
      </c>
      <c r="Q434" s="1" t="s">
        <v>74</v>
      </c>
      <c r="R434" s="1" t="s">
        <v>74</v>
      </c>
      <c r="S434" s="1" t="s">
        <v>74</v>
      </c>
      <c r="T434" s="1" t="s">
        <v>4097</v>
      </c>
      <c r="U434" s="1" t="s">
        <v>4098</v>
      </c>
      <c r="V434" s="1" t="s">
        <v>4099</v>
      </c>
      <c r="W434" s="1" t="s">
        <v>74</v>
      </c>
      <c r="X434" s="1" t="s">
        <v>74</v>
      </c>
      <c r="Y434" s="1" t="s">
        <v>74</v>
      </c>
      <c r="Z434" s="1" t="s">
        <v>74</v>
      </c>
      <c r="AA434" s="1" t="s">
        <v>74</v>
      </c>
      <c r="AB434" s="1" t="s">
        <v>74</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3591</v>
      </c>
      <c r="AP434" s="1" t="s">
        <v>3592</v>
      </c>
      <c r="AQ434" s="1" t="s">
        <v>74</v>
      </c>
      <c r="AR434" s="1" t="s">
        <v>74</v>
      </c>
      <c r="AS434" s="1" t="s">
        <v>74</v>
      </c>
      <c r="AT434" s="1" t="s">
        <v>262</v>
      </c>
      <c r="AU434" s="1">
        <v>2024.0</v>
      </c>
      <c r="AV434" s="1">
        <v>70.0</v>
      </c>
      <c r="AW434" s="1">
        <v>9.0</v>
      </c>
      <c r="AX434" s="1" t="s">
        <v>74</v>
      </c>
      <c r="AY434" s="1" t="s">
        <v>74</v>
      </c>
      <c r="AZ434" s="1" t="s">
        <v>74</v>
      </c>
      <c r="BA434" s="1" t="s">
        <v>74</v>
      </c>
      <c r="BB434" s="1">
        <v>6461.0</v>
      </c>
      <c r="BC434" s="1">
        <v>6472.0</v>
      </c>
      <c r="BD434" s="1" t="s">
        <v>74</v>
      </c>
      <c r="BE434" s="1" t="s">
        <v>4100</v>
      </c>
      <c r="BF434" s="2" t="str">
        <f>HYPERLINK("http://dx.doi.org/10.1287/mnsc.2023.04134","http://dx.doi.org/10.1287/mnsc.2023.04134")</f>
        <v>http://dx.doi.org/10.1287/mnsc.2023.04134</v>
      </c>
      <c r="BG434" s="1" t="s">
        <v>74</v>
      </c>
      <c r="BH434" s="1" t="s">
        <v>74</v>
      </c>
      <c r="BI434" s="1" t="s">
        <v>74</v>
      </c>
      <c r="BJ434" s="1" t="s">
        <v>74</v>
      </c>
      <c r="BK434" s="1" t="s">
        <v>74</v>
      </c>
      <c r="BL434" s="1" t="s">
        <v>1002</v>
      </c>
      <c r="BM434" s="1" t="s">
        <v>74</v>
      </c>
      <c r="BN434" s="1" t="s">
        <v>74</v>
      </c>
      <c r="BO434" s="1" t="s">
        <v>74</v>
      </c>
      <c r="BP434" s="1" t="s">
        <v>74</v>
      </c>
      <c r="BQ434" s="1" t="s">
        <v>74</v>
      </c>
      <c r="BR434" s="1" t="s">
        <v>74</v>
      </c>
      <c r="BS434" s="1" t="s">
        <v>4101</v>
      </c>
      <c r="BT434" s="1" t="str">
        <f>HYPERLINK("https%3A%2F%2Fwww.webofscience.com%2Fwos%2Fwoscc%2Ffull-record%2FWOS:001305260000019","View Full Record in Web of Science")</f>
        <v>View Full Record in Web of Science</v>
      </c>
    </row>
    <row r="435" ht="12.75" customHeight="1">
      <c r="A435" s="1" t="s">
        <v>72</v>
      </c>
      <c r="B435" s="1" t="s">
        <v>4102</v>
      </c>
      <c r="C435" s="1" t="s">
        <v>74</v>
      </c>
      <c r="D435" s="1" t="s">
        <v>74</v>
      </c>
      <c r="E435" s="1" t="s">
        <v>74</v>
      </c>
      <c r="F435" s="1" t="s">
        <v>4103</v>
      </c>
      <c r="G435" s="1" t="s">
        <v>74</v>
      </c>
      <c r="H435" s="1" t="s">
        <v>74</v>
      </c>
      <c r="I435" s="1" t="s">
        <v>4104</v>
      </c>
      <c r="J435" s="1" t="s">
        <v>4105</v>
      </c>
      <c r="K435" s="1" t="s">
        <v>74</v>
      </c>
      <c r="L435" s="1" t="s">
        <v>74</v>
      </c>
      <c r="M435" s="1" t="s">
        <v>74</v>
      </c>
      <c r="N435" s="1" t="s">
        <v>78</v>
      </c>
      <c r="O435" s="1" t="s">
        <v>74</v>
      </c>
      <c r="P435" s="1" t="s">
        <v>74</v>
      </c>
      <c r="Q435" s="1" t="s">
        <v>74</v>
      </c>
      <c r="R435" s="1" t="s">
        <v>74</v>
      </c>
      <c r="S435" s="1" t="s">
        <v>74</v>
      </c>
      <c r="T435" s="1" t="s">
        <v>4106</v>
      </c>
      <c r="U435" s="1" t="s">
        <v>4107</v>
      </c>
      <c r="V435" s="1" t="s">
        <v>4108</v>
      </c>
      <c r="W435" s="1" t="s">
        <v>74</v>
      </c>
      <c r="X435" s="1" t="s">
        <v>74</v>
      </c>
      <c r="Y435" s="1" t="s">
        <v>74</v>
      </c>
      <c r="Z435" s="1" t="s">
        <v>74</v>
      </c>
      <c r="AA435" s="1" t="s">
        <v>74</v>
      </c>
      <c r="AB435" s="1" t="s">
        <v>74</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4109</v>
      </c>
      <c r="AP435" s="1" t="s">
        <v>4110</v>
      </c>
      <c r="AQ435" s="1" t="s">
        <v>74</v>
      </c>
      <c r="AR435" s="1" t="s">
        <v>74</v>
      </c>
      <c r="AS435" s="1" t="s">
        <v>74</v>
      </c>
      <c r="AT435" s="1" t="s">
        <v>2542</v>
      </c>
      <c r="AU435" s="1">
        <v>2025.0</v>
      </c>
      <c r="AV435" s="1">
        <v>55.0</v>
      </c>
      <c r="AW435" s="1">
        <v>4.0</v>
      </c>
      <c r="AX435" s="1" t="s">
        <v>74</v>
      </c>
      <c r="AY435" s="1" t="s">
        <v>74</v>
      </c>
      <c r="AZ435" s="1" t="s">
        <v>707</v>
      </c>
      <c r="BA435" s="1" t="s">
        <v>74</v>
      </c>
      <c r="BB435" s="1">
        <v>394.0</v>
      </c>
      <c r="BC435" s="1">
        <v>408.0</v>
      </c>
      <c r="BD435" s="1" t="s">
        <v>74</v>
      </c>
      <c r="BE435" s="1" t="s">
        <v>4111</v>
      </c>
      <c r="BF435" s="2" t="str">
        <f>HYPERLINK("http://dx.doi.org/10.1108/IJPDLM-12-2023-0492","http://dx.doi.org/10.1108/IJPDLM-12-2023-0492")</f>
        <v>http://dx.doi.org/10.1108/IJPDLM-12-2023-0492</v>
      </c>
      <c r="BG435" s="1" t="s">
        <v>74</v>
      </c>
      <c r="BH435" s="1" t="s">
        <v>141</v>
      </c>
      <c r="BI435" s="1" t="s">
        <v>74</v>
      </c>
      <c r="BJ435" s="1" t="s">
        <v>74</v>
      </c>
      <c r="BK435" s="1" t="s">
        <v>74</v>
      </c>
      <c r="BL435" s="1" t="s">
        <v>214</v>
      </c>
      <c r="BM435" s="1" t="s">
        <v>74</v>
      </c>
      <c r="BN435" s="1" t="s">
        <v>74</v>
      </c>
      <c r="BO435" s="1" t="s">
        <v>114</v>
      </c>
      <c r="BP435" s="1" t="s">
        <v>74</v>
      </c>
      <c r="BQ435" s="1" t="s">
        <v>74</v>
      </c>
      <c r="BR435" s="1" t="s">
        <v>74</v>
      </c>
      <c r="BS435" s="1" t="s">
        <v>4112</v>
      </c>
      <c r="BT435" s="1" t="str">
        <f>HYPERLINK("https%3A%2F%2Fwww.webofscience.com%2Fwos%2Fwoscc%2Ffull-record%2FWOS:001408002600001","View Full Record in Web of Science")</f>
        <v>View Full Record in Web of Science</v>
      </c>
    </row>
    <row r="436" ht="12.75" customHeight="1">
      <c r="A436" s="1" t="s">
        <v>72</v>
      </c>
      <c r="B436" s="1" t="s">
        <v>4113</v>
      </c>
      <c r="C436" s="1" t="s">
        <v>74</v>
      </c>
      <c r="D436" s="1" t="s">
        <v>74</v>
      </c>
      <c r="E436" s="1" t="s">
        <v>74</v>
      </c>
      <c r="F436" s="1" t="s">
        <v>4114</v>
      </c>
      <c r="G436" s="1" t="s">
        <v>74</v>
      </c>
      <c r="H436" s="1" t="s">
        <v>74</v>
      </c>
      <c r="I436" s="1" t="s">
        <v>4115</v>
      </c>
      <c r="J436" s="1" t="s">
        <v>4116</v>
      </c>
      <c r="K436" s="1" t="s">
        <v>74</v>
      </c>
      <c r="L436" s="1" t="s">
        <v>74</v>
      </c>
      <c r="M436" s="1" t="s">
        <v>74</v>
      </c>
      <c r="N436" s="1" t="s">
        <v>78</v>
      </c>
      <c r="O436" s="1" t="s">
        <v>74</v>
      </c>
      <c r="P436" s="1" t="s">
        <v>74</v>
      </c>
      <c r="Q436" s="1" t="s">
        <v>74</v>
      </c>
      <c r="R436" s="1" t="s">
        <v>74</v>
      </c>
      <c r="S436" s="1" t="s">
        <v>74</v>
      </c>
      <c r="T436" s="1" t="s">
        <v>4117</v>
      </c>
      <c r="U436" s="1" t="s">
        <v>74</v>
      </c>
      <c r="V436" s="1" t="s">
        <v>4118</v>
      </c>
      <c r="W436" s="1" t="s">
        <v>74</v>
      </c>
      <c r="X436" s="1" t="s">
        <v>74</v>
      </c>
      <c r="Y436" s="1" t="s">
        <v>74</v>
      </c>
      <c r="Z436" s="1" t="s">
        <v>74</v>
      </c>
      <c r="AA436" s="1" t="s">
        <v>74</v>
      </c>
      <c r="AB436" s="1" t="s">
        <v>74</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4119</v>
      </c>
      <c r="AP436" s="1" t="s">
        <v>4120</v>
      </c>
      <c r="AQ436" s="1" t="s">
        <v>74</v>
      </c>
      <c r="AR436" s="1" t="s">
        <v>74</v>
      </c>
      <c r="AS436" s="1" t="s">
        <v>74</v>
      </c>
      <c r="AT436" s="1" t="s">
        <v>74</v>
      </c>
      <c r="AU436" s="1">
        <v>2024.0</v>
      </c>
      <c r="AV436" s="1">
        <v>28.0</v>
      </c>
      <c r="AW436" s="1">
        <v>4.0</v>
      </c>
      <c r="AX436" s="1" t="s">
        <v>74</v>
      </c>
      <c r="AY436" s="1" t="s">
        <v>74</v>
      </c>
      <c r="AZ436" s="1" t="s">
        <v>74</v>
      </c>
      <c r="BA436" s="1" t="s">
        <v>74</v>
      </c>
      <c r="BB436" s="1">
        <v>2197.0</v>
      </c>
      <c r="BC436" s="1">
        <v>2209.0</v>
      </c>
      <c r="BD436" s="1" t="s">
        <v>74</v>
      </c>
      <c r="BE436" s="1" t="s">
        <v>4121</v>
      </c>
      <c r="BF436" s="2" t="str">
        <f>HYPERLINK("http://dx.doi.org/10.13053/CyS-28-4-5298","http://dx.doi.org/10.13053/CyS-28-4-5298")</f>
        <v>http://dx.doi.org/10.13053/CyS-28-4-5298</v>
      </c>
      <c r="BG436" s="1" t="s">
        <v>74</v>
      </c>
      <c r="BH436" s="1" t="s">
        <v>74</v>
      </c>
      <c r="BI436" s="1" t="s">
        <v>74</v>
      </c>
      <c r="BJ436" s="1" t="s">
        <v>74</v>
      </c>
      <c r="BK436" s="1" t="s">
        <v>74</v>
      </c>
      <c r="BL436" s="1" t="s">
        <v>174</v>
      </c>
      <c r="BM436" s="1" t="s">
        <v>74</v>
      </c>
      <c r="BN436" s="1" t="s">
        <v>74</v>
      </c>
      <c r="BO436" s="1" t="s">
        <v>74</v>
      </c>
      <c r="BP436" s="1" t="s">
        <v>74</v>
      </c>
      <c r="BQ436" s="1" t="s">
        <v>74</v>
      </c>
      <c r="BR436" s="1" t="s">
        <v>74</v>
      </c>
      <c r="BS436" s="1" t="s">
        <v>4122</v>
      </c>
      <c r="BT436" s="1" t="str">
        <f>HYPERLINK("https%3A%2F%2Fwww.webofscience.com%2Fwos%2Fwoscc%2Ffull-record%2FWOS:001391250700034","View Full Record in Web of Science")</f>
        <v>View Full Record in Web of Science</v>
      </c>
    </row>
    <row r="437" ht="12.75" customHeight="1">
      <c r="A437" s="1" t="s">
        <v>72</v>
      </c>
      <c r="B437" s="1" t="s">
        <v>4123</v>
      </c>
      <c r="C437" s="1" t="s">
        <v>74</v>
      </c>
      <c r="D437" s="1" t="s">
        <v>74</v>
      </c>
      <c r="E437" s="1" t="s">
        <v>74</v>
      </c>
      <c r="F437" s="1" t="s">
        <v>4124</v>
      </c>
      <c r="G437" s="1" t="s">
        <v>74</v>
      </c>
      <c r="H437" s="1" t="s">
        <v>74</v>
      </c>
      <c r="I437" s="1" t="s">
        <v>4125</v>
      </c>
      <c r="J437" s="1" t="s">
        <v>881</v>
      </c>
      <c r="K437" s="1" t="s">
        <v>74</v>
      </c>
      <c r="L437" s="1" t="s">
        <v>74</v>
      </c>
      <c r="M437" s="1" t="s">
        <v>74</v>
      </c>
      <c r="N437" s="1" t="s">
        <v>78</v>
      </c>
      <c r="O437" s="1" t="s">
        <v>74</v>
      </c>
      <c r="P437" s="1" t="s">
        <v>74</v>
      </c>
      <c r="Q437" s="1" t="s">
        <v>74</v>
      </c>
      <c r="R437" s="1" t="s">
        <v>74</v>
      </c>
      <c r="S437" s="1" t="s">
        <v>74</v>
      </c>
      <c r="T437" s="1" t="s">
        <v>4126</v>
      </c>
      <c r="U437" s="1" t="s">
        <v>74</v>
      </c>
      <c r="V437" s="1" t="s">
        <v>4127</v>
      </c>
      <c r="W437" s="1" t="s">
        <v>74</v>
      </c>
      <c r="X437" s="1" t="s">
        <v>74</v>
      </c>
      <c r="Y437" s="1" t="s">
        <v>74</v>
      </c>
      <c r="Z437" s="1" t="s">
        <v>74</v>
      </c>
      <c r="AA437" s="1" t="s">
        <v>74</v>
      </c>
      <c r="AB437" s="1" t="s">
        <v>74</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74</v>
      </c>
      <c r="AP437" s="1" t="s">
        <v>884</v>
      </c>
      <c r="AQ437" s="1" t="s">
        <v>74</v>
      </c>
      <c r="AR437" s="1" t="s">
        <v>74</v>
      </c>
      <c r="AS437" s="1" t="s">
        <v>74</v>
      </c>
      <c r="AT437" s="1" t="s">
        <v>139</v>
      </c>
      <c r="AU437" s="1">
        <v>2025.0</v>
      </c>
      <c r="AV437" s="1">
        <v>16.0</v>
      </c>
      <c r="AW437" s="1">
        <v>2.0</v>
      </c>
      <c r="AX437" s="1" t="s">
        <v>74</v>
      </c>
      <c r="AY437" s="1" t="s">
        <v>74</v>
      </c>
      <c r="AZ437" s="1" t="s">
        <v>74</v>
      </c>
      <c r="BA437" s="1" t="s">
        <v>74</v>
      </c>
      <c r="BB437" s="1" t="s">
        <v>74</v>
      </c>
      <c r="BC437" s="1" t="s">
        <v>74</v>
      </c>
      <c r="BD437" s="1">
        <v>128.0</v>
      </c>
      <c r="BE437" s="1" t="s">
        <v>4128</v>
      </c>
      <c r="BF437" s="2" t="str">
        <f>HYPERLINK("http://dx.doi.org/10.3390/info16020128","http://dx.doi.org/10.3390/info16020128")</f>
        <v>http://dx.doi.org/10.3390/info16020128</v>
      </c>
      <c r="BG437" s="1" t="s">
        <v>74</v>
      </c>
      <c r="BH437" s="1" t="s">
        <v>74</v>
      </c>
      <c r="BI437" s="1" t="s">
        <v>74</v>
      </c>
      <c r="BJ437" s="1" t="s">
        <v>74</v>
      </c>
      <c r="BK437" s="1" t="s">
        <v>74</v>
      </c>
      <c r="BL437" s="1" t="s">
        <v>174</v>
      </c>
      <c r="BM437" s="1" t="s">
        <v>74</v>
      </c>
      <c r="BN437" s="1" t="s">
        <v>74</v>
      </c>
      <c r="BO437" s="1" t="s">
        <v>163</v>
      </c>
      <c r="BP437" s="1" t="s">
        <v>74</v>
      </c>
      <c r="BQ437" s="1" t="s">
        <v>74</v>
      </c>
      <c r="BR437" s="1" t="s">
        <v>74</v>
      </c>
      <c r="BS437" s="1" t="s">
        <v>4129</v>
      </c>
      <c r="BT437" s="1" t="str">
        <f>HYPERLINK("https%3A%2F%2Fwww.webofscience.com%2Fwos%2Fwoscc%2Ffull-record%2FWOS:001430399700001","View Full Record in Web of Science")</f>
        <v>View Full Record in Web of Science</v>
      </c>
    </row>
    <row r="438" ht="12.75" customHeight="1">
      <c r="A438" s="1" t="s">
        <v>72</v>
      </c>
      <c r="B438" s="1" t="s">
        <v>4130</v>
      </c>
      <c r="C438" s="1" t="s">
        <v>74</v>
      </c>
      <c r="D438" s="1" t="s">
        <v>74</v>
      </c>
      <c r="E438" s="1" t="s">
        <v>74</v>
      </c>
      <c r="F438" s="1" t="s">
        <v>4131</v>
      </c>
      <c r="G438" s="1" t="s">
        <v>74</v>
      </c>
      <c r="H438" s="1" t="s">
        <v>74</v>
      </c>
      <c r="I438" s="1" t="s">
        <v>4132</v>
      </c>
      <c r="J438" s="1" t="s">
        <v>4133</v>
      </c>
      <c r="K438" s="1" t="s">
        <v>74</v>
      </c>
      <c r="L438" s="1" t="s">
        <v>74</v>
      </c>
      <c r="M438" s="1" t="s">
        <v>74</v>
      </c>
      <c r="N438" s="1" t="s">
        <v>78</v>
      </c>
      <c r="O438" s="1" t="s">
        <v>74</v>
      </c>
      <c r="P438" s="1" t="s">
        <v>74</v>
      </c>
      <c r="Q438" s="1" t="s">
        <v>74</v>
      </c>
      <c r="R438" s="1" t="s">
        <v>74</v>
      </c>
      <c r="S438" s="1" t="s">
        <v>74</v>
      </c>
      <c r="T438" s="1" t="s">
        <v>4134</v>
      </c>
      <c r="U438" s="1" t="s">
        <v>1494</v>
      </c>
      <c r="V438" s="1" t="s">
        <v>4135</v>
      </c>
      <c r="W438" s="1" t="s">
        <v>74</v>
      </c>
      <c r="X438" s="1" t="s">
        <v>74</v>
      </c>
      <c r="Y438" s="1" t="s">
        <v>74</v>
      </c>
      <c r="Z438" s="1" t="s">
        <v>74</v>
      </c>
      <c r="AA438" s="1" t="s">
        <v>74</v>
      </c>
      <c r="AB438" s="1" t="s">
        <v>74</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4136</v>
      </c>
      <c r="AP438" s="1" t="s">
        <v>74</v>
      </c>
      <c r="AQ438" s="1" t="s">
        <v>74</v>
      </c>
      <c r="AR438" s="1" t="s">
        <v>74</v>
      </c>
      <c r="AS438" s="1" t="s">
        <v>74</v>
      </c>
      <c r="AT438" s="1" t="s">
        <v>139</v>
      </c>
      <c r="AU438" s="1">
        <v>2025.0</v>
      </c>
      <c r="AV438" s="1">
        <v>5.0</v>
      </c>
      <c r="AW438" s="1">
        <v>1.0</v>
      </c>
      <c r="AX438" s="1" t="s">
        <v>74</v>
      </c>
      <c r="AY438" s="1" t="s">
        <v>74</v>
      </c>
      <c r="AZ438" s="1" t="s">
        <v>74</v>
      </c>
      <c r="BA438" s="1" t="s">
        <v>74</v>
      </c>
      <c r="BB438" s="1">
        <v>1.0</v>
      </c>
      <c r="BC438" s="1">
        <v>4.0</v>
      </c>
      <c r="BD438" s="1" t="s">
        <v>74</v>
      </c>
      <c r="BE438" s="1" t="s">
        <v>4137</v>
      </c>
      <c r="BF438" s="2" t="str">
        <f>HYPERLINK("http://dx.doi.org/10.1016/j.imed.2025.01.001","http://dx.doi.org/10.1016/j.imed.2025.01.001")</f>
        <v>http://dx.doi.org/10.1016/j.imed.2025.01.001</v>
      </c>
      <c r="BG438" s="1" t="s">
        <v>74</v>
      </c>
      <c r="BH438" s="1" t="s">
        <v>314</v>
      </c>
      <c r="BI438" s="1" t="s">
        <v>74</v>
      </c>
      <c r="BJ438" s="1" t="s">
        <v>74</v>
      </c>
      <c r="BK438" s="1" t="s">
        <v>74</v>
      </c>
      <c r="BL438" s="1" t="s">
        <v>823</v>
      </c>
      <c r="BM438" s="1" t="s">
        <v>74</v>
      </c>
      <c r="BN438" s="1" t="s">
        <v>74</v>
      </c>
      <c r="BO438" s="1" t="s">
        <v>163</v>
      </c>
      <c r="BP438" s="1" t="s">
        <v>74</v>
      </c>
      <c r="BQ438" s="1" t="s">
        <v>74</v>
      </c>
      <c r="BR438" s="1" t="s">
        <v>74</v>
      </c>
      <c r="BS438" s="1" t="s">
        <v>4138</v>
      </c>
      <c r="BT438" s="1" t="str">
        <f>HYPERLINK("https%3A%2F%2Fwww.webofscience.com%2Fwos%2Fwoscc%2Ffull-record%2FWOS:001431039900001","View Full Record in Web of Science")</f>
        <v>View Full Record in Web of Science</v>
      </c>
    </row>
    <row r="439" ht="12.75" customHeight="1">
      <c r="A439" s="1" t="s">
        <v>72</v>
      </c>
      <c r="B439" s="1" t="s">
        <v>4139</v>
      </c>
      <c r="C439" s="1" t="s">
        <v>74</v>
      </c>
      <c r="D439" s="1" t="s">
        <v>74</v>
      </c>
      <c r="E439" s="1" t="s">
        <v>74</v>
      </c>
      <c r="F439" s="1" t="s">
        <v>4140</v>
      </c>
      <c r="G439" s="1" t="s">
        <v>74</v>
      </c>
      <c r="H439" s="1" t="s">
        <v>74</v>
      </c>
      <c r="I439" s="1" t="s">
        <v>4141</v>
      </c>
      <c r="J439" s="1" t="s">
        <v>3080</v>
      </c>
      <c r="K439" s="1" t="s">
        <v>74</v>
      </c>
      <c r="L439" s="1" t="s">
        <v>74</v>
      </c>
      <c r="M439" s="1" t="s">
        <v>74</v>
      </c>
      <c r="N439" s="1" t="s">
        <v>78</v>
      </c>
      <c r="O439" s="1" t="s">
        <v>74</v>
      </c>
      <c r="P439" s="1" t="s">
        <v>74</v>
      </c>
      <c r="Q439" s="1" t="s">
        <v>74</v>
      </c>
      <c r="R439" s="1" t="s">
        <v>74</v>
      </c>
      <c r="S439" s="1" t="s">
        <v>74</v>
      </c>
      <c r="T439" s="1" t="s">
        <v>4142</v>
      </c>
      <c r="U439" s="1" t="s">
        <v>4143</v>
      </c>
      <c r="V439" s="1" t="s">
        <v>4144</v>
      </c>
      <c r="W439" s="1" t="s">
        <v>74</v>
      </c>
      <c r="X439" s="1" t="s">
        <v>74</v>
      </c>
      <c r="Y439" s="1" t="s">
        <v>74</v>
      </c>
      <c r="Z439" s="1" t="s">
        <v>74</v>
      </c>
      <c r="AA439" s="1" t="s">
        <v>74</v>
      </c>
      <c r="AB439" s="1" t="s">
        <v>74</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3084</v>
      </c>
      <c r="AP439" s="1" t="s">
        <v>3085</v>
      </c>
      <c r="AQ439" s="1" t="s">
        <v>74</v>
      </c>
      <c r="AR439" s="1" t="s">
        <v>74</v>
      </c>
      <c r="AS439" s="1" t="s">
        <v>74</v>
      </c>
      <c r="AT439" s="1" t="s">
        <v>669</v>
      </c>
      <c r="AU439" s="1">
        <v>2024.0</v>
      </c>
      <c r="AV439" s="1">
        <v>43.0</v>
      </c>
      <c r="AW439" s="1">
        <v>4.0</v>
      </c>
      <c r="AX439" s="1" t="s">
        <v>74</v>
      </c>
      <c r="AY439" s="1" t="s">
        <v>74</v>
      </c>
      <c r="AZ439" s="1" t="s">
        <v>74</v>
      </c>
      <c r="BA439" s="1" t="s">
        <v>74</v>
      </c>
      <c r="BB439" s="1" t="s">
        <v>74</v>
      </c>
      <c r="BC439" s="1" t="s">
        <v>74</v>
      </c>
      <c r="BD439" s="1" t="s">
        <v>74</v>
      </c>
      <c r="BE439" s="1" t="s">
        <v>4145</v>
      </c>
      <c r="BF439" s="2" t="str">
        <f>HYPERLINK("http://dx.doi.org/10.1287/mksc.2023.0306","http://dx.doi.org/10.1287/mksc.2023.0306")</f>
        <v>http://dx.doi.org/10.1287/mksc.2023.0306</v>
      </c>
      <c r="BG439" s="1" t="s">
        <v>74</v>
      </c>
      <c r="BH439" s="1" t="s">
        <v>126</v>
      </c>
      <c r="BI439" s="1" t="s">
        <v>74</v>
      </c>
      <c r="BJ439" s="1" t="s">
        <v>74</v>
      </c>
      <c r="BK439" s="1" t="s">
        <v>74</v>
      </c>
      <c r="BL439" s="1" t="s">
        <v>214</v>
      </c>
      <c r="BM439" s="1" t="s">
        <v>74</v>
      </c>
      <c r="BN439" s="1" t="s">
        <v>74</v>
      </c>
      <c r="BO439" s="1" t="s">
        <v>74</v>
      </c>
      <c r="BP439" s="1" t="s">
        <v>74</v>
      </c>
      <c r="BQ439" s="1" t="s">
        <v>74</v>
      </c>
      <c r="BR439" s="1" t="s">
        <v>74</v>
      </c>
      <c r="BS439" s="1" t="s">
        <v>4146</v>
      </c>
      <c r="BT439" s="1" t="str">
        <f>HYPERLINK("https%3A%2F%2Fwww.webofscience.com%2Fwos%2Fwoscc%2Ffull-record%2FWOS:001215125900001","View Full Record in Web of Science")</f>
        <v>View Full Record in Web of Science</v>
      </c>
    </row>
    <row r="440" ht="12.75" customHeight="1">
      <c r="A440" s="1" t="s">
        <v>72</v>
      </c>
      <c r="B440" s="1" t="s">
        <v>4147</v>
      </c>
      <c r="C440" s="1" t="s">
        <v>74</v>
      </c>
      <c r="D440" s="1" t="s">
        <v>74</v>
      </c>
      <c r="E440" s="1" t="s">
        <v>74</v>
      </c>
      <c r="F440" s="1" t="s">
        <v>4148</v>
      </c>
      <c r="G440" s="1" t="s">
        <v>74</v>
      </c>
      <c r="H440" s="1" t="s">
        <v>74</v>
      </c>
      <c r="I440" s="1" t="s">
        <v>4149</v>
      </c>
      <c r="J440" s="1" t="s">
        <v>1720</v>
      </c>
      <c r="K440" s="1" t="s">
        <v>74</v>
      </c>
      <c r="L440" s="1" t="s">
        <v>74</v>
      </c>
      <c r="M440" s="1" t="s">
        <v>74</v>
      </c>
      <c r="N440" s="1" t="s">
        <v>78</v>
      </c>
      <c r="O440" s="1" t="s">
        <v>74</v>
      </c>
      <c r="P440" s="1" t="s">
        <v>74</v>
      </c>
      <c r="Q440" s="1" t="s">
        <v>74</v>
      </c>
      <c r="R440" s="1" t="s">
        <v>74</v>
      </c>
      <c r="S440" s="1" t="s">
        <v>74</v>
      </c>
      <c r="T440" s="1" t="s">
        <v>4150</v>
      </c>
      <c r="U440" s="1" t="s">
        <v>4151</v>
      </c>
      <c r="V440" s="1" t="s">
        <v>4152</v>
      </c>
      <c r="W440" s="1" t="s">
        <v>74</v>
      </c>
      <c r="X440" s="1" t="s">
        <v>74</v>
      </c>
      <c r="Y440" s="1" t="s">
        <v>74</v>
      </c>
      <c r="Z440" s="1" t="s">
        <v>74</v>
      </c>
      <c r="AA440" s="1" t="s">
        <v>74</v>
      </c>
      <c r="AB440" s="1" t="s">
        <v>74</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74</v>
      </c>
      <c r="AP440" s="1" t="s">
        <v>1723</v>
      </c>
      <c r="AQ440" s="1" t="s">
        <v>74</v>
      </c>
      <c r="AR440" s="1" t="s">
        <v>74</v>
      </c>
      <c r="AS440" s="1" t="s">
        <v>74</v>
      </c>
      <c r="AT440" s="1" t="s">
        <v>172</v>
      </c>
      <c r="AU440" s="1">
        <v>2025.0</v>
      </c>
      <c r="AV440" s="1">
        <v>9.0</v>
      </c>
      <c r="AW440" s="1">
        <v>7.0</v>
      </c>
      <c r="AX440" s="1" t="s">
        <v>74</v>
      </c>
      <c r="AY440" s="1" t="s">
        <v>74</v>
      </c>
      <c r="AZ440" s="1" t="s">
        <v>74</v>
      </c>
      <c r="BA440" s="1" t="s">
        <v>74</v>
      </c>
      <c r="BB440" s="1" t="s">
        <v>74</v>
      </c>
      <c r="BC440" s="1" t="s">
        <v>74</v>
      </c>
      <c r="BD440" s="1" t="s">
        <v>4153</v>
      </c>
      <c r="BE440" s="1" t="s">
        <v>4154</v>
      </c>
      <c r="BF440" s="2" t="str">
        <f>HYPERLINK("http://dx.doi.org/10.1145/3757544","http://dx.doi.org/10.1145/3757544")</f>
        <v>http://dx.doi.org/10.1145/3757544</v>
      </c>
      <c r="BG440" s="1" t="s">
        <v>74</v>
      </c>
      <c r="BH440" s="1" t="s">
        <v>74</v>
      </c>
      <c r="BI440" s="1" t="s">
        <v>74</v>
      </c>
      <c r="BJ440" s="1" t="s">
        <v>74</v>
      </c>
      <c r="BK440" s="1" t="s">
        <v>74</v>
      </c>
      <c r="BL440" s="1" t="s">
        <v>174</v>
      </c>
      <c r="BM440" s="1" t="s">
        <v>74</v>
      </c>
      <c r="BN440" s="1" t="s">
        <v>74</v>
      </c>
      <c r="BO440" s="1" t="s">
        <v>114</v>
      </c>
      <c r="BP440" s="1" t="s">
        <v>74</v>
      </c>
      <c r="BQ440" s="1" t="s">
        <v>74</v>
      </c>
      <c r="BR440" s="1" t="s">
        <v>74</v>
      </c>
      <c r="BS440" s="1" t="s">
        <v>4155</v>
      </c>
      <c r="BT440" s="1" t="str">
        <f>HYPERLINK("https%3A%2F%2Fwww.webofscience.com%2Fwos%2Fwoscc%2Ffull-record%2FWOS:001615125000001","View Full Record in Web of Science")</f>
        <v>View Full Record in Web of Science</v>
      </c>
    </row>
    <row r="441" ht="12.75" customHeight="1">
      <c r="A441" s="1" t="s">
        <v>72</v>
      </c>
      <c r="B441" s="1" t="s">
        <v>4156</v>
      </c>
      <c r="C441" s="1" t="s">
        <v>74</v>
      </c>
      <c r="D441" s="1" t="s">
        <v>74</v>
      </c>
      <c r="E441" s="1" t="s">
        <v>74</v>
      </c>
      <c r="F441" s="1" t="s">
        <v>4157</v>
      </c>
      <c r="G441" s="1" t="s">
        <v>74</v>
      </c>
      <c r="H441" s="1" t="s">
        <v>74</v>
      </c>
      <c r="I441" s="1" t="s">
        <v>4158</v>
      </c>
      <c r="J441" s="1" t="s">
        <v>239</v>
      </c>
      <c r="K441" s="1" t="s">
        <v>74</v>
      </c>
      <c r="L441" s="1" t="s">
        <v>74</v>
      </c>
      <c r="M441" s="1" t="s">
        <v>74</v>
      </c>
      <c r="N441" s="1" t="s">
        <v>78</v>
      </c>
      <c r="O441" s="1" t="s">
        <v>74</v>
      </c>
      <c r="P441" s="1" t="s">
        <v>74</v>
      </c>
      <c r="Q441" s="1" t="s">
        <v>74</v>
      </c>
      <c r="R441" s="1" t="s">
        <v>74</v>
      </c>
      <c r="S441" s="1" t="s">
        <v>74</v>
      </c>
      <c r="T441" s="1" t="s">
        <v>4159</v>
      </c>
      <c r="U441" s="1" t="s">
        <v>74</v>
      </c>
      <c r="V441" s="1" t="s">
        <v>4160</v>
      </c>
      <c r="W441" s="1" t="s">
        <v>74</v>
      </c>
      <c r="X441" s="1" t="s">
        <v>74</v>
      </c>
      <c r="Y441" s="1" t="s">
        <v>74</v>
      </c>
      <c r="Z441" s="1" t="s">
        <v>74</v>
      </c>
      <c r="AA441" s="1" t="s">
        <v>74</v>
      </c>
      <c r="AB441" s="1" t="s">
        <v>74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242</v>
      </c>
      <c r="AP441" s="1" t="s">
        <v>74</v>
      </c>
      <c r="AQ441" s="1" t="s">
        <v>74</v>
      </c>
      <c r="AR441" s="1" t="s">
        <v>74</v>
      </c>
      <c r="AS441" s="1" t="s">
        <v>74</v>
      </c>
      <c r="AT441" s="1" t="s">
        <v>736</v>
      </c>
      <c r="AU441" s="1">
        <v>2025.0</v>
      </c>
      <c r="AV441" s="1">
        <v>14.0</v>
      </c>
      <c r="AW441" s="1">
        <v>1.0</v>
      </c>
      <c r="AX441" s="1" t="s">
        <v>74</v>
      </c>
      <c r="AY441" s="1" t="s">
        <v>74</v>
      </c>
      <c r="AZ441" s="1" t="s">
        <v>74</v>
      </c>
      <c r="BA441" s="1" t="s">
        <v>74</v>
      </c>
      <c r="BB441" s="1" t="s">
        <v>74</v>
      </c>
      <c r="BC441" s="1" t="s">
        <v>74</v>
      </c>
      <c r="BD441" s="1">
        <v>87.0</v>
      </c>
      <c r="BE441" s="1" t="s">
        <v>4161</v>
      </c>
      <c r="BF441" s="2" t="str">
        <f>HYPERLINK("http://dx.doi.org/10.3390/electronics14010087","http://dx.doi.org/10.3390/electronics14010087")</f>
        <v>http://dx.doi.org/10.3390/electronics14010087</v>
      </c>
      <c r="BG441" s="1" t="s">
        <v>74</v>
      </c>
      <c r="BH441" s="1" t="s">
        <v>74</v>
      </c>
      <c r="BI441" s="1" t="s">
        <v>74</v>
      </c>
      <c r="BJ441" s="1" t="s">
        <v>74</v>
      </c>
      <c r="BK441" s="1" t="s">
        <v>74</v>
      </c>
      <c r="BL441" s="1" t="s">
        <v>244</v>
      </c>
      <c r="BM441" s="1" t="s">
        <v>74</v>
      </c>
      <c r="BN441" s="1" t="s">
        <v>74</v>
      </c>
      <c r="BO441" s="1" t="s">
        <v>153</v>
      </c>
      <c r="BP441" s="1" t="s">
        <v>74</v>
      </c>
      <c r="BQ441" s="1" t="s">
        <v>74</v>
      </c>
      <c r="BR441" s="1" t="s">
        <v>74</v>
      </c>
      <c r="BS441" s="1" t="s">
        <v>4162</v>
      </c>
      <c r="BT441" s="1" t="str">
        <f>HYPERLINK("https%3A%2F%2Fwww.webofscience.com%2Fwos%2Fwoscc%2Ffull-record%2FWOS:001393542200001","View Full Record in Web of Science")</f>
        <v>View Full Record in Web of Science</v>
      </c>
    </row>
    <row r="442" ht="12.75" customHeight="1">
      <c r="A442" s="1" t="s">
        <v>72</v>
      </c>
      <c r="B442" s="1" t="s">
        <v>4163</v>
      </c>
      <c r="C442" s="1" t="s">
        <v>74</v>
      </c>
      <c r="D442" s="1" t="s">
        <v>74</v>
      </c>
      <c r="E442" s="1" t="s">
        <v>74</v>
      </c>
      <c r="F442" s="1" t="s">
        <v>4164</v>
      </c>
      <c r="G442" s="1" t="s">
        <v>74</v>
      </c>
      <c r="H442" s="1" t="s">
        <v>74</v>
      </c>
      <c r="I442" s="1" t="s">
        <v>4165</v>
      </c>
      <c r="J442" s="1" t="s">
        <v>147</v>
      </c>
      <c r="K442" s="1" t="s">
        <v>74</v>
      </c>
      <c r="L442" s="1" t="s">
        <v>74</v>
      </c>
      <c r="M442" s="1" t="s">
        <v>74</v>
      </c>
      <c r="N442" s="1" t="s">
        <v>78</v>
      </c>
      <c r="O442" s="1" t="s">
        <v>74</v>
      </c>
      <c r="P442" s="1" t="s">
        <v>74</v>
      </c>
      <c r="Q442" s="1" t="s">
        <v>74</v>
      </c>
      <c r="R442" s="1" t="s">
        <v>74</v>
      </c>
      <c r="S442" s="1" t="s">
        <v>74</v>
      </c>
      <c r="T442" s="1" t="s">
        <v>4166</v>
      </c>
      <c r="U442" s="1" t="s">
        <v>4167</v>
      </c>
      <c r="V442" s="1" t="s">
        <v>4168</v>
      </c>
      <c r="W442" s="1" t="s">
        <v>74</v>
      </c>
      <c r="X442" s="1" t="s">
        <v>74</v>
      </c>
      <c r="Y442" s="1" t="s">
        <v>74</v>
      </c>
      <c r="Z442" s="1" t="s">
        <v>74</v>
      </c>
      <c r="AA442" s="1" t="s">
        <v>74</v>
      </c>
      <c r="AB442" s="1" t="s">
        <v>74</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150</v>
      </c>
      <c r="AP442" s="1" t="s">
        <v>74</v>
      </c>
      <c r="AQ442" s="1" t="s">
        <v>74</v>
      </c>
      <c r="AR442" s="1" t="s">
        <v>74</v>
      </c>
      <c r="AS442" s="1" t="s">
        <v>74</v>
      </c>
      <c r="AT442" s="1" t="s">
        <v>74</v>
      </c>
      <c r="AU442" s="1">
        <v>2025.0</v>
      </c>
      <c r="AV442" s="1">
        <v>13.0</v>
      </c>
      <c r="AW442" s="1" t="s">
        <v>74</v>
      </c>
      <c r="AX442" s="1" t="s">
        <v>74</v>
      </c>
      <c r="AY442" s="1" t="s">
        <v>74</v>
      </c>
      <c r="AZ442" s="1" t="s">
        <v>74</v>
      </c>
      <c r="BA442" s="1" t="s">
        <v>74</v>
      </c>
      <c r="BB442" s="1">
        <v>168914.0</v>
      </c>
      <c r="BC442" s="1">
        <v>168950.0</v>
      </c>
      <c r="BD442" s="1" t="s">
        <v>74</v>
      </c>
      <c r="BE442" s="1" t="s">
        <v>4169</v>
      </c>
      <c r="BF442" s="2" t="str">
        <f>HYPERLINK("http://dx.doi.org/10.1109/ACCESS.2025.3608736","http://dx.doi.org/10.1109/ACCESS.2025.3608736")</f>
        <v>http://dx.doi.org/10.1109/ACCESS.2025.3608736</v>
      </c>
      <c r="BG442" s="1" t="s">
        <v>74</v>
      </c>
      <c r="BH442" s="1" t="s">
        <v>74</v>
      </c>
      <c r="BI442" s="1" t="s">
        <v>74</v>
      </c>
      <c r="BJ442" s="1" t="s">
        <v>74</v>
      </c>
      <c r="BK442" s="1" t="s">
        <v>74</v>
      </c>
      <c r="BL442" s="1" t="s">
        <v>152</v>
      </c>
      <c r="BM442" s="1" t="s">
        <v>74</v>
      </c>
      <c r="BN442" s="1" t="s">
        <v>74</v>
      </c>
      <c r="BO442" s="1" t="s">
        <v>153</v>
      </c>
      <c r="BP442" s="1" t="s">
        <v>74</v>
      </c>
      <c r="BQ442" s="1" t="s">
        <v>74</v>
      </c>
      <c r="BR442" s="1" t="s">
        <v>74</v>
      </c>
      <c r="BS442" s="1" t="s">
        <v>4170</v>
      </c>
      <c r="BT442" s="1" t="str">
        <f>HYPERLINK("https%3A%2F%2Fwww.webofscience.com%2Fwos%2Fwoscc%2Ffull-record%2FWOS:001586194400035","View Full Record in Web of Science")</f>
        <v>View Full Record in Web of Science</v>
      </c>
    </row>
    <row r="443" ht="12.75" customHeight="1">
      <c r="A443" s="1" t="s">
        <v>72</v>
      </c>
      <c r="B443" s="1" t="s">
        <v>4171</v>
      </c>
      <c r="C443" s="1" t="s">
        <v>74</v>
      </c>
      <c r="D443" s="1" t="s">
        <v>74</v>
      </c>
      <c r="E443" s="1" t="s">
        <v>74</v>
      </c>
      <c r="F443" s="1" t="s">
        <v>4172</v>
      </c>
      <c r="G443" s="1" t="s">
        <v>74</v>
      </c>
      <c r="H443" s="1" t="s">
        <v>74</v>
      </c>
      <c r="I443" s="1" t="s">
        <v>4173</v>
      </c>
      <c r="J443" s="1" t="s">
        <v>147</v>
      </c>
      <c r="K443" s="1" t="s">
        <v>74</v>
      </c>
      <c r="L443" s="1" t="s">
        <v>74</v>
      </c>
      <c r="M443" s="1" t="s">
        <v>74</v>
      </c>
      <c r="N443" s="1" t="s">
        <v>78</v>
      </c>
      <c r="O443" s="1" t="s">
        <v>74</v>
      </c>
      <c r="P443" s="1" t="s">
        <v>74</v>
      </c>
      <c r="Q443" s="1" t="s">
        <v>74</v>
      </c>
      <c r="R443" s="1" t="s">
        <v>74</v>
      </c>
      <c r="S443" s="1" t="s">
        <v>74</v>
      </c>
      <c r="T443" s="1" t="s">
        <v>4174</v>
      </c>
      <c r="U443" s="1" t="s">
        <v>74</v>
      </c>
      <c r="V443" s="1" t="s">
        <v>4175</v>
      </c>
      <c r="W443" s="1" t="s">
        <v>74</v>
      </c>
      <c r="X443" s="1" t="s">
        <v>74</v>
      </c>
      <c r="Y443" s="1" t="s">
        <v>74</v>
      </c>
      <c r="Z443" s="1" t="s">
        <v>74</v>
      </c>
      <c r="AA443" s="1" t="s">
        <v>74</v>
      </c>
      <c r="AB443" s="1" t="s">
        <v>74</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150</v>
      </c>
      <c r="AP443" s="1" t="s">
        <v>74</v>
      </c>
      <c r="AQ443" s="1" t="s">
        <v>74</v>
      </c>
      <c r="AR443" s="1" t="s">
        <v>74</v>
      </c>
      <c r="AS443" s="1" t="s">
        <v>74</v>
      </c>
      <c r="AT443" s="1" t="s">
        <v>74</v>
      </c>
      <c r="AU443" s="1">
        <v>2025.0</v>
      </c>
      <c r="AV443" s="1">
        <v>13.0</v>
      </c>
      <c r="AW443" s="1" t="s">
        <v>74</v>
      </c>
      <c r="AX443" s="1" t="s">
        <v>74</v>
      </c>
      <c r="AY443" s="1" t="s">
        <v>74</v>
      </c>
      <c r="AZ443" s="1" t="s">
        <v>74</v>
      </c>
      <c r="BA443" s="1" t="s">
        <v>74</v>
      </c>
      <c r="BB443" s="1">
        <v>138795.0</v>
      </c>
      <c r="BC443" s="1">
        <v>138812.0</v>
      </c>
      <c r="BD443" s="1" t="s">
        <v>74</v>
      </c>
      <c r="BE443" s="1" t="s">
        <v>4176</v>
      </c>
      <c r="BF443" s="2" t="str">
        <f>HYPERLINK("http://dx.doi.org/10.1109/ACCESS.2025.3588425","http://dx.doi.org/10.1109/ACCESS.2025.3588425")</f>
        <v>http://dx.doi.org/10.1109/ACCESS.2025.3588425</v>
      </c>
      <c r="BG443" s="1" t="s">
        <v>74</v>
      </c>
      <c r="BH443" s="1" t="s">
        <v>74</v>
      </c>
      <c r="BI443" s="1" t="s">
        <v>74</v>
      </c>
      <c r="BJ443" s="1" t="s">
        <v>74</v>
      </c>
      <c r="BK443" s="1" t="s">
        <v>74</v>
      </c>
      <c r="BL443" s="1" t="s">
        <v>152</v>
      </c>
      <c r="BM443" s="1" t="s">
        <v>74</v>
      </c>
      <c r="BN443" s="1" t="s">
        <v>74</v>
      </c>
      <c r="BO443" s="1" t="s">
        <v>153</v>
      </c>
      <c r="BP443" s="1" t="s">
        <v>74</v>
      </c>
      <c r="BQ443" s="1" t="s">
        <v>74</v>
      </c>
      <c r="BR443" s="1" t="s">
        <v>74</v>
      </c>
      <c r="BS443" s="1" t="s">
        <v>4177</v>
      </c>
      <c r="BT443" s="1" t="str">
        <f>HYPERLINK("https%3A%2F%2Fwww.webofscience.com%2Fwos%2Fwoscc%2Ffull-record%2FWOS:001550832200016","View Full Record in Web of Science")</f>
        <v>View Full Record in Web of Science</v>
      </c>
    </row>
    <row r="444" ht="12.75" customHeight="1">
      <c r="A444" s="1" t="s">
        <v>72</v>
      </c>
      <c r="B444" s="1" t="s">
        <v>4178</v>
      </c>
      <c r="C444" s="1" t="s">
        <v>74</v>
      </c>
      <c r="D444" s="1" t="s">
        <v>74</v>
      </c>
      <c r="E444" s="1" t="s">
        <v>74</v>
      </c>
      <c r="F444" s="1" t="s">
        <v>4179</v>
      </c>
      <c r="G444" s="1" t="s">
        <v>74</v>
      </c>
      <c r="H444" s="1" t="s">
        <v>74</v>
      </c>
      <c r="I444" s="1" t="s">
        <v>4180</v>
      </c>
      <c r="J444" s="1" t="s">
        <v>92</v>
      </c>
      <c r="K444" s="1" t="s">
        <v>74</v>
      </c>
      <c r="L444" s="1" t="s">
        <v>74</v>
      </c>
      <c r="M444" s="1" t="s">
        <v>74</v>
      </c>
      <c r="N444" s="1" t="s">
        <v>78</v>
      </c>
      <c r="O444" s="1" t="s">
        <v>74</v>
      </c>
      <c r="P444" s="1" t="s">
        <v>74</v>
      </c>
      <c r="Q444" s="1" t="s">
        <v>74</v>
      </c>
      <c r="R444" s="1" t="s">
        <v>74</v>
      </c>
      <c r="S444" s="1" t="s">
        <v>74</v>
      </c>
      <c r="T444" s="1" t="s">
        <v>4181</v>
      </c>
      <c r="U444" s="1" t="s">
        <v>74</v>
      </c>
      <c r="V444" s="1" t="s">
        <v>4182</v>
      </c>
      <c r="W444" s="1" t="s">
        <v>74</v>
      </c>
      <c r="X444" s="1" t="s">
        <v>74</v>
      </c>
      <c r="Y444" s="1" t="s">
        <v>74</v>
      </c>
      <c r="Z444" s="1" t="s">
        <v>74</v>
      </c>
      <c r="AA444" s="1" t="s">
        <v>74</v>
      </c>
      <c r="AB444" s="1" t="s">
        <v>74</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95</v>
      </c>
      <c r="AP444" s="1" t="s">
        <v>96</v>
      </c>
      <c r="AQ444" s="1" t="s">
        <v>74</v>
      </c>
      <c r="AR444" s="1" t="s">
        <v>74</v>
      </c>
      <c r="AS444" s="1" t="s">
        <v>74</v>
      </c>
      <c r="AT444" s="1" t="s">
        <v>200</v>
      </c>
      <c r="AU444" s="1">
        <v>2025.0</v>
      </c>
      <c r="AV444" s="1">
        <v>37.0</v>
      </c>
      <c r="AW444" s="1">
        <v>12.0</v>
      </c>
      <c r="AX444" s="1" t="s">
        <v>74</v>
      </c>
      <c r="AY444" s="1" t="s">
        <v>74</v>
      </c>
      <c r="AZ444" s="1" t="s">
        <v>74</v>
      </c>
      <c r="BA444" s="1" t="s">
        <v>74</v>
      </c>
      <c r="BB444" s="1">
        <v>6959.0</v>
      </c>
      <c r="BC444" s="1">
        <v>6972.0</v>
      </c>
      <c r="BD444" s="1" t="s">
        <v>74</v>
      </c>
      <c r="BE444" s="1" t="s">
        <v>4183</v>
      </c>
      <c r="BF444" s="2" t="str">
        <f>HYPERLINK("http://dx.doi.org/10.1109/TKDE.2025.3608716","http://dx.doi.org/10.1109/TKDE.2025.3608716")</f>
        <v>http://dx.doi.org/10.1109/TKDE.2025.3608716</v>
      </c>
      <c r="BG444" s="1" t="s">
        <v>74</v>
      </c>
      <c r="BH444" s="1" t="s">
        <v>74</v>
      </c>
      <c r="BI444" s="1" t="s">
        <v>74</v>
      </c>
      <c r="BJ444" s="1" t="s">
        <v>74</v>
      </c>
      <c r="BK444" s="1" t="s">
        <v>74</v>
      </c>
      <c r="BL444" s="1" t="s">
        <v>98</v>
      </c>
      <c r="BM444" s="1" t="s">
        <v>74</v>
      </c>
      <c r="BN444" s="1" t="s">
        <v>74</v>
      </c>
      <c r="BO444" s="1" t="s">
        <v>74</v>
      </c>
      <c r="BP444" s="1" t="s">
        <v>74</v>
      </c>
      <c r="BQ444" s="1" t="s">
        <v>74</v>
      </c>
      <c r="BR444" s="1" t="s">
        <v>74</v>
      </c>
      <c r="BS444" s="1" t="s">
        <v>4184</v>
      </c>
      <c r="BT444" s="1" t="str">
        <f>HYPERLINK("https%3A%2F%2Fwww.webofscience.com%2Fwos%2Fwoscc%2Ffull-record%2FWOS:001610869600023","View Full Record in Web of Science")</f>
        <v>View Full Record in Web of Science</v>
      </c>
    </row>
    <row r="445" ht="12.75" customHeight="1">
      <c r="A445" s="1" t="s">
        <v>72</v>
      </c>
      <c r="B445" s="1" t="s">
        <v>4185</v>
      </c>
      <c r="C445" s="1" t="s">
        <v>74</v>
      </c>
      <c r="D445" s="1" t="s">
        <v>74</v>
      </c>
      <c r="E445" s="1" t="s">
        <v>74</v>
      </c>
      <c r="F445" s="1" t="s">
        <v>4186</v>
      </c>
      <c r="G445" s="1" t="s">
        <v>74</v>
      </c>
      <c r="H445" s="1" t="s">
        <v>74</v>
      </c>
      <c r="I445" s="1" t="s">
        <v>4187</v>
      </c>
      <c r="J445" s="1" t="s">
        <v>147</v>
      </c>
      <c r="K445" s="1" t="s">
        <v>74</v>
      </c>
      <c r="L445" s="1" t="s">
        <v>74</v>
      </c>
      <c r="M445" s="1" t="s">
        <v>74</v>
      </c>
      <c r="N445" s="1" t="s">
        <v>78</v>
      </c>
      <c r="O445" s="1" t="s">
        <v>74</v>
      </c>
      <c r="P445" s="1" t="s">
        <v>74</v>
      </c>
      <c r="Q445" s="1" t="s">
        <v>74</v>
      </c>
      <c r="R445" s="1" t="s">
        <v>74</v>
      </c>
      <c r="S445" s="1" t="s">
        <v>74</v>
      </c>
      <c r="T445" s="1" t="s">
        <v>4188</v>
      </c>
      <c r="U445" s="1" t="s">
        <v>74</v>
      </c>
      <c r="V445" s="1" t="s">
        <v>4189</v>
      </c>
      <c r="W445" s="1" t="s">
        <v>74</v>
      </c>
      <c r="X445" s="1" t="s">
        <v>74</v>
      </c>
      <c r="Y445" s="1" t="s">
        <v>74</v>
      </c>
      <c r="Z445" s="1" t="s">
        <v>74</v>
      </c>
      <c r="AA445" s="1" t="s">
        <v>74</v>
      </c>
      <c r="AB445" s="1" t="s">
        <v>74</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150</v>
      </c>
      <c r="AP445" s="1" t="s">
        <v>74</v>
      </c>
      <c r="AQ445" s="1" t="s">
        <v>74</v>
      </c>
      <c r="AR445" s="1" t="s">
        <v>74</v>
      </c>
      <c r="AS445" s="1" t="s">
        <v>74</v>
      </c>
      <c r="AT445" s="1" t="s">
        <v>74</v>
      </c>
      <c r="AU445" s="1">
        <v>2025.0</v>
      </c>
      <c r="AV445" s="1">
        <v>13.0</v>
      </c>
      <c r="AW445" s="1" t="s">
        <v>74</v>
      </c>
      <c r="AX445" s="1" t="s">
        <v>74</v>
      </c>
      <c r="AY445" s="1" t="s">
        <v>74</v>
      </c>
      <c r="AZ445" s="1" t="s">
        <v>74</v>
      </c>
      <c r="BA445" s="1" t="s">
        <v>74</v>
      </c>
      <c r="BB445" s="1">
        <v>126052.0</v>
      </c>
      <c r="BC445" s="1">
        <v>126069.0</v>
      </c>
      <c r="BD445" s="1" t="s">
        <v>74</v>
      </c>
      <c r="BE445" s="1" t="s">
        <v>4190</v>
      </c>
      <c r="BF445" s="2" t="str">
        <f>HYPERLINK("http://dx.doi.org/10.1109/ACCESS.2025.3590264","http://dx.doi.org/10.1109/ACCESS.2025.3590264")</f>
        <v>http://dx.doi.org/10.1109/ACCESS.2025.3590264</v>
      </c>
      <c r="BG445" s="1" t="s">
        <v>74</v>
      </c>
      <c r="BH445" s="1" t="s">
        <v>74</v>
      </c>
      <c r="BI445" s="1" t="s">
        <v>74</v>
      </c>
      <c r="BJ445" s="1" t="s">
        <v>74</v>
      </c>
      <c r="BK445" s="1" t="s">
        <v>74</v>
      </c>
      <c r="BL445" s="1" t="s">
        <v>152</v>
      </c>
      <c r="BM445" s="1" t="s">
        <v>74</v>
      </c>
      <c r="BN445" s="1" t="s">
        <v>74</v>
      </c>
      <c r="BO445" s="1" t="s">
        <v>153</v>
      </c>
      <c r="BP445" s="1" t="s">
        <v>74</v>
      </c>
      <c r="BQ445" s="1" t="s">
        <v>74</v>
      </c>
      <c r="BR445" s="1" t="s">
        <v>74</v>
      </c>
      <c r="BS445" s="1" t="s">
        <v>4191</v>
      </c>
      <c r="BT445" s="1" t="str">
        <f>HYPERLINK("https%3A%2F%2Fwww.webofscience.com%2Fwos%2Fwoscc%2Ffull-record%2FWOS:001534557100018","View Full Record in Web of Science")</f>
        <v>View Full Record in Web of Science</v>
      </c>
    </row>
    <row r="446" ht="12.75" customHeight="1">
      <c r="A446" s="1" t="s">
        <v>72</v>
      </c>
      <c r="B446" s="1" t="s">
        <v>4192</v>
      </c>
      <c r="C446" s="1" t="s">
        <v>74</v>
      </c>
      <c r="D446" s="1" t="s">
        <v>74</v>
      </c>
      <c r="E446" s="1" t="s">
        <v>74</v>
      </c>
      <c r="F446" s="1" t="s">
        <v>4193</v>
      </c>
      <c r="G446" s="1" t="s">
        <v>74</v>
      </c>
      <c r="H446" s="1" t="s">
        <v>74</v>
      </c>
      <c r="I446" s="1" t="s">
        <v>4194</v>
      </c>
      <c r="J446" s="1" t="s">
        <v>281</v>
      </c>
      <c r="K446" s="1" t="s">
        <v>74</v>
      </c>
      <c r="L446" s="1" t="s">
        <v>74</v>
      </c>
      <c r="M446" s="1" t="s">
        <v>74</v>
      </c>
      <c r="N446" s="1" t="s">
        <v>953</v>
      </c>
      <c r="O446" s="1" t="s">
        <v>74</v>
      </c>
      <c r="P446" s="1" t="s">
        <v>74</v>
      </c>
      <c r="Q446" s="1" t="s">
        <v>74</v>
      </c>
      <c r="R446" s="1" t="s">
        <v>74</v>
      </c>
      <c r="S446" s="1" t="s">
        <v>74</v>
      </c>
      <c r="T446" s="1" t="s">
        <v>4195</v>
      </c>
      <c r="U446" s="1" t="s">
        <v>74</v>
      </c>
      <c r="V446" s="1" t="s">
        <v>4196</v>
      </c>
      <c r="W446" s="1" t="s">
        <v>74</v>
      </c>
      <c r="X446" s="1" t="s">
        <v>74</v>
      </c>
      <c r="Y446" s="1" t="s">
        <v>74</v>
      </c>
      <c r="Z446" s="1" t="s">
        <v>74</v>
      </c>
      <c r="AA446" s="1" t="s">
        <v>74</v>
      </c>
      <c r="AB446" s="1" t="s">
        <v>74</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285</v>
      </c>
      <c r="AP446" s="1" t="s">
        <v>286</v>
      </c>
      <c r="AQ446" s="1" t="s">
        <v>74</v>
      </c>
      <c r="AR446" s="1" t="s">
        <v>74</v>
      </c>
      <c r="AS446" s="1" t="s">
        <v>74</v>
      </c>
      <c r="AT446" s="1" t="s">
        <v>4197</v>
      </c>
      <c r="AU446" s="1">
        <v>2024.0</v>
      </c>
      <c r="AV446" s="1" t="s">
        <v>74</v>
      </c>
      <c r="AW446" s="1" t="s">
        <v>74</v>
      </c>
      <c r="AX446" s="1" t="s">
        <v>74</v>
      </c>
      <c r="AY446" s="1" t="s">
        <v>74</v>
      </c>
      <c r="AZ446" s="1" t="s">
        <v>74</v>
      </c>
      <c r="BA446" s="1" t="s">
        <v>74</v>
      </c>
      <c r="BB446" s="1" t="s">
        <v>74</v>
      </c>
      <c r="BC446" s="1" t="s">
        <v>74</v>
      </c>
      <c r="BD446" s="1" t="s">
        <v>74</v>
      </c>
      <c r="BE446" s="1" t="s">
        <v>4198</v>
      </c>
      <c r="BF446" s="2" t="str">
        <f>HYPERLINK("http://dx.doi.org/10.1093/jamia/ocae085","http://dx.doi.org/10.1093/jamia/ocae085")</f>
        <v>http://dx.doi.org/10.1093/jamia/ocae085</v>
      </c>
      <c r="BG446" s="1" t="s">
        <v>74</v>
      </c>
      <c r="BH446" s="1" t="s">
        <v>126</v>
      </c>
      <c r="BI446" s="1" t="s">
        <v>74</v>
      </c>
      <c r="BJ446" s="1" t="s">
        <v>74</v>
      </c>
      <c r="BK446" s="1" t="s">
        <v>74</v>
      </c>
      <c r="BL446" s="1" t="s">
        <v>291</v>
      </c>
      <c r="BM446" s="1" t="s">
        <v>74</v>
      </c>
      <c r="BN446" s="1" t="s">
        <v>74</v>
      </c>
      <c r="BO446" s="1" t="s">
        <v>127</v>
      </c>
      <c r="BP446" s="1" t="s">
        <v>74</v>
      </c>
      <c r="BQ446" s="1" t="s">
        <v>74</v>
      </c>
      <c r="BR446" s="1" t="s">
        <v>74</v>
      </c>
      <c r="BS446" s="1" t="s">
        <v>4199</v>
      </c>
      <c r="BT446" s="1" t="str">
        <f>HYPERLINK("https%3A%2F%2Fwww.webofscience.com%2Fwos%2Fwoscc%2Ffull-record%2FWOS:001209699500001","View Full Record in Web of Science")</f>
        <v>View Full Record in Web of Science</v>
      </c>
    </row>
    <row r="447" ht="12.75" customHeight="1">
      <c r="A447" s="1" t="s">
        <v>72</v>
      </c>
      <c r="B447" s="1" t="s">
        <v>4200</v>
      </c>
      <c r="C447" s="1" t="s">
        <v>74</v>
      </c>
      <c r="D447" s="1" t="s">
        <v>74</v>
      </c>
      <c r="E447" s="1" t="s">
        <v>74</v>
      </c>
      <c r="F447" s="1" t="s">
        <v>4201</v>
      </c>
      <c r="G447" s="1" t="s">
        <v>74</v>
      </c>
      <c r="H447" s="1" t="s">
        <v>74</v>
      </c>
      <c r="I447" s="1" t="s">
        <v>4202</v>
      </c>
      <c r="J447" s="1" t="s">
        <v>4203</v>
      </c>
      <c r="K447" s="1" t="s">
        <v>74</v>
      </c>
      <c r="L447" s="1" t="s">
        <v>74</v>
      </c>
      <c r="M447" s="1" t="s">
        <v>74</v>
      </c>
      <c r="N447" s="1" t="s">
        <v>78</v>
      </c>
      <c r="O447" s="1" t="s">
        <v>74</v>
      </c>
      <c r="P447" s="1" t="s">
        <v>74</v>
      </c>
      <c r="Q447" s="1" t="s">
        <v>74</v>
      </c>
      <c r="R447" s="1" t="s">
        <v>74</v>
      </c>
      <c r="S447" s="1" t="s">
        <v>74</v>
      </c>
      <c r="T447" s="1" t="s">
        <v>4204</v>
      </c>
      <c r="U447" s="1" t="s">
        <v>4205</v>
      </c>
      <c r="V447" s="1" t="s">
        <v>4206</v>
      </c>
      <c r="W447" s="1" t="s">
        <v>74</v>
      </c>
      <c r="X447" s="1" t="s">
        <v>74</v>
      </c>
      <c r="Y447" s="1" t="s">
        <v>74</v>
      </c>
      <c r="Z447" s="1" t="s">
        <v>74</v>
      </c>
      <c r="AA447" s="1" t="s">
        <v>74</v>
      </c>
      <c r="AB447" s="1" t="s">
        <v>74</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4207</v>
      </c>
      <c r="AP447" s="1" t="s">
        <v>4208</v>
      </c>
      <c r="AQ447" s="1" t="s">
        <v>74</v>
      </c>
      <c r="AR447" s="1" t="s">
        <v>74</v>
      </c>
      <c r="AS447" s="1" t="s">
        <v>74</v>
      </c>
      <c r="AT447" s="1" t="s">
        <v>4209</v>
      </c>
      <c r="AU447" s="1">
        <v>2024.0</v>
      </c>
      <c r="AV447" s="1">
        <v>30.0</v>
      </c>
      <c r="AW447" s="1">
        <v>2.0</v>
      </c>
      <c r="AX447" s="1" t="s">
        <v>74</v>
      </c>
      <c r="AY447" s="1" t="s">
        <v>74</v>
      </c>
      <c r="AZ447" s="1" t="s">
        <v>74</v>
      </c>
      <c r="BA447" s="1" t="s">
        <v>74</v>
      </c>
      <c r="BB447" s="1" t="s">
        <v>74</v>
      </c>
      <c r="BC447" s="1" t="s">
        <v>74</v>
      </c>
      <c r="BD447" s="1">
        <v>47.0</v>
      </c>
      <c r="BE447" s="1" t="s">
        <v>4210</v>
      </c>
      <c r="BF447" s="2" t="str">
        <f>HYPERLINK("http://dx.doi.org/10.1007/s10664-024-10590-1","http://dx.doi.org/10.1007/s10664-024-10590-1")</f>
        <v>http://dx.doi.org/10.1007/s10664-024-10590-1</v>
      </c>
      <c r="BG447" s="1" t="s">
        <v>74</v>
      </c>
      <c r="BH447" s="1" t="s">
        <v>74</v>
      </c>
      <c r="BI447" s="1" t="s">
        <v>74</v>
      </c>
      <c r="BJ447" s="1" t="s">
        <v>74</v>
      </c>
      <c r="BK447" s="1" t="s">
        <v>74</v>
      </c>
      <c r="BL447" s="1" t="s">
        <v>174</v>
      </c>
      <c r="BM447" s="1" t="s">
        <v>74</v>
      </c>
      <c r="BN447" s="1" t="s">
        <v>74</v>
      </c>
      <c r="BO447" s="1" t="s">
        <v>127</v>
      </c>
      <c r="BP447" s="1" t="s">
        <v>74</v>
      </c>
      <c r="BQ447" s="1" t="s">
        <v>74</v>
      </c>
      <c r="BR447" s="1" t="s">
        <v>74</v>
      </c>
      <c r="BS447" s="1" t="s">
        <v>4211</v>
      </c>
      <c r="BT447" s="1" t="str">
        <f>HYPERLINK("https%3A%2F%2Fwww.webofscience.com%2Fwos%2Fwoscc%2Ffull-record%2FWOS:001381219400001","View Full Record in Web of Science")</f>
        <v>View Full Record in Web of Science</v>
      </c>
    </row>
    <row r="448" ht="12.75" customHeight="1">
      <c r="A448" s="1" t="s">
        <v>72</v>
      </c>
      <c r="B448" s="1" t="s">
        <v>4212</v>
      </c>
      <c r="C448" s="1" t="s">
        <v>74</v>
      </c>
      <c r="D448" s="1" t="s">
        <v>74</v>
      </c>
      <c r="E448" s="1" t="s">
        <v>74</v>
      </c>
      <c r="F448" s="1" t="s">
        <v>4213</v>
      </c>
      <c r="G448" s="1" t="s">
        <v>74</v>
      </c>
      <c r="H448" s="1" t="s">
        <v>74</v>
      </c>
      <c r="I448" s="1" t="s">
        <v>4214</v>
      </c>
      <c r="J448" s="1" t="s">
        <v>1416</v>
      </c>
      <c r="K448" s="1" t="s">
        <v>74</v>
      </c>
      <c r="L448" s="1" t="s">
        <v>74</v>
      </c>
      <c r="M448" s="1" t="s">
        <v>74</v>
      </c>
      <c r="N448" s="1" t="s">
        <v>78</v>
      </c>
      <c r="O448" s="1" t="s">
        <v>74</v>
      </c>
      <c r="P448" s="1" t="s">
        <v>74</v>
      </c>
      <c r="Q448" s="1" t="s">
        <v>74</v>
      </c>
      <c r="R448" s="1" t="s">
        <v>74</v>
      </c>
      <c r="S448" s="1" t="s">
        <v>74</v>
      </c>
      <c r="T448" s="1" t="s">
        <v>4215</v>
      </c>
      <c r="U448" s="1" t="s">
        <v>74</v>
      </c>
      <c r="V448" s="1" t="s">
        <v>4216</v>
      </c>
      <c r="W448" s="1" t="s">
        <v>74</v>
      </c>
      <c r="X448" s="1" t="s">
        <v>74</v>
      </c>
      <c r="Y448" s="1" t="s">
        <v>74</v>
      </c>
      <c r="Z448" s="1" t="s">
        <v>74</v>
      </c>
      <c r="AA448" s="1" t="s">
        <v>74</v>
      </c>
      <c r="AB448" s="1" t="s">
        <v>74</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1419</v>
      </c>
      <c r="AP448" s="1" t="s">
        <v>1420</v>
      </c>
      <c r="AQ448" s="1" t="s">
        <v>74</v>
      </c>
      <c r="AR448" s="1" t="s">
        <v>74</v>
      </c>
      <c r="AS448" s="1" t="s">
        <v>74</v>
      </c>
      <c r="AT448" s="1" t="s">
        <v>262</v>
      </c>
      <c r="AU448" s="1">
        <v>2025.0</v>
      </c>
      <c r="AV448" s="1">
        <v>33.0</v>
      </c>
      <c r="AW448" s="1">
        <v>3.0</v>
      </c>
      <c r="AX448" s="1" t="s">
        <v>74</v>
      </c>
      <c r="AY448" s="1" t="s">
        <v>74</v>
      </c>
      <c r="AZ448" s="1" t="s">
        <v>74</v>
      </c>
      <c r="BA448" s="1" t="s">
        <v>74</v>
      </c>
      <c r="BB448" s="1">
        <v>691.0</v>
      </c>
      <c r="BC448" s="1">
        <v>737.0</v>
      </c>
      <c r="BD448" s="1" t="s">
        <v>74</v>
      </c>
      <c r="BE448" s="1" t="s">
        <v>4217</v>
      </c>
      <c r="BF448" s="2" t="str">
        <f>HYPERLINK("http://dx.doi.org/10.1007/s10506-024-09399-6","http://dx.doi.org/10.1007/s10506-024-09399-6")</f>
        <v>http://dx.doi.org/10.1007/s10506-024-09399-6</v>
      </c>
      <c r="BG448" s="1" t="s">
        <v>74</v>
      </c>
      <c r="BH448" s="1" t="s">
        <v>126</v>
      </c>
      <c r="BI448" s="1" t="s">
        <v>74</v>
      </c>
      <c r="BJ448" s="1" t="s">
        <v>74</v>
      </c>
      <c r="BK448" s="1" t="s">
        <v>74</v>
      </c>
      <c r="BL448" s="1" t="s">
        <v>1423</v>
      </c>
      <c r="BM448" s="1" t="s">
        <v>74</v>
      </c>
      <c r="BN448" s="1" t="s">
        <v>74</v>
      </c>
      <c r="BO448" s="1" t="s">
        <v>869</v>
      </c>
      <c r="BP448" s="1" t="s">
        <v>74</v>
      </c>
      <c r="BQ448" s="1" t="s">
        <v>74</v>
      </c>
      <c r="BR448" s="1" t="s">
        <v>74</v>
      </c>
      <c r="BS448" s="1" t="s">
        <v>4218</v>
      </c>
      <c r="BT448" s="1" t="str">
        <f>HYPERLINK("https%3A%2F%2Fwww.webofscience.com%2Fwos%2Fwoscc%2Ffull-record%2FWOS:001198543600001","View Full Record in Web of Science")</f>
        <v>View Full Record in Web of Science</v>
      </c>
    </row>
    <row r="449" ht="12.75" customHeight="1">
      <c r="A449" s="1" t="s">
        <v>72</v>
      </c>
      <c r="B449" s="1" t="s">
        <v>4219</v>
      </c>
      <c r="C449" s="1" t="s">
        <v>74</v>
      </c>
      <c r="D449" s="1" t="s">
        <v>74</v>
      </c>
      <c r="E449" s="1" t="s">
        <v>74</v>
      </c>
      <c r="F449" s="1" t="s">
        <v>4220</v>
      </c>
      <c r="G449" s="1" t="s">
        <v>74</v>
      </c>
      <c r="H449" s="1" t="s">
        <v>74</v>
      </c>
      <c r="I449" s="1" t="s">
        <v>4221</v>
      </c>
      <c r="J449" s="1" t="s">
        <v>1559</v>
      </c>
      <c r="K449" s="1" t="s">
        <v>74</v>
      </c>
      <c r="L449" s="1" t="s">
        <v>74</v>
      </c>
      <c r="M449" s="1" t="s">
        <v>74</v>
      </c>
      <c r="N449" s="1" t="s">
        <v>78</v>
      </c>
      <c r="O449" s="1" t="s">
        <v>74</v>
      </c>
      <c r="P449" s="1" t="s">
        <v>74</v>
      </c>
      <c r="Q449" s="1" t="s">
        <v>74</v>
      </c>
      <c r="R449" s="1" t="s">
        <v>74</v>
      </c>
      <c r="S449" s="1" t="s">
        <v>74</v>
      </c>
      <c r="T449" s="1" t="s">
        <v>4222</v>
      </c>
      <c r="U449" s="1" t="s">
        <v>4223</v>
      </c>
      <c r="V449" s="1" t="s">
        <v>4224</v>
      </c>
      <c r="W449" s="1" t="s">
        <v>74</v>
      </c>
      <c r="X449" s="1" t="s">
        <v>74</v>
      </c>
      <c r="Y449" s="1" t="s">
        <v>74</v>
      </c>
      <c r="Z449" s="1" t="s">
        <v>74</v>
      </c>
      <c r="AA449" s="1" t="s">
        <v>74</v>
      </c>
      <c r="AB449" s="1" t="s">
        <v>74</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1563</v>
      </c>
      <c r="AP449" s="1" t="s">
        <v>1564</v>
      </c>
      <c r="AQ449" s="1" t="s">
        <v>74</v>
      </c>
      <c r="AR449" s="1" t="s">
        <v>74</v>
      </c>
      <c r="AS449" s="1" t="s">
        <v>74</v>
      </c>
      <c r="AT449" s="1" t="s">
        <v>172</v>
      </c>
      <c r="AU449" s="1">
        <v>2024.0</v>
      </c>
      <c r="AV449" s="1">
        <v>54.0</v>
      </c>
      <c r="AW449" s="1">
        <v>11.0</v>
      </c>
      <c r="AX449" s="1" t="s">
        <v>74</v>
      </c>
      <c r="AY449" s="1" t="s">
        <v>74</v>
      </c>
      <c r="AZ449" s="1" t="s">
        <v>74</v>
      </c>
      <c r="BA449" s="1" t="s">
        <v>74</v>
      </c>
      <c r="BB449" s="1">
        <v>6561.0</v>
      </c>
      <c r="BC449" s="1">
        <v>6569.0</v>
      </c>
      <c r="BD449" s="1" t="s">
        <v>74</v>
      </c>
      <c r="BE449" s="1" t="s">
        <v>4225</v>
      </c>
      <c r="BF449" s="2" t="str">
        <f>HYPERLINK("http://dx.doi.org/10.1109/TSMC.2024.3444277","http://dx.doi.org/10.1109/TSMC.2024.3444277")</f>
        <v>http://dx.doi.org/10.1109/TSMC.2024.3444277</v>
      </c>
      <c r="BG449" s="1" t="s">
        <v>74</v>
      </c>
      <c r="BH449" s="1" t="s">
        <v>1747</v>
      </c>
      <c r="BI449" s="1" t="s">
        <v>74</v>
      </c>
      <c r="BJ449" s="1" t="s">
        <v>74</v>
      </c>
      <c r="BK449" s="1" t="s">
        <v>74</v>
      </c>
      <c r="BL449" s="1" t="s">
        <v>780</v>
      </c>
      <c r="BM449" s="1" t="s">
        <v>74</v>
      </c>
      <c r="BN449" s="1" t="s">
        <v>74</v>
      </c>
      <c r="BO449" s="1" t="s">
        <v>74</v>
      </c>
      <c r="BP449" s="1" t="s">
        <v>74</v>
      </c>
      <c r="BQ449" s="1" t="s">
        <v>74</v>
      </c>
      <c r="BR449" s="1" t="s">
        <v>74</v>
      </c>
      <c r="BS449" s="1" t="s">
        <v>4226</v>
      </c>
      <c r="BT449" s="1" t="str">
        <f>HYPERLINK("https%3A%2F%2Fwww.webofscience.com%2Fwos%2Fwoscc%2Ffull-record%2FWOS:001336944400015","View Full Record in Web of Science")</f>
        <v>View Full Record in Web of Science</v>
      </c>
    </row>
    <row r="450" ht="12.75" customHeight="1">
      <c r="A450" s="1" t="s">
        <v>72</v>
      </c>
      <c r="B450" s="1" t="s">
        <v>4227</v>
      </c>
      <c r="C450" s="1" t="s">
        <v>74</v>
      </c>
      <c r="D450" s="1" t="s">
        <v>74</v>
      </c>
      <c r="E450" s="1" t="s">
        <v>74</v>
      </c>
      <c r="F450" s="1" t="s">
        <v>4228</v>
      </c>
      <c r="G450" s="1" t="s">
        <v>74</v>
      </c>
      <c r="H450" s="1" t="s">
        <v>74</v>
      </c>
      <c r="I450" s="1" t="s">
        <v>4229</v>
      </c>
      <c r="J450" s="1" t="s">
        <v>4230</v>
      </c>
      <c r="K450" s="1" t="s">
        <v>74</v>
      </c>
      <c r="L450" s="1" t="s">
        <v>74</v>
      </c>
      <c r="M450" s="1" t="s">
        <v>74</v>
      </c>
      <c r="N450" s="1" t="s">
        <v>78</v>
      </c>
      <c r="O450" s="1" t="s">
        <v>74</v>
      </c>
      <c r="P450" s="1" t="s">
        <v>74</v>
      </c>
      <c r="Q450" s="1" t="s">
        <v>74</v>
      </c>
      <c r="R450" s="1" t="s">
        <v>74</v>
      </c>
      <c r="S450" s="1" t="s">
        <v>74</v>
      </c>
      <c r="T450" s="1" t="s">
        <v>4231</v>
      </c>
      <c r="U450" s="1" t="s">
        <v>4232</v>
      </c>
      <c r="V450" s="1" t="s">
        <v>4233</v>
      </c>
      <c r="W450" s="1" t="s">
        <v>74</v>
      </c>
      <c r="X450" s="1" t="s">
        <v>74</v>
      </c>
      <c r="Y450" s="1" t="s">
        <v>74</v>
      </c>
      <c r="Z450" s="1" t="s">
        <v>74</v>
      </c>
      <c r="AA450" s="1" t="s">
        <v>74</v>
      </c>
      <c r="AB450" s="1" t="s">
        <v>74</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4234</v>
      </c>
      <c r="AP450" s="1" t="s">
        <v>4235</v>
      </c>
      <c r="AQ450" s="1" t="s">
        <v>74</v>
      </c>
      <c r="AR450" s="1" t="s">
        <v>74</v>
      </c>
      <c r="AS450" s="1" t="s">
        <v>74</v>
      </c>
      <c r="AT450" s="1" t="s">
        <v>464</v>
      </c>
      <c r="AU450" s="1">
        <v>2025.0</v>
      </c>
      <c r="AV450" s="1">
        <v>40.0</v>
      </c>
      <c r="AW450" s="1">
        <v>6.0</v>
      </c>
      <c r="AX450" s="1" t="s">
        <v>74</v>
      </c>
      <c r="AY450" s="1" t="s">
        <v>74</v>
      </c>
      <c r="AZ450" s="1" t="s">
        <v>74</v>
      </c>
      <c r="BA450" s="1" t="s">
        <v>74</v>
      </c>
      <c r="BB450" s="1">
        <v>4485.0</v>
      </c>
      <c r="BC450" s="1">
        <v>4497.0</v>
      </c>
      <c r="BD450" s="1" t="s">
        <v>74</v>
      </c>
      <c r="BE450" s="1" t="s">
        <v>4236</v>
      </c>
      <c r="BF450" s="2" t="str">
        <f>HYPERLINK("http://dx.doi.org/10.1007/s00146-025-02227-8","http://dx.doi.org/10.1007/s00146-025-02227-8")</f>
        <v>http://dx.doi.org/10.1007/s00146-025-02227-8</v>
      </c>
      <c r="BG450" s="1" t="s">
        <v>74</v>
      </c>
      <c r="BH450" s="1" t="s">
        <v>314</v>
      </c>
      <c r="BI450" s="1" t="s">
        <v>74</v>
      </c>
      <c r="BJ450" s="1" t="s">
        <v>74</v>
      </c>
      <c r="BK450" s="1" t="s">
        <v>74</v>
      </c>
      <c r="BL450" s="1" t="s">
        <v>174</v>
      </c>
      <c r="BM450" s="1" t="s">
        <v>74</v>
      </c>
      <c r="BN450" s="1" t="s">
        <v>74</v>
      </c>
      <c r="BO450" s="1" t="s">
        <v>74</v>
      </c>
      <c r="BP450" s="1" t="s">
        <v>74</v>
      </c>
      <c r="BQ450" s="1" t="s">
        <v>74</v>
      </c>
      <c r="BR450" s="1" t="s">
        <v>74</v>
      </c>
      <c r="BS450" s="1" t="s">
        <v>4237</v>
      </c>
      <c r="BT450" s="1" t="str">
        <f>HYPERLINK("https%3A%2F%2Fwww.webofscience.com%2Fwos%2Fwoscc%2Ffull-record%2FWOS:001434333000001","View Full Record in Web of Science")</f>
        <v>View Full Record in Web of Science</v>
      </c>
    </row>
    <row r="451" ht="12.75" customHeight="1">
      <c r="A451" s="1" t="s">
        <v>72</v>
      </c>
      <c r="B451" s="1" t="s">
        <v>4238</v>
      </c>
      <c r="C451" s="1" t="s">
        <v>74</v>
      </c>
      <c r="D451" s="1" t="s">
        <v>74</v>
      </c>
      <c r="E451" s="1" t="s">
        <v>74</v>
      </c>
      <c r="F451" s="1" t="s">
        <v>4239</v>
      </c>
      <c r="G451" s="1" t="s">
        <v>74</v>
      </c>
      <c r="H451" s="1" t="s">
        <v>74</v>
      </c>
      <c r="I451" s="1" t="s">
        <v>4240</v>
      </c>
      <c r="J451" s="1" t="s">
        <v>1292</v>
      </c>
      <c r="K451" s="1" t="s">
        <v>74</v>
      </c>
      <c r="L451" s="1" t="s">
        <v>74</v>
      </c>
      <c r="M451" s="1" t="s">
        <v>74</v>
      </c>
      <c r="N451" s="1" t="s">
        <v>78</v>
      </c>
      <c r="O451" s="1" t="s">
        <v>74</v>
      </c>
      <c r="P451" s="1" t="s">
        <v>74</v>
      </c>
      <c r="Q451" s="1" t="s">
        <v>74</v>
      </c>
      <c r="R451" s="1" t="s">
        <v>74</v>
      </c>
      <c r="S451" s="1" t="s">
        <v>74</v>
      </c>
      <c r="T451" s="1" t="s">
        <v>4241</v>
      </c>
      <c r="U451" s="1" t="s">
        <v>74</v>
      </c>
      <c r="V451" s="1" t="s">
        <v>4242</v>
      </c>
      <c r="W451" s="1" t="s">
        <v>74</v>
      </c>
      <c r="X451" s="1" t="s">
        <v>74</v>
      </c>
      <c r="Y451" s="1" t="s">
        <v>74</v>
      </c>
      <c r="Z451" s="1" t="s">
        <v>74</v>
      </c>
      <c r="AA451" s="1" t="s">
        <v>74</v>
      </c>
      <c r="AB451" s="1" t="s">
        <v>74</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1295</v>
      </c>
      <c r="AP451" s="1" t="s">
        <v>1296</v>
      </c>
      <c r="AQ451" s="1" t="s">
        <v>74</v>
      </c>
      <c r="AR451" s="1" t="s">
        <v>74</v>
      </c>
      <c r="AS451" s="1" t="s">
        <v>74</v>
      </c>
      <c r="AT451" s="1" t="s">
        <v>262</v>
      </c>
      <c r="AU451" s="1">
        <v>2025.0</v>
      </c>
      <c r="AV451" s="1">
        <v>89.0</v>
      </c>
      <c r="AW451" s="1" t="s">
        <v>74</v>
      </c>
      <c r="AX451" s="1" t="s">
        <v>74</v>
      </c>
      <c r="AY451" s="1" t="s">
        <v>74</v>
      </c>
      <c r="AZ451" s="1" t="s">
        <v>74</v>
      </c>
      <c r="BA451" s="1" t="s">
        <v>74</v>
      </c>
      <c r="BB451" s="1" t="s">
        <v>74</v>
      </c>
      <c r="BC451" s="1" t="s">
        <v>74</v>
      </c>
      <c r="BD451" s="1">
        <v>103055.0</v>
      </c>
      <c r="BE451" s="1" t="s">
        <v>4243</v>
      </c>
      <c r="BF451" s="2" t="str">
        <f>HYPERLINK("http://dx.doi.org/10.1016/j.displa.2025.103055","http://dx.doi.org/10.1016/j.displa.2025.103055")</f>
        <v>http://dx.doi.org/10.1016/j.displa.2025.103055</v>
      </c>
      <c r="BG451" s="1" t="s">
        <v>74</v>
      </c>
      <c r="BH451" s="1" t="s">
        <v>1150</v>
      </c>
      <c r="BI451" s="1" t="s">
        <v>74</v>
      </c>
      <c r="BJ451" s="1" t="s">
        <v>74</v>
      </c>
      <c r="BK451" s="1" t="s">
        <v>74</v>
      </c>
      <c r="BL451" s="1" t="s">
        <v>1298</v>
      </c>
      <c r="BM451" s="1" t="s">
        <v>74</v>
      </c>
      <c r="BN451" s="1" t="s">
        <v>74</v>
      </c>
      <c r="BO451" s="1" t="s">
        <v>74</v>
      </c>
      <c r="BP451" s="1" t="s">
        <v>74</v>
      </c>
      <c r="BQ451" s="1" t="s">
        <v>74</v>
      </c>
      <c r="BR451" s="1" t="s">
        <v>74</v>
      </c>
      <c r="BS451" s="1" t="s">
        <v>4244</v>
      </c>
      <c r="BT451" s="1" t="str">
        <f>HYPERLINK("https%3A%2F%2Fwww.webofscience.com%2Fwos%2Fwoscc%2Ffull-record%2FWOS:001488537400001","View Full Record in Web of Science")</f>
        <v>View Full Record in Web of Science</v>
      </c>
    </row>
    <row r="452" ht="12.75" customHeight="1">
      <c r="A452" s="1" t="s">
        <v>72</v>
      </c>
      <c r="B452" s="1" t="s">
        <v>4245</v>
      </c>
      <c r="C452" s="1" t="s">
        <v>74</v>
      </c>
      <c r="D452" s="1" t="s">
        <v>74</v>
      </c>
      <c r="E452" s="1" t="s">
        <v>74</v>
      </c>
      <c r="F452" s="1" t="s">
        <v>4246</v>
      </c>
      <c r="G452" s="1" t="s">
        <v>74</v>
      </c>
      <c r="H452" s="1" t="s">
        <v>74</v>
      </c>
      <c r="I452" s="1" t="s">
        <v>4247</v>
      </c>
      <c r="J452" s="1" t="s">
        <v>4248</v>
      </c>
      <c r="K452" s="1" t="s">
        <v>74</v>
      </c>
      <c r="L452" s="1" t="s">
        <v>74</v>
      </c>
      <c r="M452" s="1" t="s">
        <v>74</v>
      </c>
      <c r="N452" s="1" t="s">
        <v>78</v>
      </c>
      <c r="O452" s="1" t="s">
        <v>74</v>
      </c>
      <c r="P452" s="1" t="s">
        <v>74</v>
      </c>
      <c r="Q452" s="1" t="s">
        <v>74</v>
      </c>
      <c r="R452" s="1" t="s">
        <v>74</v>
      </c>
      <c r="S452" s="1" t="s">
        <v>74</v>
      </c>
      <c r="T452" s="1" t="s">
        <v>4249</v>
      </c>
      <c r="U452" s="1" t="s">
        <v>4250</v>
      </c>
      <c r="V452" s="1" t="s">
        <v>4251</v>
      </c>
      <c r="W452" s="1" t="s">
        <v>74</v>
      </c>
      <c r="X452" s="1" t="s">
        <v>74</v>
      </c>
      <c r="Y452" s="1" t="s">
        <v>74</v>
      </c>
      <c r="Z452" s="1" t="s">
        <v>74</v>
      </c>
      <c r="AA452" s="1" t="s">
        <v>74</v>
      </c>
      <c r="AB452" s="1" t="s">
        <v>74</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4252</v>
      </c>
      <c r="AP452" s="1" t="s">
        <v>4253</v>
      </c>
      <c r="AQ452" s="1" t="s">
        <v>74</v>
      </c>
      <c r="AR452" s="1" t="s">
        <v>74</v>
      </c>
      <c r="AS452" s="1" t="s">
        <v>74</v>
      </c>
      <c r="AT452" s="1" t="s">
        <v>736</v>
      </c>
      <c r="AU452" s="1">
        <v>2025.0</v>
      </c>
      <c r="AV452" s="1">
        <v>29.0</v>
      </c>
      <c r="AW452" s="1">
        <v>1.0</v>
      </c>
      <c r="AX452" s="1" t="s">
        <v>74</v>
      </c>
      <c r="AY452" s="1" t="s">
        <v>74</v>
      </c>
      <c r="AZ452" s="1" t="s">
        <v>74</v>
      </c>
      <c r="BA452" s="1" t="s">
        <v>74</v>
      </c>
      <c r="BB452" s="1">
        <v>149.0</v>
      </c>
      <c r="BC452" s="1">
        <v>173.0</v>
      </c>
      <c r="BD452" s="1" t="s">
        <v>74</v>
      </c>
      <c r="BE452" s="1" t="s">
        <v>4254</v>
      </c>
      <c r="BF452" s="2" t="str">
        <f>HYPERLINK("http://dx.doi.org/10.1007/s10707-024-00521-z","http://dx.doi.org/10.1007/s10707-024-00521-z")</f>
        <v>http://dx.doi.org/10.1007/s10707-024-00521-z</v>
      </c>
      <c r="BG452" s="1" t="s">
        <v>74</v>
      </c>
      <c r="BH452" s="1" t="s">
        <v>466</v>
      </c>
      <c r="BI452" s="1" t="s">
        <v>74</v>
      </c>
      <c r="BJ452" s="1" t="s">
        <v>74</v>
      </c>
      <c r="BK452" s="1" t="s">
        <v>74</v>
      </c>
      <c r="BL452" s="1" t="s">
        <v>4255</v>
      </c>
      <c r="BM452" s="1" t="s">
        <v>74</v>
      </c>
      <c r="BN452" s="1" t="s">
        <v>74</v>
      </c>
      <c r="BO452" s="1" t="s">
        <v>74</v>
      </c>
      <c r="BP452" s="1" t="s">
        <v>74</v>
      </c>
      <c r="BQ452" s="1" t="s">
        <v>74</v>
      </c>
      <c r="BR452" s="1" t="s">
        <v>74</v>
      </c>
      <c r="BS452" s="1" t="s">
        <v>4256</v>
      </c>
      <c r="BT452" s="1" t="str">
        <f>HYPERLINK("https%3A%2F%2Fwww.webofscience.com%2Fwos%2Fwoscc%2Ffull-record%2FWOS:001235478000001","View Full Record in Web of Science")</f>
        <v>View Full Record in Web of Science</v>
      </c>
    </row>
    <row r="453" ht="12.75" customHeight="1">
      <c r="A453" s="1" t="s">
        <v>72</v>
      </c>
      <c r="B453" s="1" t="s">
        <v>4257</v>
      </c>
      <c r="C453" s="1" t="s">
        <v>74</v>
      </c>
      <c r="D453" s="1" t="s">
        <v>74</v>
      </c>
      <c r="E453" s="1" t="s">
        <v>74</v>
      </c>
      <c r="F453" s="1" t="s">
        <v>4258</v>
      </c>
      <c r="G453" s="1" t="s">
        <v>74</v>
      </c>
      <c r="H453" s="1" t="s">
        <v>74</v>
      </c>
      <c r="I453" s="1" t="s">
        <v>4259</v>
      </c>
      <c r="J453" s="1" t="s">
        <v>2572</v>
      </c>
      <c r="K453" s="1" t="s">
        <v>74</v>
      </c>
      <c r="L453" s="1" t="s">
        <v>74</v>
      </c>
      <c r="M453" s="1" t="s">
        <v>74</v>
      </c>
      <c r="N453" s="1" t="s">
        <v>78</v>
      </c>
      <c r="O453" s="1" t="s">
        <v>74</v>
      </c>
      <c r="P453" s="1" t="s">
        <v>74</v>
      </c>
      <c r="Q453" s="1" t="s">
        <v>74</v>
      </c>
      <c r="R453" s="1" t="s">
        <v>74</v>
      </c>
      <c r="S453" s="1" t="s">
        <v>74</v>
      </c>
      <c r="T453" s="1" t="s">
        <v>4260</v>
      </c>
      <c r="U453" s="1" t="s">
        <v>74</v>
      </c>
      <c r="V453" s="1" t="s">
        <v>4261</v>
      </c>
      <c r="W453" s="1" t="s">
        <v>74</v>
      </c>
      <c r="X453" s="1" t="s">
        <v>74</v>
      </c>
      <c r="Y453" s="1" t="s">
        <v>74</v>
      </c>
      <c r="Z453" s="1" t="s">
        <v>74</v>
      </c>
      <c r="AA453" s="1" t="s">
        <v>74</v>
      </c>
      <c r="AB453" s="1" t="s">
        <v>74</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2575</v>
      </c>
      <c r="AP453" s="1" t="s">
        <v>74</v>
      </c>
      <c r="AQ453" s="1" t="s">
        <v>74</v>
      </c>
      <c r="AR453" s="1" t="s">
        <v>74</v>
      </c>
      <c r="AS453" s="1" t="s">
        <v>74</v>
      </c>
      <c r="AT453" s="1" t="s">
        <v>4262</v>
      </c>
      <c r="AU453" s="1">
        <v>2025.0</v>
      </c>
      <c r="AV453" s="1">
        <v>12.0</v>
      </c>
      <c r="AW453" s="1">
        <v>24.0</v>
      </c>
      <c r="AX453" s="1" t="s">
        <v>74</v>
      </c>
      <c r="AY453" s="1" t="s">
        <v>74</v>
      </c>
      <c r="AZ453" s="1" t="s">
        <v>74</v>
      </c>
      <c r="BA453" s="1" t="s">
        <v>74</v>
      </c>
      <c r="BB453" s="1">
        <v>55344.0</v>
      </c>
      <c r="BC453" s="1">
        <v>55355.0</v>
      </c>
      <c r="BD453" s="1" t="s">
        <v>74</v>
      </c>
      <c r="BE453" s="1" t="s">
        <v>4263</v>
      </c>
      <c r="BF453" s="2" t="str">
        <f>HYPERLINK("http://dx.doi.org/10.1109/JIOT.2025.3624038","http://dx.doi.org/10.1109/JIOT.2025.3624038")</f>
        <v>http://dx.doi.org/10.1109/JIOT.2025.3624038</v>
      </c>
      <c r="BG453" s="1" t="s">
        <v>74</v>
      </c>
      <c r="BH453" s="1" t="s">
        <v>74</v>
      </c>
      <c r="BI453" s="1" t="s">
        <v>74</v>
      </c>
      <c r="BJ453" s="1" t="s">
        <v>74</v>
      </c>
      <c r="BK453" s="1" t="s">
        <v>74</v>
      </c>
      <c r="BL453" s="1" t="s">
        <v>152</v>
      </c>
      <c r="BM453" s="1" t="s">
        <v>74</v>
      </c>
      <c r="BN453" s="1" t="s">
        <v>74</v>
      </c>
      <c r="BO453" s="1" t="s">
        <v>74</v>
      </c>
      <c r="BP453" s="1" t="s">
        <v>74</v>
      </c>
      <c r="BQ453" s="1" t="s">
        <v>74</v>
      </c>
      <c r="BR453" s="1" t="s">
        <v>74</v>
      </c>
      <c r="BS453" s="1" t="s">
        <v>4264</v>
      </c>
      <c r="BT453" s="1" t="str">
        <f>HYPERLINK("https%3A%2F%2Fwww.webofscience.com%2Fwos%2Fwoscc%2Ffull-record%2FWOS:001635872600018","View Full Record in Web of Science")</f>
        <v>View Full Record in Web of Science</v>
      </c>
    </row>
    <row r="454" ht="12.75" customHeight="1">
      <c r="A454" s="1" t="s">
        <v>72</v>
      </c>
      <c r="B454" s="1" t="s">
        <v>4265</v>
      </c>
      <c r="C454" s="1" t="s">
        <v>74</v>
      </c>
      <c r="D454" s="1" t="s">
        <v>74</v>
      </c>
      <c r="E454" s="1" t="s">
        <v>74</v>
      </c>
      <c r="F454" s="1" t="s">
        <v>4266</v>
      </c>
      <c r="G454" s="1" t="s">
        <v>74</v>
      </c>
      <c r="H454" s="1" t="s">
        <v>74</v>
      </c>
      <c r="I454" s="1" t="s">
        <v>4267</v>
      </c>
      <c r="J454" s="1" t="s">
        <v>519</v>
      </c>
      <c r="K454" s="1" t="s">
        <v>74</v>
      </c>
      <c r="L454" s="1" t="s">
        <v>74</v>
      </c>
      <c r="M454" s="1" t="s">
        <v>74</v>
      </c>
      <c r="N454" s="1" t="s">
        <v>78</v>
      </c>
      <c r="O454" s="1" t="s">
        <v>74</v>
      </c>
      <c r="P454" s="1" t="s">
        <v>74</v>
      </c>
      <c r="Q454" s="1" t="s">
        <v>74</v>
      </c>
      <c r="R454" s="1" t="s">
        <v>74</v>
      </c>
      <c r="S454" s="1" t="s">
        <v>74</v>
      </c>
      <c r="T454" s="1" t="s">
        <v>4268</v>
      </c>
      <c r="U454" s="1" t="s">
        <v>1023</v>
      </c>
      <c r="V454" s="1" t="s">
        <v>4269</v>
      </c>
      <c r="W454" s="1" t="s">
        <v>74</v>
      </c>
      <c r="X454" s="1" t="s">
        <v>74</v>
      </c>
      <c r="Y454" s="1" t="s">
        <v>74</v>
      </c>
      <c r="Z454" s="1" t="s">
        <v>74</v>
      </c>
      <c r="AA454" s="1" t="s">
        <v>74</v>
      </c>
      <c r="AB454" s="1" t="s">
        <v>74</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523</v>
      </c>
      <c r="AP454" s="1" t="s">
        <v>524</v>
      </c>
      <c r="AQ454" s="1" t="s">
        <v>74</v>
      </c>
      <c r="AR454" s="1" t="s">
        <v>74</v>
      </c>
      <c r="AS454" s="1" t="s">
        <v>74</v>
      </c>
      <c r="AT454" s="1" t="s">
        <v>688</v>
      </c>
      <c r="AU454" s="1">
        <v>2024.0</v>
      </c>
      <c r="AV454" s="1">
        <v>103.0</v>
      </c>
      <c r="AW454" s="1" t="s">
        <v>74</v>
      </c>
      <c r="AX454" s="1" t="s">
        <v>74</v>
      </c>
      <c r="AY454" s="1" t="s">
        <v>74</v>
      </c>
      <c r="AZ454" s="1" t="s">
        <v>74</v>
      </c>
      <c r="BA454" s="1" t="s">
        <v>74</v>
      </c>
      <c r="BB454" s="1" t="s">
        <v>74</v>
      </c>
      <c r="BC454" s="1" t="s">
        <v>74</v>
      </c>
      <c r="BD454" s="1">
        <v>102135.0</v>
      </c>
      <c r="BE454" s="1" t="s">
        <v>4270</v>
      </c>
      <c r="BF454" s="2" t="str">
        <f>HYPERLINK("http://dx.doi.org/10.1016/j.inffus.2023.102135","http://dx.doi.org/10.1016/j.inffus.2023.102135")</f>
        <v>http://dx.doi.org/10.1016/j.inffus.2023.102135</v>
      </c>
      <c r="BG454" s="1" t="s">
        <v>74</v>
      </c>
      <c r="BH454" s="1" t="s">
        <v>1015</v>
      </c>
      <c r="BI454" s="1" t="s">
        <v>74</v>
      </c>
      <c r="BJ454" s="1" t="s">
        <v>74</v>
      </c>
      <c r="BK454" s="1" t="s">
        <v>74</v>
      </c>
      <c r="BL454" s="1" t="s">
        <v>174</v>
      </c>
      <c r="BM454" s="1" t="s">
        <v>74</v>
      </c>
      <c r="BN454" s="1" t="s">
        <v>74</v>
      </c>
      <c r="BO454" s="1" t="s">
        <v>127</v>
      </c>
      <c r="BP454" s="1" t="s">
        <v>74</v>
      </c>
      <c r="BQ454" s="1" t="s">
        <v>74</v>
      </c>
      <c r="BR454" s="1" t="s">
        <v>74</v>
      </c>
      <c r="BS454" s="1" t="s">
        <v>4271</v>
      </c>
      <c r="BT454" s="1" t="str">
        <f>HYPERLINK("https%3A%2F%2Fwww.webofscience.com%2Fwos%2Fwoscc%2Ffull-record%2FWOS:001112351800001","View Full Record in Web of Science")</f>
        <v>View Full Record in Web of Science</v>
      </c>
    </row>
    <row r="455" ht="12.75" customHeight="1">
      <c r="A455" s="1" t="s">
        <v>72</v>
      </c>
      <c r="B455" s="1" t="s">
        <v>4272</v>
      </c>
      <c r="C455" s="1" t="s">
        <v>74</v>
      </c>
      <c r="D455" s="1" t="s">
        <v>74</v>
      </c>
      <c r="E455" s="1" t="s">
        <v>74</v>
      </c>
      <c r="F455" s="1" t="s">
        <v>4273</v>
      </c>
      <c r="G455" s="1" t="s">
        <v>74</v>
      </c>
      <c r="H455" s="1" t="s">
        <v>74</v>
      </c>
      <c r="I455" s="1" t="s">
        <v>4274</v>
      </c>
      <c r="J455" s="1" t="s">
        <v>664</v>
      </c>
      <c r="K455" s="1" t="s">
        <v>74</v>
      </c>
      <c r="L455" s="1" t="s">
        <v>74</v>
      </c>
      <c r="M455" s="1" t="s">
        <v>74</v>
      </c>
      <c r="N455" s="1" t="s">
        <v>78</v>
      </c>
      <c r="O455" s="1" t="s">
        <v>74</v>
      </c>
      <c r="P455" s="1" t="s">
        <v>74</v>
      </c>
      <c r="Q455" s="1" t="s">
        <v>74</v>
      </c>
      <c r="R455" s="1" t="s">
        <v>74</v>
      </c>
      <c r="S455" s="1" t="s">
        <v>74</v>
      </c>
      <c r="T455" s="1" t="s">
        <v>4275</v>
      </c>
      <c r="U455" s="1" t="s">
        <v>74</v>
      </c>
      <c r="V455" s="1" t="s">
        <v>4276</v>
      </c>
      <c r="W455" s="1" t="s">
        <v>74</v>
      </c>
      <c r="X455" s="1" t="s">
        <v>74</v>
      </c>
      <c r="Y455" s="1" t="s">
        <v>74</v>
      </c>
      <c r="Z455" s="1" t="s">
        <v>74</v>
      </c>
      <c r="AA455" s="1" t="s">
        <v>74</v>
      </c>
      <c r="AB455" s="1" t="s">
        <v>74</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667</v>
      </c>
      <c r="AP455" s="1" t="s">
        <v>668</v>
      </c>
      <c r="AQ455" s="1" t="s">
        <v>74</v>
      </c>
      <c r="AR455" s="1" t="s">
        <v>74</v>
      </c>
      <c r="AS455" s="1" t="s">
        <v>74</v>
      </c>
      <c r="AT455" s="1" t="s">
        <v>4277</v>
      </c>
      <c r="AU455" s="1">
        <v>2025.0</v>
      </c>
      <c r="AV455" s="1">
        <v>40.0</v>
      </c>
      <c r="AW455" s="1">
        <v>3.0</v>
      </c>
      <c r="AX455" s="1" t="s">
        <v>74</v>
      </c>
      <c r="AY455" s="1" t="s">
        <v>74</v>
      </c>
      <c r="AZ455" s="1" t="s">
        <v>74</v>
      </c>
      <c r="BA455" s="1" t="s">
        <v>74</v>
      </c>
      <c r="BB455" s="1">
        <v>16.0</v>
      </c>
      <c r="BC455" s="1">
        <v>22.0</v>
      </c>
      <c r="BD455" s="1" t="s">
        <v>74</v>
      </c>
      <c r="BE455" s="1" t="s">
        <v>4278</v>
      </c>
      <c r="BF455" s="2" t="str">
        <f>HYPERLINK("http://dx.doi.org/10.1109/MIS.2025.3561487","http://dx.doi.org/10.1109/MIS.2025.3561487")</f>
        <v>http://dx.doi.org/10.1109/MIS.2025.3561487</v>
      </c>
      <c r="BG455" s="1" t="s">
        <v>74</v>
      </c>
      <c r="BH455" s="1" t="s">
        <v>74</v>
      </c>
      <c r="BI455" s="1" t="s">
        <v>74</v>
      </c>
      <c r="BJ455" s="1" t="s">
        <v>74</v>
      </c>
      <c r="BK455" s="1" t="s">
        <v>74</v>
      </c>
      <c r="BL455" s="1" t="s">
        <v>98</v>
      </c>
      <c r="BM455" s="1" t="s">
        <v>74</v>
      </c>
      <c r="BN455" s="1" t="s">
        <v>74</v>
      </c>
      <c r="BO455" s="1" t="s">
        <v>74</v>
      </c>
      <c r="BP455" s="1" t="s">
        <v>74</v>
      </c>
      <c r="BQ455" s="1" t="s">
        <v>74</v>
      </c>
      <c r="BR455" s="1" t="s">
        <v>74</v>
      </c>
      <c r="BS455" s="1" t="s">
        <v>4279</v>
      </c>
      <c r="BT455" s="1" t="str">
        <f>HYPERLINK("https%3A%2F%2Fwww.webofscience.com%2Fwos%2Fwoscc%2Ffull-record%2FWOS:001506724300001","View Full Record in Web of Science")</f>
        <v>View Full Record in Web of Science</v>
      </c>
    </row>
    <row r="456" ht="12.75" customHeight="1">
      <c r="A456" s="1" t="s">
        <v>72</v>
      </c>
      <c r="B456" s="1" t="s">
        <v>4280</v>
      </c>
      <c r="C456" s="1" t="s">
        <v>74</v>
      </c>
      <c r="D456" s="1" t="s">
        <v>74</v>
      </c>
      <c r="E456" s="1" t="s">
        <v>74</v>
      </c>
      <c r="F456" s="1" t="s">
        <v>4281</v>
      </c>
      <c r="G456" s="1" t="s">
        <v>74</v>
      </c>
      <c r="H456" s="1" t="s">
        <v>74</v>
      </c>
      <c r="I456" s="1" t="s">
        <v>4282</v>
      </c>
      <c r="J456" s="1" t="s">
        <v>281</v>
      </c>
      <c r="K456" s="1" t="s">
        <v>74</v>
      </c>
      <c r="L456" s="1" t="s">
        <v>74</v>
      </c>
      <c r="M456" s="1" t="s">
        <v>74</v>
      </c>
      <c r="N456" s="1" t="s">
        <v>78</v>
      </c>
      <c r="O456" s="1" t="s">
        <v>74</v>
      </c>
      <c r="P456" s="1" t="s">
        <v>74</v>
      </c>
      <c r="Q456" s="1" t="s">
        <v>74</v>
      </c>
      <c r="R456" s="1" t="s">
        <v>74</v>
      </c>
      <c r="S456" s="1" t="s">
        <v>74</v>
      </c>
      <c r="T456" s="1" t="s">
        <v>4283</v>
      </c>
      <c r="U456" s="1" t="s">
        <v>74</v>
      </c>
      <c r="V456" s="1" t="s">
        <v>4284</v>
      </c>
      <c r="W456" s="1" t="s">
        <v>74</v>
      </c>
      <c r="X456" s="1" t="s">
        <v>74</v>
      </c>
      <c r="Y456" s="1" t="s">
        <v>74</v>
      </c>
      <c r="Z456" s="1" t="s">
        <v>74</v>
      </c>
      <c r="AA456" s="1" t="s">
        <v>74</v>
      </c>
      <c r="AB456" s="1" t="s">
        <v>74</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285</v>
      </c>
      <c r="AP456" s="1" t="s">
        <v>286</v>
      </c>
      <c r="AQ456" s="1" t="s">
        <v>74</v>
      </c>
      <c r="AR456" s="1" t="s">
        <v>74</v>
      </c>
      <c r="AS456" s="1" t="s">
        <v>74</v>
      </c>
      <c r="AT456" s="1" t="s">
        <v>4285</v>
      </c>
      <c r="AU456" s="1">
        <v>2024.0</v>
      </c>
      <c r="AV456" s="1">
        <v>31.0</v>
      </c>
      <c r="AW456" s="1">
        <v>9.0</v>
      </c>
      <c r="AX456" s="1" t="s">
        <v>74</v>
      </c>
      <c r="AY456" s="1" t="s">
        <v>74</v>
      </c>
      <c r="AZ456" s="1" t="s">
        <v>74</v>
      </c>
      <c r="BA456" s="1" t="s">
        <v>74</v>
      </c>
      <c r="BB456" s="1" t="s">
        <v>74</v>
      </c>
      <c r="BC456" s="1" t="s">
        <v>74</v>
      </c>
      <c r="BD456" s="1" t="s">
        <v>74</v>
      </c>
      <c r="BE456" s="1" t="s">
        <v>4286</v>
      </c>
      <c r="BF456" s="2" t="str">
        <f>HYPERLINK("http://dx.doi.org/10.1093/jamia/ocae103","http://dx.doi.org/10.1093/jamia/ocae103")</f>
        <v>http://dx.doi.org/10.1093/jamia/ocae103</v>
      </c>
      <c r="BG456" s="1" t="s">
        <v>74</v>
      </c>
      <c r="BH456" s="1" t="s">
        <v>466</v>
      </c>
      <c r="BI456" s="1" t="s">
        <v>74</v>
      </c>
      <c r="BJ456" s="1" t="s">
        <v>74</v>
      </c>
      <c r="BK456" s="1" t="s">
        <v>74</v>
      </c>
      <c r="BL456" s="1" t="s">
        <v>291</v>
      </c>
      <c r="BM456" s="1" t="s">
        <v>74</v>
      </c>
      <c r="BN456" s="1" t="s">
        <v>74</v>
      </c>
      <c r="BO456" s="1" t="s">
        <v>127</v>
      </c>
      <c r="BP456" s="1" t="s">
        <v>74</v>
      </c>
      <c r="BQ456" s="1" t="s">
        <v>74</v>
      </c>
      <c r="BR456" s="1" t="s">
        <v>74</v>
      </c>
      <c r="BS456" s="1" t="s">
        <v>4287</v>
      </c>
      <c r="BT456" s="1" t="str">
        <f>HYPERLINK("https%3A%2F%2Fwww.webofscience.com%2Fwos%2Fwoscc%2Ffull-record%2FWOS:001227936600001","View Full Record in Web of Science")</f>
        <v>View Full Record in Web of Science</v>
      </c>
    </row>
    <row r="457" ht="12.75" customHeight="1">
      <c r="A457" s="1" t="s">
        <v>72</v>
      </c>
      <c r="B457" s="1" t="s">
        <v>4288</v>
      </c>
      <c r="C457" s="1" t="s">
        <v>74</v>
      </c>
      <c r="D457" s="1" t="s">
        <v>74</v>
      </c>
      <c r="E457" s="1" t="s">
        <v>74</v>
      </c>
      <c r="F457" s="1" t="s">
        <v>4289</v>
      </c>
      <c r="G457" s="1" t="s">
        <v>74</v>
      </c>
      <c r="H457" s="1" t="s">
        <v>74</v>
      </c>
      <c r="I457" s="1" t="s">
        <v>4290</v>
      </c>
      <c r="J457" s="1" t="s">
        <v>2305</v>
      </c>
      <c r="K457" s="1" t="s">
        <v>74</v>
      </c>
      <c r="L457" s="1" t="s">
        <v>74</v>
      </c>
      <c r="M457" s="1" t="s">
        <v>74</v>
      </c>
      <c r="N457" s="1" t="s">
        <v>78</v>
      </c>
      <c r="O457" s="1" t="s">
        <v>74</v>
      </c>
      <c r="P457" s="1" t="s">
        <v>74</v>
      </c>
      <c r="Q457" s="1" t="s">
        <v>74</v>
      </c>
      <c r="R457" s="1" t="s">
        <v>74</v>
      </c>
      <c r="S457" s="1" t="s">
        <v>74</v>
      </c>
      <c r="T457" s="1" t="s">
        <v>4291</v>
      </c>
      <c r="U457" s="1" t="s">
        <v>3989</v>
      </c>
      <c r="V457" s="1" t="s">
        <v>4292</v>
      </c>
      <c r="W457" s="1" t="s">
        <v>74</v>
      </c>
      <c r="X457" s="1" t="s">
        <v>74</v>
      </c>
      <c r="Y457" s="1" t="s">
        <v>74</v>
      </c>
      <c r="Z457" s="1" t="s">
        <v>74</v>
      </c>
      <c r="AA457" s="1" t="s">
        <v>74</v>
      </c>
      <c r="AB457" s="1" t="s">
        <v>74</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2308</v>
      </c>
      <c r="AP457" s="1" t="s">
        <v>2309</v>
      </c>
      <c r="AQ457" s="1" t="s">
        <v>74</v>
      </c>
      <c r="AR457" s="1" t="s">
        <v>74</v>
      </c>
      <c r="AS457" s="1" t="s">
        <v>74</v>
      </c>
      <c r="AT457" s="1" t="s">
        <v>200</v>
      </c>
      <c r="AU457" s="1">
        <v>2025.0</v>
      </c>
      <c r="AV457" s="1">
        <v>63.0</v>
      </c>
      <c r="AW457" s="1">
        <v>6.0</v>
      </c>
      <c r="AX457" s="1" t="s">
        <v>74</v>
      </c>
      <c r="AY457" s="1" t="s">
        <v>74</v>
      </c>
      <c r="AZ457" s="1" t="s">
        <v>74</v>
      </c>
      <c r="BA457" s="1" t="s">
        <v>74</v>
      </c>
      <c r="BB457" s="1">
        <v>1921.0</v>
      </c>
      <c r="BC457" s="1">
        <v>1953.0</v>
      </c>
      <c r="BD457" s="1" t="s">
        <v>74</v>
      </c>
      <c r="BE457" s="1" t="s">
        <v>4293</v>
      </c>
      <c r="BF457" s="2" t="str">
        <f>HYPERLINK("http://dx.doi.org/10.1007/s10844-025-00970-4","http://dx.doi.org/10.1007/s10844-025-00970-4")</f>
        <v>http://dx.doi.org/10.1007/s10844-025-00970-4</v>
      </c>
      <c r="BG457" s="1" t="s">
        <v>74</v>
      </c>
      <c r="BH457" s="1" t="s">
        <v>276</v>
      </c>
      <c r="BI457" s="1" t="s">
        <v>74</v>
      </c>
      <c r="BJ457" s="1" t="s">
        <v>74</v>
      </c>
      <c r="BK457" s="1" t="s">
        <v>74</v>
      </c>
      <c r="BL457" s="1" t="s">
        <v>174</v>
      </c>
      <c r="BM457" s="1" t="s">
        <v>74</v>
      </c>
      <c r="BN457" s="1" t="s">
        <v>74</v>
      </c>
      <c r="BO457" s="1" t="s">
        <v>74</v>
      </c>
      <c r="BP457" s="1" t="s">
        <v>74</v>
      </c>
      <c r="BQ457" s="1" t="s">
        <v>74</v>
      </c>
      <c r="BR457" s="1" t="s">
        <v>74</v>
      </c>
      <c r="BS457" s="1" t="s">
        <v>4294</v>
      </c>
      <c r="BT457" s="1" t="str">
        <f>HYPERLINK("https%3A%2F%2Fwww.webofscience.com%2Fwos%2Fwoscc%2Ffull-record%2FWOS:001555873400001","View Full Record in Web of Science")</f>
        <v>View Full Record in Web of Science</v>
      </c>
    </row>
    <row r="458" ht="12.75" customHeight="1">
      <c r="A458" s="1" t="s">
        <v>72</v>
      </c>
      <c r="B458" s="1" t="s">
        <v>4295</v>
      </c>
      <c r="C458" s="1" t="s">
        <v>74</v>
      </c>
      <c r="D458" s="1" t="s">
        <v>74</v>
      </c>
      <c r="E458" s="1" t="s">
        <v>74</v>
      </c>
      <c r="F458" s="1" t="s">
        <v>4296</v>
      </c>
      <c r="G458" s="1" t="s">
        <v>74</v>
      </c>
      <c r="H458" s="1" t="s">
        <v>74</v>
      </c>
      <c r="I458" s="1" t="s">
        <v>4297</v>
      </c>
      <c r="J458" s="1" t="s">
        <v>147</v>
      </c>
      <c r="K458" s="1" t="s">
        <v>74</v>
      </c>
      <c r="L458" s="1" t="s">
        <v>74</v>
      </c>
      <c r="M458" s="1" t="s">
        <v>74</v>
      </c>
      <c r="N458" s="1" t="s">
        <v>158</v>
      </c>
      <c r="O458" s="1" t="s">
        <v>74</v>
      </c>
      <c r="P458" s="1" t="s">
        <v>74</v>
      </c>
      <c r="Q458" s="1" t="s">
        <v>74</v>
      </c>
      <c r="R458" s="1" t="s">
        <v>74</v>
      </c>
      <c r="S458" s="1" t="s">
        <v>74</v>
      </c>
      <c r="T458" s="1" t="s">
        <v>4298</v>
      </c>
      <c r="U458" s="1" t="s">
        <v>74</v>
      </c>
      <c r="V458" s="1" t="s">
        <v>4299</v>
      </c>
      <c r="W458" s="1" t="s">
        <v>74</v>
      </c>
      <c r="X458" s="1" t="s">
        <v>74</v>
      </c>
      <c r="Y458" s="1" t="s">
        <v>74</v>
      </c>
      <c r="Z458" s="1" t="s">
        <v>74</v>
      </c>
      <c r="AA458" s="1" t="s">
        <v>74</v>
      </c>
      <c r="AB458" s="1" t="s">
        <v>74</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150</v>
      </c>
      <c r="AP458" s="1" t="s">
        <v>74</v>
      </c>
      <c r="AQ458" s="1" t="s">
        <v>74</v>
      </c>
      <c r="AR458" s="1" t="s">
        <v>74</v>
      </c>
      <c r="AS458" s="1" t="s">
        <v>74</v>
      </c>
      <c r="AT458" s="1" t="s">
        <v>74</v>
      </c>
      <c r="AU458" s="1">
        <v>2025.0</v>
      </c>
      <c r="AV458" s="1">
        <v>13.0</v>
      </c>
      <c r="AW458" s="1" t="s">
        <v>74</v>
      </c>
      <c r="AX458" s="1" t="s">
        <v>74</v>
      </c>
      <c r="AY458" s="1" t="s">
        <v>74</v>
      </c>
      <c r="AZ458" s="1" t="s">
        <v>74</v>
      </c>
      <c r="BA458" s="1" t="s">
        <v>74</v>
      </c>
      <c r="BB458" s="1">
        <v>106932.0</v>
      </c>
      <c r="BC458" s="1">
        <v>106941.0</v>
      </c>
      <c r="BD458" s="1" t="s">
        <v>74</v>
      </c>
      <c r="BE458" s="1" t="s">
        <v>4300</v>
      </c>
      <c r="BF458" s="2" t="str">
        <f>HYPERLINK("http://dx.doi.org/10.1109/ACCESS.2025.3580439","http://dx.doi.org/10.1109/ACCESS.2025.3580439")</f>
        <v>http://dx.doi.org/10.1109/ACCESS.2025.3580439</v>
      </c>
      <c r="BG458" s="1" t="s">
        <v>74</v>
      </c>
      <c r="BH458" s="1" t="s">
        <v>74</v>
      </c>
      <c r="BI458" s="1" t="s">
        <v>74</v>
      </c>
      <c r="BJ458" s="1" t="s">
        <v>74</v>
      </c>
      <c r="BK458" s="1" t="s">
        <v>74</v>
      </c>
      <c r="BL458" s="1" t="s">
        <v>152</v>
      </c>
      <c r="BM458" s="1" t="s">
        <v>74</v>
      </c>
      <c r="BN458" s="1" t="s">
        <v>74</v>
      </c>
      <c r="BO458" s="1" t="s">
        <v>153</v>
      </c>
      <c r="BP458" s="1" t="s">
        <v>74</v>
      </c>
      <c r="BQ458" s="1" t="s">
        <v>74</v>
      </c>
      <c r="BR458" s="1" t="s">
        <v>74</v>
      </c>
      <c r="BS458" s="1" t="s">
        <v>4301</v>
      </c>
      <c r="BT458" s="1" t="str">
        <f>HYPERLINK("https%3A%2F%2Fwww.webofscience.com%2Fwos%2Fwoscc%2Ffull-record%2FWOS:001516410000027","View Full Record in Web of Science")</f>
        <v>View Full Record in Web of Science</v>
      </c>
    </row>
    <row r="459" ht="12.75" customHeight="1">
      <c r="A459" s="1" t="s">
        <v>72</v>
      </c>
      <c r="B459" s="1" t="s">
        <v>4302</v>
      </c>
      <c r="C459" s="1" t="s">
        <v>74</v>
      </c>
      <c r="D459" s="1" t="s">
        <v>74</v>
      </c>
      <c r="E459" s="1" t="s">
        <v>74</v>
      </c>
      <c r="F459" s="1" t="s">
        <v>4303</v>
      </c>
      <c r="G459" s="1" t="s">
        <v>74</v>
      </c>
      <c r="H459" s="1" t="s">
        <v>74</v>
      </c>
      <c r="I459" s="1" t="s">
        <v>4304</v>
      </c>
      <c r="J459" s="1" t="s">
        <v>4305</v>
      </c>
      <c r="K459" s="1" t="s">
        <v>74</v>
      </c>
      <c r="L459" s="1" t="s">
        <v>74</v>
      </c>
      <c r="M459" s="1" t="s">
        <v>74</v>
      </c>
      <c r="N459" s="1" t="s">
        <v>78</v>
      </c>
      <c r="O459" s="1" t="s">
        <v>74</v>
      </c>
      <c r="P459" s="1" t="s">
        <v>74</v>
      </c>
      <c r="Q459" s="1" t="s">
        <v>74</v>
      </c>
      <c r="R459" s="1" t="s">
        <v>74</v>
      </c>
      <c r="S459" s="1" t="s">
        <v>74</v>
      </c>
      <c r="T459" s="1" t="s">
        <v>4306</v>
      </c>
      <c r="U459" s="1" t="s">
        <v>74</v>
      </c>
      <c r="V459" s="1" t="s">
        <v>4307</v>
      </c>
      <c r="W459" s="1" t="s">
        <v>74</v>
      </c>
      <c r="X459" s="1" t="s">
        <v>74</v>
      </c>
      <c r="Y459" s="1" t="s">
        <v>74</v>
      </c>
      <c r="Z459" s="1" t="s">
        <v>74</v>
      </c>
      <c r="AA459" s="1" t="s">
        <v>74</v>
      </c>
      <c r="AB459" s="1" t="s">
        <v>74</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4308</v>
      </c>
      <c r="AP459" s="1" t="s">
        <v>4309</v>
      </c>
      <c r="AQ459" s="1" t="s">
        <v>74</v>
      </c>
      <c r="AR459" s="1" t="s">
        <v>74</v>
      </c>
      <c r="AS459" s="1" t="s">
        <v>74</v>
      </c>
      <c r="AT459" s="1" t="s">
        <v>736</v>
      </c>
      <c r="AU459" s="1">
        <v>2026.0</v>
      </c>
      <c r="AV459" s="1">
        <v>169.0</v>
      </c>
      <c r="AW459" s="1" t="s">
        <v>74</v>
      </c>
      <c r="AX459" s="1" t="s">
        <v>74</v>
      </c>
      <c r="AY459" s="1" t="s">
        <v>74</v>
      </c>
      <c r="AZ459" s="1" t="s">
        <v>74</v>
      </c>
      <c r="BA459" s="1" t="s">
        <v>74</v>
      </c>
      <c r="BB459" s="1" t="s">
        <v>74</v>
      </c>
      <c r="BC459" s="1" t="s">
        <v>74</v>
      </c>
      <c r="BD459" s="1">
        <v>111800.0</v>
      </c>
      <c r="BE459" s="1" t="s">
        <v>4310</v>
      </c>
      <c r="BF459" s="2" t="str">
        <f>HYPERLINK("http://dx.doi.org/10.1016/j.patcog.2025.111800","http://dx.doi.org/10.1016/j.patcog.2025.111800")</f>
        <v>http://dx.doi.org/10.1016/j.patcog.2025.111800</v>
      </c>
      <c r="BG459" s="1" t="s">
        <v>74</v>
      </c>
      <c r="BH459" s="1" t="s">
        <v>112</v>
      </c>
      <c r="BI459" s="1" t="s">
        <v>74</v>
      </c>
      <c r="BJ459" s="1" t="s">
        <v>74</v>
      </c>
      <c r="BK459" s="1" t="s">
        <v>74</v>
      </c>
      <c r="BL459" s="1" t="s">
        <v>98</v>
      </c>
      <c r="BM459" s="1" t="s">
        <v>74</v>
      </c>
      <c r="BN459" s="1" t="s">
        <v>74</v>
      </c>
      <c r="BO459" s="1" t="s">
        <v>74</v>
      </c>
      <c r="BP459" s="1" t="s">
        <v>74</v>
      </c>
      <c r="BQ459" s="1" t="s">
        <v>74</v>
      </c>
      <c r="BR459" s="1" t="s">
        <v>74</v>
      </c>
      <c r="BS459" s="1" t="s">
        <v>4311</v>
      </c>
      <c r="BT459" s="1" t="str">
        <f>HYPERLINK("https%3A%2F%2Fwww.webofscience.com%2Fwos%2Fwoscc%2Ffull-record%2FWOS:001505826900011","View Full Record in Web of Science")</f>
        <v>View Full Record in Web of Science</v>
      </c>
    </row>
    <row r="460" ht="12.75" customHeight="1">
      <c r="A460" s="1" t="s">
        <v>72</v>
      </c>
      <c r="B460" s="1" t="s">
        <v>4312</v>
      </c>
      <c r="C460" s="1" t="s">
        <v>74</v>
      </c>
      <c r="D460" s="1" t="s">
        <v>74</v>
      </c>
      <c r="E460" s="1" t="s">
        <v>74</v>
      </c>
      <c r="F460" s="1" t="s">
        <v>4313</v>
      </c>
      <c r="G460" s="1" t="s">
        <v>74</v>
      </c>
      <c r="H460" s="1" t="s">
        <v>74</v>
      </c>
      <c r="I460" s="1" t="s">
        <v>4314</v>
      </c>
      <c r="J460" s="1" t="s">
        <v>3333</v>
      </c>
      <c r="K460" s="1" t="s">
        <v>74</v>
      </c>
      <c r="L460" s="1" t="s">
        <v>74</v>
      </c>
      <c r="M460" s="1" t="s">
        <v>74</v>
      </c>
      <c r="N460" s="1" t="s">
        <v>158</v>
      </c>
      <c r="O460" s="1" t="s">
        <v>74</v>
      </c>
      <c r="P460" s="1" t="s">
        <v>74</v>
      </c>
      <c r="Q460" s="1" t="s">
        <v>74</v>
      </c>
      <c r="R460" s="1" t="s">
        <v>74</v>
      </c>
      <c r="S460" s="1" t="s">
        <v>74</v>
      </c>
      <c r="T460" s="1" t="s">
        <v>74</v>
      </c>
      <c r="U460" s="1" t="s">
        <v>74</v>
      </c>
      <c r="V460" s="1" t="s">
        <v>4315</v>
      </c>
      <c r="W460" s="1" t="s">
        <v>74</v>
      </c>
      <c r="X460" s="1" t="s">
        <v>74</v>
      </c>
      <c r="Y460" s="1" t="s">
        <v>74</v>
      </c>
      <c r="Z460" s="1" t="s">
        <v>74</v>
      </c>
      <c r="AA460" s="1" t="s">
        <v>74</v>
      </c>
      <c r="AB460" s="1" t="s">
        <v>74</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74</v>
      </c>
      <c r="AP460" s="1" t="s">
        <v>3335</v>
      </c>
      <c r="AQ460" s="1" t="s">
        <v>74</v>
      </c>
      <c r="AR460" s="1" t="s">
        <v>74</v>
      </c>
      <c r="AS460" s="1" t="s">
        <v>74</v>
      </c>
      <c r="AT460" s="1" t="s">
        <v>4316</v>
      </c>
      <c r="AU460" s="1">
        <v>2025.0</v>
      </c>
      <c r="AV460" s="1">
        <v>4.0</v>
      </c>
      <c r="AW460" s="1" t="s">
        <v>74</v>
      </c>
      <c r="AX460" s="1" t="s">
        <v>74</v>
      </c>
      <c r="AY460" s="1" t="s">
        <v>74</v>
      </c>
      <c r="AZ460" s="1" t="s">
        <v>74</v>
      </c>
      <c r="BA460" s="1" t="s">
        <v>74</v>
      </c>
      <c r="BB460" s="1" t="s">
        <v>74</v>
      </c>
      <c r="BC460" s="1" t="s">
        <v>74</v>
      </c>
      <c r="BD460" s="1">
        <v>124.0</v>
      </c>
      <c r="BE460" s="1" t="s">
        <v>4317</v>
      </c>
      <c r="BF460" s="2" t="str">
        <f>HYPERLINK("http://dx.doi.org/10.34133/icomputing.0124","http://dx.doi.org/10.34133/icomputing.0124")</f>
        <v>http://dx.doi.org/10.34133/icomputing.0124</v>
      </c>
      <c r="BG460" s="1" t="s">
        <v>74</v>
      </c>
      <c r="BH460" s="1" t="s">
        <v>74</v>
      </c>
      <c r="BI460" s="1" t="s">
        <v>74</v>
      </c>
      <c r="BJ460" s="1" t="s">
        <v>74</v>
      </c>
      <c r="BK460" s="1" t="s">
        <v>74</v>
      </c>
      <c r="BL460" s="1" t="s">
        <v>174</v>
      </c>
      <c r="BM460" s="1" t="s">
        <v>74</v>
      </c>
      <c r="BN460" s="1" t="s">
        <v>74</v>
      </c>
      <c r="BO460" s="1" t="s">
        <v>153</v>
      </c>
      <c r="BP460" s="1" t="s">
        <v>74</v>
      </c>
      <c r="BQ460" s="1" t="s">
        <v>74</v>
      </c>
      <c r="BR460" s="1" t="s">
        <v>74</v>
      </c>
      <c r="BS460" s="1" t="s">
        <v>4318</v>
      </c>
      <c r="BT460" s="1" t="str">
        <f>HYPERLINK("https%3A%2F%2Fwww.webofscience.com%2Fwos%2Fwoscc%2Ffull-record%2FWOS:001501175900001","View Full Record in Web of Science")</f>
        <v>View Full Record in Web of Science</v>
      </c>
    </row>
    <row r="461" ht="12.75" customHeight="1">
      <c r="A461" s="1" t="s">
        <v>72</v>
      </c>
      <c r="B461" s="1" t="s">
        <v>4319</v>
      </c>
      <c r="C461" s="1" t="s">
        <v>74</v>
      </c>
      <c r="D461" s="1" t="s">
        <v>74</v>
      </c>
      <c r="E461" s="1" t="s">
        <v>74</v>
      </c>
      <c r="F461" s="1" t="s">
        <v>4320</v>
      </c>
      <c r="G461" s="1" t="s">
        <v>74</v>
      </c>
      <c r="H461" s="1" t="s">
        <v>74</v>
      </c>
      <c r="I461" s="1" t="s">
        <v>4321</v>
      </c>
      <c r="J461" s="1" t="s">
        <v>4230</v>
      </c>
      <c r="K461" s="1" t="s">
        <v>74</v>
      </c>
      <c r="L461" s="1" t="s">
        <v>74</v>
      </c>
      <c r="M461" s="1" t="s">
        <v>74</v>
      </c>
      <c r="N461" s="1" t="s">
        <v>78</v>
      </c>
      <c r="O461" s="1" t="s">
        <v>74</v>
      </c>
      <c r="P461" s="1" t="s">
        <v>74</v>
      </c>
      <c r="Q461" s="1" t="s">
        <v>74</v>
      </c>
      <c r="R461" s="1" t="s">
        <v>74</v>
      </c>
      <c r="S461" s="1" t="s">
        <v>74</v>
      </c>
      <c r="T461" s="1" t="s">
        <v>4322</v>
      </c>
      <c r="U461" s="1" t="s">
        <v>74</v>
      </c>
      <c r="V461" s="1" t="s">
        <v>4323</v>
      </c>
      <c r="W461" s="1" t="s">
        <v>74</v>
      </c>
      <c r="X461" s="1" t="s">
        <v>74</v>
      </c>
      <c r="Y461" s="1" t="s">
        <v>74</v>
      </c>
      <c r="Z461" s="1" t="s">
        <v>74</v>
      </c>
      <c r="AA461" s="1" t="s">
        <v>74</v>
      </c>
      <c r="AB461" s="1" t="s">
        <v>74</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4234</v>
      </c>
      <c r="AP461" s="1" t="s">
        <v>4235</v>
      </c>
      <c r="AQ461" s="1" t="s">
        <v>74</v>
      </c>
      <c r="AR461" s="1" t="s">
        <v>74</v>
      </c>
      <c r="AS461" s="1" t="s">
        <v>74</v>
      </c>
      <c r="AT461" s="1" t="s">
        <v>464</v>
      </c>
      <c r="AU461" s="1">
        <v>2025.0</v>
      </c>
      <c r="AV461" s="1">
        <v>40.0</v>
      </c>
      <c r="AW461" s="1">
        <v>6.0</v>
      </c>
      <c r="AX461" s="1" t="s">
        <v>74</v>
      </c>
      <c r="AY461" s="1" t="s">
        <v>74</v>
      </c>
      <c r="AZ461" s="1" t="s">
        <v>74</v>
      </c>
      <c r="BA461" s="1" t="s">
        <v>74</v>
      </c>
      <c r="BB461" s="1">
        <v>4309.0</v>
      </c>
      <c r="BC461" s="1">
        <v>4322.0</v>
      </c>
      <c r="BD461" s="1" t="s">
        <v>74</v>
      </c>
      <c r="BE461" s="1" t="s">
        <v>4324</v>
      </c>
      <c r="BF461" s="2" t="str">
        <f>HYPERLINK("http://dx.doi.org/10.1007/s00146-025-02199-9","http://dx.doi.org/10.1007/s00146-025-02199-9")</f>
        <v>http://dx.doi.org/10.1007/s00146-025-02199-9</v>
      </c>
      <c r="BG461" s="1" t="s">
        <v>74</v>
      </c>
      <c r="BH461" s="1" t="s">
        <v>314</v>
      </c>
      <c r="BI461" s="1" t="s">
        <v>74</v>
      </c>
      <c r="BJ461" s="1" t="s">
        <v>74</v>
      </c>
      <c r="BK461" s="1" t="s">
        <v>74</v>
      </c>
      <c r="BL461" s="1" t="s">
        <v>174</v>
      </c>
      <c r="BM461" s="1" t="s">
        <v>74</v>
      </c>
      <c r="BN461" s="1" t="s">
        <v>74</v>
      </c>
      <c r="BO461" s="1" t="s">
        <v>114</v>
      </c>
      <c r="BP461" s="1" t="s">
        <v>74</v>
      </c>
      <c r="BQ461" s="1" t="s">
        <v>74</v>
      </c>
      <c r="BR461" s="1" t="s">
        <v>74</v>
      </c>
      <c r="BS461" s="1" t="s">
        <v>4325</v>
      </c>
      <c r="BT461" s="1" t="str">
        <f>HYPERLINK("https%3A%2F%2Fwww.webofscience.com%2Fwos%2Fwoscc%2Ffull-record%2FWOS:001425281000001","View Full Record in Web of Science")</f>
        <v>View Full Record in Web of Science</v>
      </c>
    </row>
    <row r="462" ht="12.75" customHeight="1">
      <c r="A462" s="1" t="s">
        <v>72</v>
      </c>
      <c r="B462" s="1" t="s">
        <v>4326</v>
      </c>
      <c r="C462" s="1" t="s">
        <v>74</v>
      </c>
      <c r="D462" s="1" t="s">
        <v>74</v>
      </c>
      <c r="E462" s="1" t="s">
        <v>74</v>
      </c>
      <c r="F462" s="1" t="s">
        <v>4327</v>
      </c>
      <c r="G462" s="1" t="s">
        <v>74</v>
      </c>
      <c r="H462" s="1" t="s">
        <v>74</v>
      </c>
      <c r="I462" s="1" t="s">
        <v>4328</v>
      </c>
      <c r="J462" s="1" t="s">
        <v>588</v>
      </c>
      <c r="K462" s="1" t="s">
        <v>74</v>
      </c>
      <c r="L462" s="1" t="s">
        <v>74</v>
      </c>
      <c r="M462" s="1" t="s">
        <v>74</v>
      </c>
      <c r="N462" s="1" t="s">
        <v>953</v>
      </c>
      <c r="O462" s="1" t="s">
        <v>74</v>
      </c>
      <c r="P462" s="1" t="s">
        <v>74</v>
      </c>
      <c r="Q462" s="1" t="s">
        <v>74</v>
      </c>
      <c r="R462" s="1" t="s">
        <v>74</v>
      </c>
      <c r="S462" s="1" t="s">
        <v>74</v>
      </c>
      <c r="T462" s="1" t="s">
        <v>4329</v>
      </c>
      <c r="U462" s="1" t="s">
        <v>4330</v>
      </c>
      <c r="V462" s="1" t="s">
        <v>4331</v>
      </c>
      <c r="W462" s="1" t="s">
        <v>74</v>
      </c>
      <c r="X462" s="1" t="s">
        <v>74</v>
      </c>
      <c r="Y462" s="1" t="s">
        <v>74</v>
      </c>
      <c r="Z462" s="1" t="s">
        <v>74</v>
      </c>
      <c r="AA462" s="1" t="s">
        <v>74</v>
      </c>
      <c r="AB462" s="1" t="s">
        <v>74</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592</v>
      </c>
      <c r="AP462" s="1" t="s">
        <v>593</v>
      </c>
      <c r="AQ462" s="1" t="s">
        <v>74</v>
      </c>
      <c r="AR462" s="1" t="s">
        <v>74</v>
      </c>
      <c r="AS462" s="1" t="s">
        <v>74</v>
      </c>
      <c r="AT462" s="1" t="s">
        <v>4332</v>
      </c>
      <c r="AU462" s="1">
        <v>2026.0</v>
      </c>
      <c r="AV462" s="1" t="s">
        <v>74</v>
      </c>
      <c r="AW462" s="1" t="s">
        <v>74</v>
      </c>
      <c r="AX462" s="1" t="s">
        <v>74</v>
      </c>
      <c r="AY462" s="1" t="s">
        <v>74</v>
      </c>
      <c r="AZ462" s="1" t="s">
        <v>74</v>
      </c>
      <c r="BA462" s="1" t="s">
        <v>74</v>
      </c>
      <c r="BB462" s="1" t="s">
        <v>74</v>
      </c>
      <c r="BC462" s="1" t="s">
        <v>74</v>
      </c>
      <c r="BD462" s="1" t="s">
        <v>74</v>
      </c>
      <c r="BE462" s="1" t="s">
        <v>4333</v>
      </c>
      <c r="BF462" s="2" t="str">
        <f>HYPERLINK("http://dx.doi.org/10.1080/10447318.2025.2594137","http://dx.doi.org/10.1080/10447318.2025.2594137")</f>
        <v>http://dx.doi.org/10.1080/10447318.2025.2594137</v>
      </c>
      <c r="BG462" s="1" t="s">
        <v>74</v>
      </c>
      <c r="BH462" s="1" t="s">
        <v>290</v>
      </c>
      <c r="BI462" s="1" t="s">
        <v>74</v>
      </c>
      <c r="BJ462" s="1" t="s">
        <v>74</v>
      </c>
      <c r="BK462" s="1" t="s">
        <v>74</v>
      </c>
      <c r="BL462" s="1" t="s">
        <v>98</v>
      </c>
      <c r="BM462" s="1" t="s">
        <v>74</v>
      </c>
      <c r="BN462" s="1" t="s">
        <v>74</v>
      </c>
      <c r="BO462" s="1" t="s">
        <v>74</v>
      </c>
      <c r="BP462" s="1" t="s">
        <v>74</v>
      </c>
      <c r="BQ462" s="1" t="s">
        <v>74</v>
      </c>
      <c r="BR462" s="1" t="s">
        <v>74</v>
      </c>
      <c r="BS462" s="1" t="s">
        <v>4334</v>
      </c>
      <c r="BT462" s="1" t="str">
        <f>HYPERLINK("https%3A%2F%2Fwww.webofscience.com%2Fwos%2Fwoscc%2Ffull-record%2FWOS:001657902500001","View Full Record in Web of Science")</f>
        <v>View Full Record in Web of Science</v>
      </c>
    </row>
    <row r="463" ht="12.75" customHeight="1">
      <c r="A463" s="1" t="s">
        <v>72</v>
      </c>
      <c r="B463" s="1" t="s">
        <v>4335</v>
      </c>
      <c r="C463" s="1" t="s">
        <v>74</v>
      </c>
      <c r="D463" s="1" t="s">
        <v>74</v>
      </c>
      <c r="E463" s="1" t="s">
        <v>74</v>
      </c>
      <c r="F463" s="1" t="s">
        <v>4336</v>
      </c>
      <c r="G463" s="1" t="s">
        <v>74</v>
      </c>
      <c r="H463" s="1" t="s">
        <v>74</v>
      </c>
      <c r="I463" s="1" t="s">
        <v>4337</v>
      </c>
      <c r="J463" s="1" t="s">
        <v>239</v>
      </c>
      <c r="K463" s="1" t="s">
        <v>74</v>
      </c>
      <c r="L463" s="1" t="s">
        <v>74</v>
      </c>
      <c r="M463" s="1" t="s">
        <v>74</v>
      </c>
      <c r="N463" s="1" t="s">
        <v>78</v>
      </c>
      <c r="O463" s="1" t="s">
        <v>74</v>
      </c>
      <c r="P463" s="1" t="s">
        <v>74</v>
      </c>
      <c r="Q463" s="1" t="s">
        <v>74</v>
      </c>
      <c r="R463" s="1" t="s">
        <v>74</v>
      </c>
      <c r="S463" s="1" t="s">
        <v>74</v>
      </c>
      <c r="T463" s="1" t="s">
        <v>4338</v>
      </c>
      <c r="U463" s="1" t="s">
        <v>2281</v>
      </c>
      <c r="V463" s="1" t="s">
        <v>4339</v>
      </c>
      <c r="W463" s="1" t="s">
        <v>74</v>
      </c>
      <c r="X463" s="1" t="s">
        <v>74</v>
      </c>
      <c r="Y463" s="1" t="s">
        <v>74</v>
      </c>
      <c r="Z463" s="1" t="s">
        <v>74</v>
      </c>
      <c r="AA463" s="1" t="s">
        <v>74</v>
      </c>
      <c r="AB463" s="1" t="s">
        <v>74</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242</v>
      </c>
      <c r="AP463" s="1" t="s">
        <v>74</v>
      </c>
      <c r="AQ463" s="1" t="s">
        <v>74</v>
      </c>
      <c r="AR463" s="1" t="s">
        <v>74</v>
      </c>
      <c r="AS463" s="1" t="s">
        <v>74</v>
      </c>
      <c r="AT463" s="1" t="s">
        <v>736</v>
      </c>
      <c r="AU463" s="1">
        <v>2025.0</v>
      </c>
      <c r="AV463" s="1">
        <v>14.0</v>
      </c>
      <c r="AW463" s="1">
        <v>2.0</v>
      </c>
      <c r="AX463" s="1" t="s">
        <v>74</v>
      </c>
      <c r="AY463" s="1" t="s">
        <v>74</v>
      </c>
      <c r="AZ463" s="1" t="s">
        <v>74</v>
      </c>
      <c r="BA463" s="1" t="s">
        <v>74</v>
      </c>
      <c r="BB463" s="1" t="s">
        <v>74</v>
      </c>
      <c r="BC463" s="1" t="s">
        <v>74</v>
      </c>
      <c r="BD463" s="1">
        <v>256.0</v>
      </c>
      <c r="BE463" s="1" t="s">
        <v>4340</v>
      </c>
      <c r="BF463" s="2" t="str">
        <f>HYPERLINK("http://dx.doi.org/10.3390/electronics14020256","http://dx.doi.org/10.3390/electronics14020256")</f>
        <v>http://dx.doi.org/10.3390/electronics14020256</v>
      </c>
      <c r="BG463" s="1" t="s">
        <v>74</v>
      </c>
      <c r="BH463" s="1" t="s">
        <v>74</v>
      </c>
      <c r="BI463" s="1" t="s">
        <v>74</v>
      </c>
      <c r="BJ463" s="1" t="s">
        <v>74</v>
      </c>
      <c r="BK463" s="1" t="s">
        <v>74</v>
      </c>
      <c r="BL463" s="1" t="s">
        <v>244</v>
      </c>
      <c r="BM463" s="1" t="s">
        <v>74</v>
      </c>
      <c r="BN463" s="1" t="s">
        <v>74</v>
      </c>
      <c r="BO463" s="1" t="s">
        <v>153</v>
      </c>
      <c r="BP463" s="1" t="s">
        <v>74</v>
      </c>
      <c r="BQ463" s="1" t="s">
        <v>74</v>
      </c>
      <c r="BR463" s="1" t="s">
        <v>74</v>
      </c>
      <c r="BS463" s="1" t="s">
        <v>4341</v>
      </c>
      <c r="BT463" s="1" t="str">
        <f>HYPERLINK("https%3A%2F%2Fwww.webofscience.com%2Fwos%2Fwoscc%2Ffull-record%2FWOS:001405224300001","View Full Record in Web of Science")</f>
        <v>View Full Record in Web of Science</v>
      </c>
    </row>
    <row r="464" ht="12.75" customHeight="1">
      <c r="A464" s="1" t="s">
        <v>72</v>
      </c>
      <c r="B464" s="1" t="s">
        <v>4342</v>
      </c>
      <c r="C464" s="1" t="s">
        <v>74</v>
      </c>
      <c r="D464" s="1" t="s">
        <v>74</v>
      </c>
      <c r="E464" s="1" t="s">
        <v>74</v>
      </c>
      <c r="F464" s="1" t="s">
        <v>4343</v>
      </c>
      <c r="G464" s="1" t="s">
        <v>74</v>
      </c>
      <c r="H464" s="1" t="s">
        <v>74</v>
      </c>
      <c r="I464" s="1" t="s">
        <v>4344</v>
      </c>
      <c r="J464" s="1" t="s">
        <v>4345</v>
      </c>
      <c r="K464" s="1" t="s">
        <v>74</v>
      </c>
      <c r="L464" s="1" t="s">
        <v>74</v>
      </c>
      <c r="M464" s="1" t="s">
        <v>74</v>
      </c>
      <c r="N464" s="1" t="s">
        <v>78</v>
      </c>
      <c r="O464" s="1" t="s">
        <v>74</v>
      </c>
      <c r="P464" s="1" t="s">
        <v>74</v>
      </c>
      <c r="Q464" s="1" t="s">
        <v>74</v>
      </c>
      <c r="R464" s="1" t="s">
        <v>74</v>
      </c>
      <c r="S464" s="1" t="s">
        <v>74</v>
      </c>
      <c r="T464" s="1" t="s">
        <v>4346</v>
      </c>
      <c r="U464" s="1" t="s">
        <v>4347</v>
      </c>
      <c r="V464" s="1" t="s">
        <v>4348</v>
      </c>
      <c r="W464" s="1" t="s">
        <v>74</v>
      </c>
      <c r="X464" s="1" t="s">
        <v>74</v>
      </c>
      <c r="Y464" s="1" t="s">
        <v>74</v>
      </c>
      <c r="Z464" s="1" t="s">
        <v>74</v>
      </c>
      <c r="AA464" s="1" t="s">
        <v>74</v>
      </c>
      <c r="AB464" s="1" t="s">
        <v>74</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4349</v>
      </c>
      <c r="AP464" s="1" t="s">
        <v>4350</v>
      </c>
      <c r="AQ464" s="1" t="s">
        <v>74</v>
      </c>
      <c r="AR464" s="1" t="s">
        <v>74</v>
      </c>
      <c r="AS464" s="1" t="s">
        <v>74</v>
      </c>
      <c r="AT464" s="1" t="s">
        <v>139</v>
      </c>
      <c r="AU464" s="1">
        <v>2025.0</v>
      </c>
      <c r="AV464" s="1">
        <v>16.0</v>
      </c>
      <c r="AW464" s="1">
        <v>1.0</v>
      </c>
      <c r="AX464" s="1" t="s">
        <v>74</v>
      </c>
      <c r="AY464" s="1" t="s">
        <v>74</v>
      </c>
      <c r="AZ464" s="1" t="s">
        <v>74</v>
      </c>
      <c r="BA464" s="1" t="s">
        <v>74</v>
      </c>
      <c r="BB464" s="1" t="s">
        <v>74</v>
      </c>
      <c r="BC464" s="1" t="s">
        <v>74</v>
      </c>
      <c r="BD464" s="1">
        <v>4.0</v>
      </c>
      <c r="BE464" s="1" t="s">
        <v>4351</v>
      </c>
      <c r="BF464" s="2" t="str">
        <f>HYPERLINK("http://dx.doi.org/10.1145/3705734","http://dx.doi.org/10.1145/3705734")</f>
        <v>http://dx.doi.org/10.1145/3705734</v>
      </c>
      <c r="BG464" s="1" t="s">
        <v>74</v>
      </c>
      <c r="BH464" s="1" t="s">
        <v>74</v>
      </c>
      <c r="BI464" s="1" t="s">
        <v>74</v>
      </c>
      <c r="BJ464" s="1" t="s">
        <v>74</v>
      </c>
      <c r="BK464" s="1" t="s">
        <v>74</v>
      </c>
      <c r="BL464" s="1" t="s">
        <v>174</v>
      </c>
      <c r="BM464" s="1" t="s">
        <v>74</v>
      </c>
      <c r="BN464" s="1" t="s">
        <v>74</v>
      </c>
      <c r="BO464" s="1" t="s">
        <v>114</v>
      </c>
      <c r="BP464" s="1" t="s">
        <v>74</v>
      </c>
      <c r="BQ464" s="1" t="s">
        <v>74</v>
      </c>
      <c r="BR464" s="1" t="s">
        <v>74</v>
      </c>
      <c r="BS464" s="1" t="s">
        <v>4352</v>
      </c>
      <c r="BT464" s="1" t="str">
        <f>HYPERLINK("https%3A%2F%2Fwww.webofscience.com%2Fwos%2Fwoscc%2Ffull-record%2FWOS:001432152000005","View Full Record in Web of Science")</f>
        <v>View Full Record in Web of Science</v>
      </c>
    </row>
    <row r="465" ht="12.75" customHeight="1">
      <c r="A465" s="1" t="s">
        <v>72</v>
      </c>
      <c r="B465" s="1" t="s">
        <v>4353</v>
      </c>
      <c r="C465" s="1" t="s">
        <v>74</v>
      </c>
      <c r="D465" s="1" t="s">
        <v>74</v>
      </c>
      <c r="E465" s="1" t="s">
        <v>74</v>
      </c>
      <c r="F465" s="1" t="s">
        <v>4354</v>
      </c>
      <c r="G465" s="1" t="s">
        <v>74</v>
      </c>
      <c r="H465" s="1" t="s">
        <v>74</v>
      </c>
      <c r="I465" s="1" t="s">
        <v>4355</v>
      </c>
      <c r="J465" s="1" t="s">
        <v>2961</v>
      </c>
      <c r="K465" s="1" t="s">
        <v>74</v>
      </c>
      <c r="L465" s="1" t="s">
        <v>74</v>
      </c>
      <c r="M465" s="1" t="s">
        <v>74</v>
      </c>
      <c r="N465" s="1" t="s">
        <v>78</v>
      </c>
      <c r="O465" s="1" t="s">
        <v>74</v>
      </c>
      <c r="P465" s="1" t="s">
        <v>74</v>
      </c>
      <c r="Q465" s="1" t="s">
        <v>74</v>
      </c>
      <c r="R465" s="1" t="s">
        <v>74</v>
      </c>
      <c r="S465" s="1" t="s">
        <v>74</v>
      </c>
      <c r="T465" s="1" t="s">
        <v>4356</v>
      </c>
      <c r="U465" s="1" t="s">
        <v>74</v>
      </c>
      <c r="V465" s="1" t="s">
        <v>4357</v>
      </c>
      <c r="W465" s="1" t="s">
        <v>74</v>
      </c>
      <c r="X465" s="1" t="s">
        <v>74</v>
      </c>
      <c r="Y465" s="1" t="s">
        <v>74</v>
      </c>
      <c r="Z465" s="1" t="s">
        <v>74</v>
      </c>
      <c r="AA465" s="1" t="s">
        <v>74</v>
      </c>
      <c r="AB465" s="1" t="s">
        <v>74</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2964</v>
      </c>
      <c r="AP465" s="1" t="s">
        <v>2965</v>
      </c>
      <c r="AQ465" s="1" t="s">
        <v>74</v>
      </c>
      <c r="AR465" s="1" t="s">
        <v>74</v>
      </c>
      <c r="AS465" s="1" t="s">
        <v>74</v>
      </c>
      <c r="AT465" s="1" t="s">
        <v>172</v>
      </c>
      <c r="AU465" s="1">
        <v>2025.0</v>
      </c>
      <c r="AV465" s="1">
        <v>8.0</v>
      </c>
      <c r="AW465" s="1">
        <v>6.0</v>
      </c>
      <c r="AX465" s="1" t="s">
        <v>74</v>
      </c>
      <c r="AY465" s="1" t="s">
        <v>74</v>
      </c>
      <c r="AZ465" s="1" t="s">
        <v>74</v>
      </c>
      <c r="BA465" s="1" t="s">
        <v>74</v>
      </c>
      <c r="BB465" s="1">
        <v>24.0</v>
      </c>
      <c r="BC465" s="1">
        <v>33.0</v>
      </c>
      <c r="BD465" s="1" t="s">
        <v>74</v>
      </c>
      <c r="BE465" s="1" t="s">
        <v>4358</v>
      </c>
      <c r="BF465" s="2" t="str">
        <f>HYPERLINK("http://dx.doi.org/10.1109/MIOT.2025.3583128","http://dx.doi.org/10.1109/MIOT.2025.3583128")</f>
        <v>http://dx.doi.org/10.1109/MIOT.2025.3583128</v>
      </c>
      <c r="BG465" s="1" t="s">
        <v>74</v>
      </c>
      <c r="BH465" s="1" t="s">
        <v>74</v>
      </c>
      <c r="BI465" s="1" t="s">
        <v>74</v>
      </c>
      <c r="BJ465" s="1" t="s">
        <v>74</v>
      </c>
      <c r="BK465" s="1" t="s">
        <v>74</v>
      </c>
      <c r="BL465" s="1" t="s">
        <v>152</v>
      </c>
      <c r="BM465" s="1" t="s">
        <v>74</v>
      </c>
      <c r="BN465" s="1" t="s">
        <v>74</v>
      </c>
      <c r="BO465" s="1" t="s">
        <v>74</v>
      </c>
      <c r="BP465" s="1" t="s">
        <v>74</v>
      </c>
      <c r="BQ465" s="1" t="s">
        <v>74</v>
      </c>
      <c r="BR465" s="1" t="s">
        <v>74</v>
      </c>
      <c r="BS465" s="1" t="s">
        <v>4359</v>
      </c>
      <c r="BT465" s="1" t="str">
        <f>HYPERLINK("https%3A%2F%2Fwww.webofscience.com%2Fwos%2Fwoscc%2Ffull-record%2FWOS:001635051700009","View Full Record in Web of Science")</f>
        <v>View Full Record in Web of Science</v>
      </c>
    </row>
    <row r="466" ht="12.75" customHeight="1">
      <c r="A466" s="1" t="s">
        <v>72</v>
      </c>
      <c r="B466" s="1" t="s">
        <v>4360</v>
      </c>
      <c r="C466" s="1" t="s">
        <v>74</v>
      </c>
      <c r="D466" s="1" t="s">
        <v>74</v>
      </c>
      <c r="E466" s="1" t="s">
        <v>74</v>
      </c>
      <c r="F466" s="1" t="s">
        <v>4361</v>
      </c>
      <c r="G466" s="1" t="s">
        <v>74</v>
      </c>
      <c r="H466" s="1" t="s">
        <v>74</v>
      </c>
      <c r="I466" s="1" t="s">
        <v>4362</v>
      </c>
      <c r="J466" s="1" t="s">
        <v>147</v>
      </c>
      <c r="K466" s="1" t="s">
        <v>74</v>
      </c>
      <c r="L466" s="1" t="s">
        <v>74</v>
      </c>
      <c r="M466" s="1" t="s">
        <v>74</v>
      </c>
      <c r="N466" s="1" t="s">
        <v>78</v>
      </c>
      <c r="O466" s="1" t="s">
        <v>74</v>
      </c>
      <c r="P466" s="1" t="s">
        <v>74</v>
      </c>
      <c r="Q466" s="1" t="s">
        <v>74</v>
      </c>
      <c r="R466" s="1" t="s">
        <v>74</v>
      </c>
      <c r="S466" s="1" t="s">
        <v>74</v>
      </c>
      <c r="T466" s="1" t="s">
        <v>4363</v>
      </c>
      <c r="U466" s="1" t="s">
        <v>74</v>
      </c>
      <c r="V466" s="1" t="s">
        <v>4364</v>
      </c>
      <c r="W466" s="1" t="s">
        <v>74</v>
      </c>
      <c r="X466" s="1" t="s">
        <v>74</v>
      </c>
      <c r="Y466" s="1" t="s">
        <v>74</v>
      </c>
      <c r="Z466" s="1" t="s">
        <v>74</v>
      </c>
      <c r="AA466" s="1" t="s">
        <v>74</v>
      </c>
      <c r="AB466" s="1" t="s">
        <v>74</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150</v>
      </c>
      <c r="AP466" s="1" t="s">
        <v>74</v>
      </c>
      <c r="AQ466" s="1" t="s">
        <v>74</v>
      </c>
      <c r="AR466" s="1" t="s">
        <v>74</v>
      </c>
      <c r="AS466" s="1" t="s">
        <v>74</v>
      </c>
      <c r="AT466" s="1" t="s">
        <v>74</v>
      </c>
      <c r="AU466" s="1">
        <v>2024.0</v>
      </c>
      <c r="AV466" s="1">
        <v>12.0</v>
      </c>
      <c r="AW466" s="1" t="s">
        <v>74</v>
      </c>
      <c r="AX466" s="1" t="s">
        <v>74</v>
      </c>
      <c r="AY466" s="1" t="s">
        <v>74</v>
      </c>
      <c r="AZ466" s="1" t="s">
        <v>74</v>
      </c>
      <c r="BA466" s="1" t="s">
        <v>74</v>
      </c>
      <c r="BB466" s="1">
        <v>48145.0</v>
      </c>
      <c r="BC466" s="1">
        <v>48157.0</v>
      </c>
      <c r="BD466" s="1" t="s">
        <v>74</v>
      </c>
      <c r="BE466" s="1" t="s">
        <v>4365</v>
      </c>
      <c r="BF466" s="2" t="str">
        <f>HYPERLINK("http://dx.doi.org/10.1109/ACCESS.2024.3373470","http://dx.doi.org/10.1109/ACCESS.2024.3373470")</f>
        <v>http://dx.doi.org/10.1109/ACCESS.2024.3373470</v>
      </c>
      <c r="BG466" s="1" t="s">
        <v>74</v>
      </c>
      <c r="BH466" s="1" t="s">
        <v>74</v>
      </c>
      <c r="BI466" s="1" t="s">
        <v>74</v>
      </c>
      <c r="BJ466" s="1" t="s">
        <v>74</v>
      </c>
      <c r="BK466" s="1" t="s">
        <v>74</v>
      </c>
      <c r="BL466" s="1" t="s">
        <v>152</v>
      </c>
      <c r="BM466" s="1" t="s">
        <v>74</v>
      </c>
      <c r="BN466" s="1" t="s">
        <v>74</v>
      </c>
      <c r="BO466" s="1" t="s">
        <v>153</v>
      </c>
      <c r="BP466" s="1" t="s">
        <v>74</v>
      </c>
      <c r="BQ466" s="1" t="s">
        <v>74</v>
      </c>
      <c r="BR466" s="1" t="s">
        <v>74</v>
      </c>
      <c r="BS466" s="1" t="s">
        <v>4366</v>
      </c>
      <c r="BT466" s="1" t="str">
        <f>HYPERLINK("https%3A%2F%2Fwww.webofscience.com%2Fwos%2Fwoscc%2Ffull-record%2FWOS:001197754800001","View Full Record in Web of Science")</f>
        <v>View Full Record in Web of Science</v>
      </c>
    </row>
    <row r="467" ht="12.75" customHeight="1">
      <c r="A467" s="1" t="s">
        <v>72</v>
      </c>
      <c r="B467" s="1" t="s">
        <v>4367</v>
      </c>
      <c r="C467" s="1" t="s">
        <v>74</v>
      </c>
      <c r="D467" s="1" t="s">
        <v>74</v>
      </c>
      <c r="E467" s="1" t="s">
        <v>74</v>
      </c>
      <c r="F467" s="1" t="s">
        <v>4368</v>
      </c>
      <c r="G467" s="1" t="s">
        <v>74</v>
      </c>
      <c r="H467" s="1" t="s">
        <v>74</v>
      </c>
      <c r="I467" s="1" t="s">
        <v>4369</v>
      </c>
      <c r="J467" s="1" t="s">
        <v>519</v>
      </c>
      <c r="K467" s="1" t="s">
        <v>74</v>
      </c>
      <c r="L467" s="1" t="s">
        <v>74</v>
      </c>
      <c r="M467" s="1" t="s">
        <v>74</v>
      </c>
      <c r="N467" s="1" t="s">
        <v>78</v>
      </c>
      <c r="O467" s="1" t="s">
        <v>74</v>
      </c>
      <c r="P467" s="1" t="s">
        <v>74</v>
      </c>
      <c r="Q467" s="1" t="s">
        <v>74</v>
      </c>
      <c r="R467" s="1" t="s">
        <v>74</v>
      </c>
      <c r="S467" s="1" t="s">
        <v>74</v>
      </c>
      <c r="T467" s="1" t="s">
        <v>4370</v>
      </c>
      <c r="U467" s="1" t="s">
        <v>4371</v>
      </c>
      <c r="V467" s="1" t="s">
        <v>4372</v>
      </c>
      <c r="W467" s="1" t="s">
        <v>74</v>
      </c>
      <c r="X467" s="1" t="s">
        <v>74</v>
      </c>
      <c r="Y467" s="1" t="s">
        <v>74</v>
      </c>
      <c r="Z467" s="1" t="s">
        <v>74</v>
      </c>
      <c r="AA467" s="1" t="s">
        <v>74</v>
      </c>
      <c r="AB467" s="1" t="s">
        <v>74</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523</v>
      </c>
      <c r="AP467" s="1" t="s">
        <v>524</v>
      </c>
      <c r="AQ467" s="1" t="s">
        <v>74</v>
      </c>
      <c r="AR467" s="1" t="s">
        <v>74</v>
      </c>
      <c r="AS467" s="1" t="s">
        <v>74</v>
      </c>
      <c r="AT467" s="1" t="s">
        <v>357</v>
      </c>
      <c r="AU467" s="1">
        <v>2025.0</v>
      </c>
      <c r="AV467" s="1">
        <v>122.0</v>
      </c>
      <c r="AW467" s="1" t="s">
        <v>74</v>
      </c>
      <c r="AX467" s="1" t="s">
        <v>74</v>
      </c>
      <c r="AY467" s="1" t="s">
        <v>74</v>
      </c>
      <c r="AZ467" s="1" t="s">
        <v>74</v>
      </c>
      <c r="BA467" s="1" t="s">
        <v>74</v>
      </c>
      <c r="BB467" s="1" t="s">
        <v>74</v>
      </c>
      <c r="BC467" s="1" t="s">
        <v>74</v>
      </c>
      <c r="BD467" s="1">
        <v>103198.0</v>
      </c>
      <c r="BE467" s="1" t="s">
        <v>4373</v>
      </c>
      <c r="BF467" s="2" t="str">
        <f>HYPERLINK("http://dx.doi.org/10.1016/j.inffus.2025.103198","http://dx.doi.org/10.1016/j.inffus.2025.103198")</f>
        <v>http://dx.doi.org/10.1016/j.inffus.2025.103198</v>
      </c>
      <c r="BG467" s="1" t="s">
        <v>74</v>
      </c>
      <c r="BH467" s="1" t="s">
        <v>526</v>
      </c>
      <c r="BI467" s="1" t="s">
        <v>74</v>
      </c>
      <c r="BJ467" s="1" t="s">
        <v>74</v>
      </c>
      <c r="BK467" s="1" t="s">
        <v>74</v>
      </c>
      <c r="BL467" s="1" t="s">
        <v>174</v>
      </c>
      <c r="BM467" s="1" t="s">
        <v>74</v>
      </c>
      <c r="BN467" s="1" t="s">
        <v>74</v>
      </c>
      <c r="BO467" s="1" t="s">
        <v>74</v>
      </c>
      <c r="BP467" s="1" t="s">
        <v>74</v>
      </c>
      <c r="BQ467" s="1" t="s">
        <v>74</v>
      </c>
      <c r="BR467" s="1" t="s">
        <v>74</v>
      </c>
      <c r="BS467" s="1" t="s">
        <v>4374</v>
      </c>
      <c r="BT467" s="1" t="str">
        <f>HYPERLINK("https%3A%2F%2Fwww.webofscience.com%2Fwos%2Fwoscc%2Ffull-record%2FWOS:001479961800001","View Full Record in Web of Science")</f>
        <v>View Full Record in Web of Science</v>
      </c>
    </row>
    <row r="468" ht="12.75" customHeight="1">
      <c r="A468" s="1" t="s">
        <v>72</v>
      </c>
      <c r="B468" s="1" t="s">
        <v>4375</v>
      </c>
      <c r="C468" s="1" t="s">
        <v>74</v>
      </c>
      <c r="D468" s="1" t="s">
        <v>74</v>
      </c>
      <c r="E468" s="1" t="s">
        <v>74</v>
      </c>
      <c r="F468" s="1" t="s">
        <v>4376</v>
      </c>
      <c r="G468" s="1" t="s">
        <v>74</v>
      </c>
      <c r="H468" s="1" t="s">
        <v>74</v>
      </c>
      <c r="I468" s="1" t="s">
        <v>4377</v>
      </c>
      <c r="J468" s="1" t="s">
        <v>239</v>
      </c>
      <c r="K468" s="1" t="s">
        <v>74</v>
      </c>
      <c r="L468" s="1" t="s">
        <v>74</v>
      </c>
      <c r="M468" s="1" t="s">
        <v>74</v>
      </c>
      <c r="N468" s="1" t="s">
        <v>78</v>
      </c>
      <c r="O468" s="1" t="s">
        <v>74</v>
      </c>
      <c r="P468" s="1" t="s">
        <v>74</v>
      </c>
      <c r="Q468" s="1" t="s">
        <v>74</v>
      </c>
      <c r="R468" s="1" t="s">
        <v>74</v>
      </c>
      <c r="S468" s="1" t="s">
        <v>74</v>
      </c>
      <c r="T468" s="1" t="s">
        <v>4378</v>
      </c>
      <c r="U468" s="1" t="s">
        <v>74</v>
      </c>
      <c r="V468" s="1" t="s">
        <v>4379</v>
      </c>
      <c r="W468" s="1" t="s">
        <v>74</v>
      </c>
      <c r="X468" s="1" t="s">
        <v>74</v>
      </c>
      <c r="Y468" s="1" t="s">
        <v>74</v>
      </c>
      <c r="Z468" s="1" t="s">
        <v>74</v>
      </c>
      <c r="AA468" s="1" t="s">
        <v>74</v>
      </c>
      <c r="AB468" s="1" t="s">
        <v>74</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242</v>
      </c>
      <c r="AP468" s="1" t="s">
        <v>74</v>
      </c>
      <c r="AQ468" s="1" t="s">
        <v>74</v>
      </c>
      <c r="AR468" s="1" t="s">
        <v>74</v>
      </c>
      <c r="AS468" s="1" t="s">
        <v>74</v>
      </c>
      <c r="AT468" s="1" t="s">
        <v>657</v>
      </c>
      <c r="AU468" s="1">
        <v>2025.0</v>
      </c>
      <c r="AV468" s="1">
        <v>14.0</v>
      </c>
      <c r="AW468" s="1">
        <v>6.0</v>
      </c>
      <c r="AX468" s="1" t="s">
        <v>74</v>
      </c>
      <c r="AY468" s="1" t="s">
        <v>74</v>
      </c>
      <c r="AZ468" s="1" t="s">
        <v>74</v>
      </c>
      <c r="BA468" s="1" t="s">
        <v>74</v>
      </c>
      <c r="BB468" s="1" t="s">
        <v>74</v>
      </c>
      <c r="BC468" s="1" t="s">
        <v>74</v>
      </c>
      <c r="BD468" s="1">
        <v>1070.0</v>
      </c>
      <c r="BE468" s="1" t="s">
        <v>4380</v>
      </c>
      <c r="BF468" s="2" t="str">
        <f>HYPERLINK("http://dx.doi.org/10.3390/electronics14061070","http://dx.doi.org/10.3390/electronics14061070")</f>
        <v>http://dx.doi.org/10.3390/electronics14061070</v>
      </c>
      <c r="BG468" s="1" t="s">
        <v>74</v>
      </c>
      <c r="BH468" s="1" t="s">
        <v>74</v>
      </c>
      <c r="BI468" s="1" t="s">
        <v>74</v>
      </c>
      <c r="BJ468" s="1" t="s">
        <v>74</v>
      </c>
      <c r="BK468" s="1" t="s">
        <v>74</v>
      </c>
      <c r="BL468" s="1" t="s">
        <v>244</v>
      </c>
      <c r="BM468" s="1" t="s">
        <v>74</v>
      </c>
      <c r="BN468" s="1" t="s">
        <v>74</v>
      </c>
      <c r="BO468" s="1" t="s">
        <v>163</v>
      </c>
      <c r="BP468" s="1" t="s">
        <v>74</v>
      </c>
      <c r="BQ468" s="1" t="s">
        <v>74</v>
      </c>
      <c r="BR468" s="1" t="s">
        <v>74</v>
      </c>
      <c r="BS468" s="1" t="s">
        <v>4381</v>
      </c>
      <c r="BT468" s="1" t="str">
        <f>HYPERLINK("https%3A%2F%2Fwww.webofscience.com%2Fwos%2Fwoscc%2Ffull-record%2FWOS:001453787700001","View Full Record in Web of Science")</f>
        <v>View Full Record in Web of Science</v>
      </c>
    </row>
    <row r="469" ht="12.75" customHeight="1">
      <c r="A469" s="1" t="s">
        <v>72</v>
      </c>
      <c r="B469" s="1" t="s">
        <v>4382</v>
      </c>
      <c r="C469" s="1" t="s">
        <v>74</v>
      </c>
      <c r="D469" s="1" t="s">
        <v>74</v>
      </c>
      <c r="E469" s="1" t="s">
        <v>74</v>
      </c>
      <c r="F469" s="1" t="s">
        <v>4383</v>
      </c>
      <c r="G469" s="1" t="s">
        <v>74</v>
      </c>
      <c r="H469" s="1" t="s">
        <v>74</v>
      </c>
      <c r="I469" s="1" t="s">
        <v>4384</v>
      </c>
      <c r="J469" s="1" t="s">
        <v>147</v>
      </c>
      <c r="K469" s="1" t="s">
        <v>74</v>
      </c>
      <c r="L469" s="1" t="s">
        <v>74</v>
      </c>
      <c r="M469" s="1" t="s">
        <v>74</v>
      </c>
      <c r="N469" s="1" t="s">
        <v>78</v>
      </c>
      <c r="O469" s="1" t="s">
        <v>74</v>
      </c>
      <c r="P469" s="1" t="s">
        <v>74</v>
      </c>
      <c r="Q469" s="1" t="s">
        <v>74</v>
      </c>
      <c r="R469" s="1" t="s">
        <v>74</v>
      </c>
      <c r="S469" s="1" t="s">
        <v>74</v>
      </c>
      <c r="T469" s="1" t="s">
        <v>4385</v>
      </c>
      <c r="U469" s="1" t="s">
        <v>4386</v>
      </c>
      <c r="V469" s="1" t="s">
        <v>4387</v>
      </c>
      <c r="W469" s="1" t="s">
        <v>74</v>
      </c>
      <c r="X469" s="1" t="s">
        <v>74</v>
      </c>
      <c r="Y469" s="1" t="s">
        <v>74</v>
      </c>
      <c r="Z469" s="1" t="s">
        <v>74</v>
      </c>
      <c r="AA469" s="1" t="s">
        <v>74</v>
      </c>
      <c r="AB469" s="1" t="s">
        <v>74</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150</v>
      </c>
      <c r="AP469" s="1" t="s">
        <v>74</v>
      </c>
      <c r="AQ469" s="1" t="s">
        <v>74</v>
      </c>
      <c r="AR469" s="1" t="s">
        <v>74</v>
      </c>
      <c r="AS469" s="1" t="s">
        <v>74</v>
      </c>
      <c r="AT469" s="1" t="s">
        <v>74</v>
      </c>
      <c r="AU469" s="1">
        <v>2025.0</v>
      </c>
      <c r="AV469" s="1">
        <v>13.0</v>
      </c>
      <c r="AW469" s="1" t="s">
        <v>74</v>
      </c>
      <c r="AX469" s="1" t="s">
        <v>74</v>
      </c>
      <c r="AY469" s="1" t="s">
        <v>74</v>
      </c>
      <c r="AZ469" s="1" t="s">
        <v>74</v>
      </c>
      <c r="BA469" s="1" t="s">
        <v>74</v>
      </c>
      <c r="BB469" s="1">
        <v>44650.0</v>
      </c>
      <c r="BC469" s="1">
        <v>44661.0</v>
      </c>
      <c r="BD469" s="1" t="s">
        <v>74</v>
      </c>
      <c r="BE469" s="1" t="s">
        <v>4388</v>
      </c>
      <c r="BF469" s="2" t="str">
        <f>HYPERLINK("http://dx.doi.org/10.1109/ACCESS.2025.3549529","http://dx.doi.org/10.1109/ACCESS.2025.3549529")</f>
        <v>http://dx.doi.org/10.1109/ACCESS.2025.3549529</v>
      </c>
      <c r="BG469" s="1" t="s">
        <v>74</v>
      </c>
      <c r="BH469" s="1" t="s">
        <v>74</v>
      </c>
      <c r="BI469" s="1" t="s">
        <v>74</v>
      </c>
      <c r="BJ469" s="1" t="s">
        <v>74</v>
      </c>
      <c r="BK469" s="1" t="s">
        <v>74</v>
      </c>
      <c r="BL469" s="1" t="s">
        <v>152</v>
      </c>
      <c r="BM469" s="1" t="s">
        <v>74</v>
      </c>
      <c r="BN469" s="1" t="s">
        <v>74</v>
      </c>
      <c r="BO469" s="1" t="s">
        <v>153</v>
      </c>
      <c r="BP469" s="1" t="s">
        <v>74</v>
      </c>
      <c r="BQ469" s="1" t="s">
        <v>74</v>
      </c>
      <c r="BR469" s="1" t="s">
        <v>74</v>
      </c>
      <c r="BS469" s="1" t="s">
        <v>4389</v>
      </c>
      <c r="BT469" s="1" t="str">
        <f>HYPERLINK("https%3A%2F%2Fwww.webofscience.com%2Fwos%2Fwoscc%2Ffull-record%2FWOS:001445059300012","View Full Record in Web of Science")</f>
        <v>View Full Record in Web of Science</v>
      </c>
    </row>
    <row r="470" ht="12.75" customHeight="1">
      <c r="A470" s="1" t="s">
        <v>72</v>
      </c>
      <c r="B470" s="1" t="s">
        <v>4390</v>
      </c>
      <c r="C470" s="1" t="s">
        <v>74</v>
      </c>
      <c r="D470" s="1" t="s">
        <v>74</v>
      </c>
      <c r="E470" s="1" t="s">
        <v>74</v>
      </c>
      <c r="F470" s="1" t="s">
        <v>4391</v>
      </c>
      <c r="G470" s="1" t="s">
        <v>74</v>
      </c>
      <c r="H470" s="1" t="s">
        <v>74</v>
      </c>
      <c r="I470" s="1" t="s">
        <v>4392</v>
      </c>
      <c r="J470" s="1" t="s">
        <v>2305</v>
      </c>
      <c r="K470" s="1" t="s">
        <v>74</v>
      </c>
      <c r="L470" s="1" t="s">
        <v>74</v>
      </c>
      <c r="M470" s="1" t="s">
        <v>74</v>
      </c>
      <c r="N470" s="1" t="s">
        <v>78</v>
      </c>
      <c r="O470" s="1" t="s">
        <v>74</v>
      </c>
      <c r="P470" s="1" t="s">
        <v>74</v>
      </c>
      <c r="Q470" s="1" t="s">
        <v>74</v>
      </c>
      <c r="R470" s="1" t="s">
        <v>74</v>
      </c>
      <c r="S470" s="1" t="s">
        <v>74</v>
      </c>
      <c r="T470" s="1" t="s">
        <v>4393</v>
      </c>
      <c r="U470" s="1" t="s">
        <v>74</v>
      </c>
      <c r="V470" s="1" t="s">
        <v>4394</v>
      </c>
      <c r="W470" s="1" t="s">
        <v>74</v>
      </c>
      <c r="X470" s="1" t="s">
        <v>74</v>
      </c>
      <c r="Y470" s="1" t="s">
        <v>74</v>
      </c>
      <c r="Z470" s="1" t="s">
        <v>74</v>
      </c>
      <c r="AA470" s="1" t="s">
        <v>74</v>
      </c>
      <c r="AB470" s="1" t="s">
        <v>74</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2308</v>
      </c>
      <c r="AP470" s="1" t="s">
        <v>2309</v>
      </c>
      <c r="AQ470" s="1" t="s">
        <v>74</v>
      </c>
      <c r="AR470" s="1" t="s">
        <v>74</v>
      </c>
      <c r="AS470" s="1" t="s">
        <v>74</v>
      </c>
      <c r="AT470" s="1" t="s">
        <v>464</v>
      </c>
      <c r="AU470" s="1">
        <v>2025.0</v>
      </c>
      <c r="AV470" s="1">
        <v>63.0</v>
      </c>
      <c r="AW470" s="1">
        <v>4.0</v>
      </c>
      <c r="AX470" s="1" t="s">
        <v>74</v>
      </c>
      <c r="AY470" s="1" t="s">
        <v>74</v>
      </c>
      <c r="AZ470" s="1" t="s">
        <v>74</v>
      </c>
      <c r="BA470" s="1" t="s">
        <v>74</v>
      </c>
      <c r="BB470" s="1">
        <v>1287.0</v>
      </c>
      <c r="BC470" s="1">
        <v>1337.0</v>
      </c>
      <c r="BD470" s="1" t="s">
        <v>74</v>
      </c>
      <c r="BE470" s="1" t="s">
        <v>4395</v>
      </c>
      <c r="BF470" s="2" t="str">
        <f>HYPERLINK("http://dx.doi.org/10.1007/s10844-025-00940-w","http://dx.doi.org/10.1007/s10844-025-00940-w")</f>
        <v>http://dx.doi.org/10.1007/s10844-025-00940-w</v>
      </c>
      <c r="BG470" s="1" t="s">
        <v>74</v>
      </c>
      <c r="BH470" s="1" t="s">
        <v>526</v>
      </c>
      <c r="BI470" s="1" t="s">
        <v>74</v>
      </c>
      <c r="BJ470" s="1" t="s">
        <v>74</v>
      </c>
      <c r="BK470" s="1" t="s">
        <v>74</v>
      </c>
      <c r="BL470" s="1" t="s">
        <v>174</v>
      </c>
      <c r="BM470" s="1" t="s">
        <v>74</v>
      </c>
      <c r="BN470" s="1" t="s">
        <v>74</v>
      </c>
      <c r="BO470" s="1" t="s">
        <v>114</v>
      </c>
      <c r="BP470" s="1" t="s">
        <v>74</v>
      </c>
      <c r="BQ470" s="1" t="s">
        <v>74</v>
      </c>
      <c r="BR470" s="1" t="s">
        <v>74</v>
      </c>
      <c r="BS470" s="1" t="s">
        <v>4396</v>
      </c>
      <c r="BT470" s="1" t="str">
        <f>HYPERLINK("https%3A%2F%2Fwww.webofscience.com%2Fwos%2Fwoscc%2Ffull-record%2FWOS:001468987400001","View Full Record in Web of Science")</f>
        <v>View Full Record in Web of Science</v>
      </c>
    </row>
    <row r="471" ht="12.75" customHeight="1">
      <c r="A471" s="1" t="s">
        <v>72</v>
      </c>
      <c r="B471" s="1" t="s">
        <v>4397</v>
      </c>
      <c r="C471" s="1" t="s">
        <v>74</v>
      </c>
      <c r="D471" s="1" t="s">
        <v>74</v>
      </c>
      <c r="E471" s="1" t="s">
        <v>74</v>
      </c>
      <c r="F471" s="1" t="s">
        <v>4398</v>
      </c>
      <c r="G471" s="1" t="s">
        <v>74</v>
      </c>
      <c r="H471" s="1" t="s">
        <v>74</v>
      </c>
      <c r="I471" s="1" t="s">
        <v>4399</v>
      </c>
      <c r="J471" s="1" t="s">
        <v>239</v>
      </c>
      <c r="K471" s="1" t="s">
        <v>74</v>
      </c>
      <c r="L471" s="1" t="s">
        <v>74</v>
      </c>
      <c r="M471" s="1" t="s">
        <v>74</v>
      </c>
      <c r="N471" s="1" t="s">
        <v>78</v>
      </c>
      <c r="O471" s="1" t="s">
        <v>74</v>
      </c>
      <c r="P471" s="1" t="s">
        <v>74</v>
      </c>
      <c r="Q471" s="1" t="s">
        <v>74</v>
      </c>
      <c r="R471" s="1" t="s">
        <v>74</v>
      </c>
      <c r="S471" s="1" t="s">
        <v>74</v>
      </c>
      <c r="T471" s="1" t="s">
        <v>4400</v>
      </c>
      <c r="U471" s="1" t="s">
        <v>74</v>
      </c>
      <c r="V471" s="1" t="s">
        <v>4401</v>
      </c>
      <c r="W471" s="1" t="s">
        <v>74</v>
      </c>
      <c r="X471" s="1" t="s">
        <v>74</v>
      </c>
      <c r="Y471" s="1" t="s">
        <v>74</v>
      </c>
      <c r="Z471" s="1" t="s">
        <v>74</v>
      </c>
      <c r="AA471" s="1" t="s">
        <v>74</v>
      </c>
      <c r="AB471" s="1" t="s">
        <v>74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242</v>
      </c>
      <c r="AP471" s="1" t="s">
        <v>74</v>
      </c>
      <c r="AQ471" s="1" t="s">
        <v>74</v>
      </c>
      <c r="AR471" s="1" t="s">
        <v>74</v>
      </c>
      <c r="AS471" s="1" t="s">
        <v>74</v>
      </c>
      <c r="AT471" s="1" t="s">
        <v>3336</v>
      </c>
      <c r="AU471" s="1">
        <v>2025.0</v>
      </c>
      <c r="AV471" s="1">
        <v>15.0</v>
      </c>
      <c r="AW471" s="1">
        <v>1.0</v>
      </c>
      <c r="AX471" s="1" t="s">
        <v>74</v>
      </c>
      <c r="AY471" s="1" t="s">
        <v>74</v>
      </c>
      <c r="AZ471" s="1" t="s">
        <v>74</v>
      </c>
      <c r="BA471" s="1" t="s">
        <v>74</v>
      </c>
      <c r="BB471" s="1" t="s">
        <v>74</v>
      </c>
      <c r="BC471" s="1" t="s">
        <v>74</v>
      </c>
      <c r="BD471" s="1">
        <v>35.0</v>
      </c>
      <c r="BE471" s="1" t="s">
        <v>4402</v>
      </c>
      <c r="BF471" s="2" t="str">
        <f>HYPERLINK("http://dx.doi.org/10.3390/electronics15010035","http://dx.doi.org/10.3390/electronics15010035")</f>
        <v>http://dx.doi.org/10.3390/electronics15010035</v>
      </c>
      <c r="BG471" s="1" t="s">
        <v>74</v>
      </c>
      <c r="BH471" s="1" t="s">
        <v>74</v>
      </c>
      <c r="BI471" s="1" t="s">
        <v>74</v>
      </c>
      <c r="BJ471" s="1" t="s">
        <v>74</v>
      </c>
      <c r="BK471" s="1" t="s">
        <v>74</v>
      </c>
      <c r="BL471" s="1" t="s">
        <v>244</v>
      </c>
      <c r="BM471" s="1" t="s">
        <v>74</v>
      </c>
      <c r="BN471" s="1" t="s">
        <v>74</v>
      </c>
      <c r="BO471" s="1" t="s">
        <v>163</v>
      </c>
      <c r="BP471" s="1" t="s">
        <v>74</v>
      </c>
      <c r="BQ471" s="1" t="s">
        <v>74</v>
      </c>
      <c r="BR471" s="1" t="s">
        <v>74</v>
      </c>
      <c r="BS471" s="1" t="s">
        <v>4403</v>
      </c>
      <c r="BT471" s="1" t="str">
        <f>HYPERLINK("https%3A%2F%2Fwww.webofscience.com%2Fwos%2Fwoscc%2Ffull-record%2FWOS:001657312700001","View Full Record in Web of Science")</f>
        <v>View Full Record in Web of Science</v>
      </c>
    </row>
    <row r="472" ht="12.75" customHeight="1">
      <c r="A472" s="1" t="s">
        <v>72</v>
      </c>
      <c r="B472" s="1" t="s">
        <v>4404</v>
      </c>
      <c r="C472" s="1" t="s">
        <v>74</v>
      </c>
      <c r="D472" s="1" t="s">
        <v>74</v>
      </c>
      <c r="E472" s="1" t="s">
        <v>74</v>
      </c>
      <c r="F472" s="1" t="s">
        <v>4405</v>
      </c>
      <c r="G472" s="1" t="s">
        <v>74</v>
      </c>
      <c r="H472" s="1" t="s">
        <v>74</v>
      </c>
      <c r="I472" s="1" t="s">
        <v>4406</v>
      </c>
      <c r="J472" s="1" t="s">
        <v>2572</v>
      </c>
      <c r="K472" s="1" t="s">
        <v>74</v>
      </c>
      <c r="L472" s="1" t="s">
        <v>74</v>
      </c>
      <c r="M472" s="1" t="s">
        <v>74</v>
      </c>
      <c r="N472" s="1" t="s">
        <v>78</v>
      </c>
      <c r="O472" s="1" t="s">
        <v>74</v>
      </c>
      <c r="P472" s="1" t="s">
        <v>74</v>
      </c>
      <c r="Q472" s="1" t="s">
        <v>74</v>
      </c>
      <c r="R472" s="1" t="s">
        <v>74</v>
      </c>
      <c r="S472" s="1" t="s">
        <v>74</v>
      </c>
      <c r="T472" s="1" t="s">
        <v>4407</v>
      </c>
      <c r="U472" s="1" t="s">
        <v>4408</v>
      </c>
      <c r="V472" s="1" t="s">
        <v>4409</v>
      </c>
      <c r="W472" s="1" t="s">
        <v>74</v>
      </c>
      <c r="X472" s="1" t="s">
        <v>74</v>
      </c>
      <c r="Y472" s="1" t="s">
        <v>74</v>
      </c>
      <c r="Z472" s="1" t="s">
        <v>74</v>
      </c>
      <c r="AA472" s="1" t="s">
        <v>74</v>
      </c>
      <c r="AB472" s="1" t="s">
        <v>74</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2575</v>
      </c>
      <c r="AP472" s="1" t="s">
        <v>74</v>
      </c>
      <c r="AQ472" s="1" t="s">
        <v>74</v>
      </c>
      <c r="AR472" s="1" t="s">
        <v>74</v>
      </c>
      <c r="AS472" s="1" t="s">
        <v>74</v>
      </c>
      <c r="AT472" s="1" t="s">
        <v>4410</v>
      </c>
      <c r="AU472" s="1">
        <v>2025.0</v>
      </c>
      <c r="AV472" s="1">
        <v>12.0</v>
      </c>
      <c r="AW472" s="1">
        <v>22.0</v>
      </c>
      <c r="AX472" s="1" t="s">
        <v>74</v>
      </c>
      <c r="AY472" s="1" t="s">
        <v>74</v>
      </c>
      <c r="AZ472" s="1" t="s">
        <v>74</v>
      </c>
      <c r="BA472" s="1" t="s">
        <v>74</v>
      </c>
      <c r="BB472" s="1">
        <v>47499.0</v>
      </c>
      <c r="BC472" s="1">
        <v>47518.0</v>
      </c>
      <c r="BD472" s="1" t="s">
        <v>74</v>
      </c>
      <c r="BE472" s="1" t="s">
        <v>4411</v>
      </c>
      <c r="BF472" s="2" t="str">
        <f>HYPERLINK("http://dx.doi.org/10.1109/JIOT.2025.3603073","http://dx.doi.org/10.1109/JIOT.2025.3603073")</f>
        <v>http://dx.doi.org/10.1109/JIOT.2025.3603073</v>
      </c>
      <c r="BG472" s="1" t="s">
        <v>74</v>
      </c>
      <c r="BH472" s="1" t="s">
        <v>74</v>
      </c>
      <c r="BI472" s="1" t="s">
        <v>74</v>
      </c>
      <c r="BJ472" s="1" t="s">
        <v>74</v>
      </c>
      <c r="BK472" s="1" t="s">
        <v>74</v>
      </c>
      <c r="BL472" s="1" t="s">
        <v>152</v>
      </c>
      <c r="BM472" s="1" t="s">
        <v>74</v>
      </c>
      <c r="BN472" s="1" t="s">
        <v>74</v>
      </c>
      <c r="BO472" s="1" t="s">
        <v>74</v>
      </c>
      <c r="BP472" s="1" t="s">
        <v>74</v>
      </c>
      <c r="BQ472" s="1" t="s">
        <v>74</v>
      </c>
      <c r="BR472" s="1" t="s">
        <v>74</v>
      </c>
      <c r="BS472" s="1" t="s">
        <v>4412</v>
      </c>
      <c r="BT472" s="1" t="str">
        <f>HYPERLINK("https%3A%2F%2Fwww.webofscience.com%2Fwos%2Fwoscc%2Ffull-record%2FWOS:001611617900005","View Full Record in Web of Science")</f>
        <v>View Full Record in Web of Science</v>
      </c>
    </row>
    <row r="473" ht="12.75" customHeight="1">
      <c r="A473" s="1" t="s">
        <v>72</v>
      </c>
      <c r="B473" s="1" t="s">
        <v>4413</v>
      </c>
      <c r="C473" s="1" t="s">
        <v>74</v>
      </c>
      <c r="D473" s="1" t="s">
        <v>74</v>
      </c>
      <c r="E473" s="1" t="s">
        <v>74</v>
      </c>
      <c r="F473" s="1" t="s">
        <v>4414</v>
      </c>
      <c r="G473" s="1" t="s">
        <v>74</v>
      </c>
      <c r="H473" s="1" t="s">
        <v>74</v>
      </c>
      <c r="I473" s="1" t="s">
        <v>4415</v>
      </c>
      <c r="J473" s="1" t="s">
        <v>2655</v>
      </c>
      <c r="K473" s="1" t="s">
        <v>74</v>
      </c>
      <c r="L473" s="1" t="s">
        <v>74</v>
      </c>
      <c r="M473" s="1" t="s">
        <v>74</v>
      </c>
      <c r="N473" s="1" t="s">
        <v>78</v>
      </c>
      <c r="O473" s="1" t="s">
        <v>74</v>
      </c>
      <c r="P473" s="1" t="s">
        <v>74</v>
      </c>
      <c r="Q473" s="1" t="s">
        <v>74</v>
      </c>
      <c r="R473" s="1" t="s">
        <v>74</v>
      </c>
      <c r="S473" s="1" t="s">
        <v>74</v>
      </c>
      <c r="T473" s="1" t="s">
        <v>4416</v>
      </c>
      <c r="U473" s="1" t="s">
        <v>74</v>
      </c>
      <c r="V473" s="1" t="s">
        <v>4417</v>
      </c>
      <c r="W473" s="1" t="s">
        <v>74</v>
      </c>
      <c r="X473" s="1" t="s">
        <v>74</v>
      </c>
      <c r="Y473" s="1" t="s">
        <v>74</v>
      </c>
      <c r="Z473" s="1" t="s">
        <v>74</v>
      </c>
      <c r="AA473" s="1" t="s">
        <v>74</v>
      </c>
      <c r="AB473" s="1" t="s">
        <v>74</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2659</v>
      </c>
      <c r="AP473" s="1" t="s">
        <v>2660</v>
      </c>
      <c r="AQ473" s="1" t="s">
        <v>74</v>
      </c>
      <c r="AR473" s="1" t="s">
        <v>74</v>
      </c>
      <c r="AS473" s="1" t="s">
        <v>74</v>
      </c>
      <c r="AT473" s="1" t="s">
        <v>225</v>
      </c>
      <c r="AU473" s="1">
        <v>2024.0</v>
      </c>
      <c r="AV473" s="1">
        <v>187.0</v>
      </c>
      <c r="AW473" s="1" t="s">
        <v>74</v>
      </c>
      <c r="AX473" s="1" t="s">
        <v>74</v>
      </c>
      <c r="AY473" s="1" t="s">
        <v>74</v>
      </c>
      <c r="AZ473" s="1" t="s">
        <v>74</v>
      </c>
      <c r="BA473" s="1" t="s">
        <v>74</v>
      </c>
      <c r="BB473" s="1" t="s">
        <v>74</v>
      </c>
      <c r="BC473" s="1" t="s">
        <v>74</v>
      </c>
      <c r="BD473" s="1">
        <v>105443.0</v>
      </c>
      <c r="BE473" s="1" t="s">
        <v>4418</v>
      </c>
      <c r="BF473" s="2" t="str">
        <f>HYPERLINK("http://dx.doi.org/10.1016/j.ijmedinf.2024.105443","http://dx.doi.org/10.1016/j.ijmedinf.2024.105443")</f>
        <v>http://dx.doi.org/10.1016/j.ijmedinf.2024.105443</v>
      </c>
      <c r="BG473" s="1" t="s">
        <v>74</v>
      </c>
      <c r="BH473" s="1" t="s">
        <v>126</v>
      </c>
      <c r="BI473" s="1" t="s">
        <v>74</v>
      </c>
      <c r="BJ473" s="1" t="s">
        <v>74</v>
      </c>
      <c r="BK473" s="1" t="s">
        <v>74</v>
      </c>
      <c r="BL473" s="1" t="s">
        <v>1171</v>
      </c>
      <c r="BM473" s="1" t="s">
        <v>74</v>
      </c>
      <c r="BN473" s="1" t="s">
        <v>74</v>
      </c>
      <c r="BO473" s="1" t="s">
        <v>74</v>
      </c>
      <c r="BP473" s="1" t="s">
        <v>74</v>
      </c>
      <c r="BQ473" s="1" t="s">
        <v>74</v>
      </c>
      <c r="BR473" s="1" t="s">
        <v>74</v>
      </c>
      <c r="BS473" s="1" t="s">
        <v>4419</v>
      </c>
      <c r="BT473" s="1" t="str">
        <f>HYPERLINK("https%3A%2F%2Fwww.webofscience.com%2Fwos%2Fwoscc%2Ffull-record%2FWOS:001229931800001","View Full Record in Web of Science")</f>
        <v>View Full Record in Web of Science</v>
      </c>
    </row>
    <row r="474" ht="12.75" customHeight="1">
      <c r="A474" s="1" t="s">
        <v>72</v>
      </c>
      <c r="B474" s="1" t="s">
        <v>4420</v>
      </c>
      <c r="C474" s="1" t="s">
        <v>74</v>
      </c>
      <c r="D474" s="1" t="s">
        <v>74</v>
      </c>
      <c r="E474" s="1" t="s">
        <v>74</v>
      </c>
      <c r="F474" s="1" t="s">
        <v>4421</v>
      </c>
      <c r="G474" s="1" t="s">
        <v>74</v>
      </c>
      <c r="H474" s="1" t="s">
        <v>74</v>
      </c>
      <c r="I474" s="1" t="s">
        <v>4422</v>
      </c>
      <c r="J474" s="1" t="s">
        <v>1531</v>
      </c>
      <c r="K474" s="1" t="s">
        <v>74</v>
      </c>
      <c r="L474" s="1" t="s">
        <v>74</v>
      </c>
      <c r="M474" s="1" t="s">
        <v>74</v>
      </c>
      <c r="N474" s="1" t="s">
        <v>158</v>
      </c>
      <c r="O474" s="1" t="s">
        <v>74</v>
      </c>
      <c r="P474" s="1" t="s">
        <v>74</v>
      </c>
      <c r="Q474" s="1" t="s">
        <v>74</v>
      </c>
      <c r="R474" s="1" t="s">
        <v>74</v>
      </c>
      <c r="S474" s="1" t="s">
        <v>74</v>
      </c>
      <c r="T474" s="1" t="s">
        <v>4423</v>
      </c>
      <c r="U474" s="1" t="s">
        <v>4424</v>
      </c>
      <c r="V474" s="1" t="s">
        <v>4425</v>
      </c>
      <c r="W474" s="1" t="s">
        <v>74</v>
      </c>
      <c r="X474" s="1" t="s">
        <v>74</v>
      </c>
      <c r="Y474" s="1" t="s">
        <v>74</v>
      </c>
      <c r="Z474" s="1" t="s">
        <v>74</v>
      </c>
      <c r="AA474" s="1" t="s">
        <v>74</v>
      </c>
      <c r="AB474" s="1" t="s">
        <v>74</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1534</v>
      </c>
      <c r="AP474" s="1" t="s">
        <v>74</v>
      </c>
      <c r="AQ474" s="1" t="s">
        <v>74</v>
      </c>
      <c r="AR474" s="1" t="s">
        <v>74</v>
      </c>
      <c r="AS474" s="1" t="s">
        <v>74</v>
      </c>
      <c r="AT474" s="1" t="s">
        <v>74</v>
      </c>
      <c r="AU474" s="1">
        <v>2025.0</v>
      </c>
      <c r="AV474" s="1">
        <v>16.0</v>
      </c>
      <c r="AW474" s="1">
        <v>4.0</v>
      </c>
      <c r="AX474" s="1" t="s">
        <v>74</v>
      </c>
      <c r="AY474" s="1" t="s">
        <v>74</v>
      </c>
      <c r="AZ474" s="1" t="s">
        <v>74</v>
      </c>
      <c r="BA474" s="1" t="s">
        <v>74</v>
      </c>
      <c r="BB474" s="1">
        <v>594.0</v>
      </c>
      <c r="BC474" s="1">
        <v>612.0</v>
      </c>
      <c r="BD474" s="1" t="s">
        <v>74</v>
      </c>
      <c r="BE474" s="1" t="s">
        <v>4426</v>
      </c>
      <c r="BF474" s="2" t="str">
        <f>HYPERLINK("http://dx.doi.org/10.12720/jait.16.4.594-612","http://dx.doi.org/10.12720/jait.16.4.594-612")</f>
        <v>http://dx.doi.org/10.12720/jait.16.4.594-612</v>
      </c>
      <c r="BG474" s="1" t="s">
        <v>74</v>
      </c>
      <c r="BH474" s="1" t="s">
        <v>74</v>
      </c>
      <c r="BI474" s="1" t="s">
        <v>74</v>
      </c>
      <c r="BJ474" s="1" t="s">
        <v>74</v>
      </c>
      <c r="BK474" s="1" t="s">
        <v>74</v>
      </c>
      <c r="BL474" s="1" t="s">
        <v>174</v>
      </c>
      <c r="BM474" s="1" t="s">
        <v>74</v>
      </c>
      <c r="BN474" s="1" t="s">
        <v>74</v>
      </c>
      <c r="BO474" s="1" t="s">
        <v>163</v>
      </c>
      <c r="BP474" s="1" t="s">
        <v>74</v>
      </c>
      <c r="BQ474" s="1" t="s">
        <v>74</v>
      </c>
      <c r="BR474" s="1" t="s">
        <v>74</v>
      </c>
      <c r="BS474" s="1" t="s">
        <v>4427</v>
      </c>
      <c r="BT474" s="1" t="str">
        <f>HYPERLINK("https%3A%2F%2Fwww.webofscience.com%2Fwos%2Fwoscc%2Ffull-record%2FWOS:001479486000013","View Full Record in Web of Science")</f>
        <v>View Full Record in Web of Science</v>
      </c>
    </row>
    <row r="475" ht="12.75" customHeight="1">
      <c r="A475" s="1" t="s">
        <v>72</v>
      </c>
      <c r="B475" s="1" t="s">
        <v>4428</v>
      </c>
      <c r="C475" s="1" t="s">
        <v>74</v>
      </c>
      <c r="D475" s="1" t="s">
        <v>74</v>
      </c>
      <c r="E475" s="1" t="s">
        <v>74</v>
      </c>
      <c r="F475" s="1" t="s">
        <v>4429</v>
      </c>
      <c r="G475" s="1" t="s">
        <v>74</v>
      </c>
      <c r="H475" s="1" t="s">
        <v>74</v>
      </c>
      <c r="I475" s="1" t="s">
        <v>4430</v>
      </c>
      <c r="J475" s="1" t="s">
        <v>4431</v>
      </c>
      <c r="K475" s="1" t="s">
        <v>74</v>
      </c>
      <c r="L475" s="1" t="s">
        <v>74</v>
      </c>
      <c r="M475" s="1" t="s">
        <v>74</v>
      </c>
      <c r="N475" s="1" t="s">
        <v>78</v>
      </c>
      <c r="O475" s="1" t="s">
        <v>74</v>
      </c>
      <c r="P475" s="1" t="s">
        <v>74</v>
      </c>
      <c r="Q475" s="1" t="s">
        <v>74</v>
      </c>
      <c r="R475" s="1" t="s">
        <v>74</v>
      </c>
      <c r="S475" s="1" t="s">
        <v>74</v>
      </c>
      <c r="T475" s="1" t="s">
        <v>4432</v>
      </c>
      <c r="U475" s="1" t="s">
        <v>74</v>
      </c>
      <c r="V475" s="1" t="s">
        <v>4433</v>
      </c>
      <c r="W475" s="1" t="s">
        <v>74</v>
      </c>
      <c r="X475" s="1" t="s">
        <v>74</v>
      </c>
      <c r="Y475" s="1" t="s">
        <v>74</v>
      </c>
      <c r="Z475" s="1" t="s">
        <v>74</v>
      </c>
      <c r="AA475" s="1" t="s">
        <v>74</v>
      </c>
      <c r="AB475" s="1" t="s">
        <v>74</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4434</v>
      </c>
      <c r="AP475" s="1" t="s">
        <v>4435</v>
      </c>
      <c r="AQ475" s="1" t="s">
        <v>74</v>
      </c>
      <c r="AR475" s="1" t="s">
        <v>74</v>
      </c>
      <c r="AS475" s="1" t="s">
        <v>74</v>
      </c>
      <c r="AT475" s="1" t="s">
        <v>335</v>
      </c>
      <c r="AU475" s="1">
        <v>2025.0</v>
      </c>
      <c r="AV475" s="1">
        <v>44.0</v>
      </c>
      <c r="AW475" s="1">
        <v>6.0</v>
      </c>
      <c r="AX475" s="1" t="s">
        <v>74</v>
      </c>
      <c r="AY475" s="1" t="s">
        <v>74</v>
      </c>
      <c r="AZ475" s="1" t="s">
        <v>74</v>
      </c>
      <c r="BA475" s="1" t="s">
        <v>74</v>
      </c>
      <c r="BB475" s="1">
        <v>2672.0</v>
      </c>
      <c r="BC475" s="1">
        <v>2682.0</v>
      </c>
      <c r="BD475" s="1" t="s">
        <v>74</v>
      </c>
      <c r="BE475" s="1" t="s">
        <v>4436</v>
      </c>
      <c r="BF475" s="2" t="str">
        <f>HYPERLINK("http://dx.doi.org/10.1109/TMI.2025.3545183","http://dx.doi.org/10.1109/TMI.2025.3545183")</f>
        <v>http://dx.doi.org/10.1109/TMI.2025.3545183</v>
      </c>
      <c r="BG475" s="1" t="s">
        <v>74</v>
      </c>
      <c r="BH475" s="1" t="s">
        <v>74</v>
      </c>
      <c r="BI475" s="1" t="s">
        <v>74</v>
      </c>
      <c r="BJ475" s="1" t="s">
        <v>74</v>
      </c>
      <c r="BK475" s="1" t="s">
        <v>74</v>
      </c>
      <c r="BL475" s="1" t="s">
        <v>4437</v>
      </c>
      <c r="BM475" s="1" t="s">
        <v>74</v>
      </c>
      <c r="BN475" s="1" t="s">
        <v>74</v>
      </c>
      <c r="BO475" s="1" t="s">
        <v>74</v>
      </c>
      <c r="BP475" s="1" t="s">
        <v>74</v>
      </c>
      <c r="BQ475" s="1" t="s">
        <v>74</v>
      </c>
      <c r="BR475" s="1" t="s">
        <v>74</v>
      </c>
      <c r="BS475" s="1" t="s">
        <v>4438</v>
      </c>
      <c r="BT475" s="1" t="str">
        <f>HYPERLINK("https%3A%2F%2Fwww.webofscience.com%2Fwos%2Fwoscc%2Ffull-record%2FWOS:001502493100013","View Full Record in Web of Science")</f>
        <v>View Full Record in Web of Science</v>
      </c>
    </row>
    <row r="476" ht="12.75" customHeight="1">
      <c r="A476" s="1" t="s">
        <v>72</v>
      </c>
      <c r="B476" s="1" t="s">
        <v>4439</v>
      </c>
      <c r="C476" s="1" t="s">
        <v>74</v>
      </c>
      <c r="D476" s="1" t="s">
        <v>74</v>
      </c>
      <c r="E476" s="1" t="s">
        <v>74</v>
      </c>
      <c r="F476" s="1" t="s">
        <v>4440</v>
      </c>
      <c r="G476" s="1" t="s">
        <v>74</v>
      </c>
      <c r="H476" s="1" t="s">
        <v>74</v>
      </c>
      <c r="I476" s="1" t="s">
        <v>4441</v>
      </c>
      <c r="J476" s="1" t="s">
        <v>3358</v>
      </c>
      <c r="K476" s="1" t="s">
        <v>74</v>
      </c>
      <c r="L476" s="1" t="s">
        <v>74</v>
      </c>
      <c r="M476" s="1" t="s">
        <v>74</v>
      </c>
      <c r="N476" s="1" t="s">
        <v>78</v>
      </c>
      <c r="O476" s="1" t="s">
        <v>74</v>
      </c>
      <c r="P476" s="1" t="s">
        <v>74</v>
      </c>
      <c r="Q476" s="1" t="s">
        <v>74</v>
      </c>
      <c r="R476" s="1" t="s">
        <v>74</v>
      </c>
      <c r="S476" s="1" t="s">
        <v>74</v>
      </c>
      <c r="T476" s="1" t="s">
        <v>4442</v>
      </c>
      <c r="U476" s="1" t="s">
        <v>4443</v>
      </c>
      <c r="V476" s="1" t="s">
        <v>4444</v>
      </c>
      <c r="W476" s="1" t="s">
        <v>74</v>
      </c>
      <c r="X476" s="1" t="s">
        <v>74</v>
      </c>
      <c r="Y476" s="1" t="s">
        <v>74</v>
      </c>
      <c r="Z476" s="1" t="s">
        <v>74</v>
      </c>
      <c r="AA476" s="1" t="s">
        <v>74</v>
      </c>
      <c r="AB476" s="1" t="s">
        <v>74</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3361</v>
      </c>
      <c r="AP476" s="1" t="s">
        <v>3362</v>
      </c>
      <c r="AQ476" s="1" t="s">
        <v>74</v>
      </c>
      <c r="AR476" s="1" t="s">
        <v>74</v>
      </c>
      <c r="AS476" s="1" t="s">
        <v>74</v>
      </c>
      <c r="AT476" s="1" t="s">
        <v>124</v>
      </c>
      <c r="AU476" s="1">
        <v>2026.0</v>
      </c>
      <c r="AV476" s="1">
        <v>98.0</v>
      </c>
      <c r="AW476" s="1" t="s">
        <v>74</v>
      </c>
      <c r="AX476" s="1" t="s">
        <v>74</v>
      </c>
      <c r="AY476" s="1" t="s">
        <v>74</v>
      </c>
      <c r="AZ476" s="1" t="s">
        <v>74</v>
      </c>
      <c r="BA476" s="1" t="s">
        <v>74</v>
      </c>
      <c r="BB476" s="1" t="s">
        <v>74</v>
      </c>
      <c r="BC476" s="1" t="s">
        <v>74</v>
      </c>
      <c r="BD476" s="1">
        <v>103184.0</v>
      </c>
      <c r="BE476" s="1" t="s">
        <v>4445</v>
      </c>
      <c r="BF476" s="2" t="str">
        <f>HYPERLINK("http://dx.doi.org/10.1016/j.rcim.2025.103184","http://dx.doi.org/10.1016/j.rcim.2025.103184")</f>
        <v>http://dx.doi.org/10.1016/j.rcim.2025.103184</v>
      </c>
      <c r="BG476" s="1" t="s">
        <v>74</v>
      </c>
      <c r="BH476" s="1" t="s">
        <v>255</v>
      </c>
      <c r="BI476" s="1" t="s">
        <v>74</v>
      </c>
      <c r="BJ476" s="1" t="s">
        <v>74</v>
      </c>
      <c r="BK476" s="1" t="s">
        <v>74</v>
      </c>
      <c r="BL476" s="1" t="s">
        <v>3364</v>
      </c>
      <c r="BM476" s="1" t="s">
        <v>74</v>
      </c>
      <c r="BN476" s="1" t="s">
        <v>74</v>
      </c>
      <c r="BO476" s="1" t="s">
        <v>74</v>
      </c>
      <c r="BP476" s="1" t="s">
        <v>74</v>
      </c>
      <c r="BQ476" s="1" t="s">
        <v>74</v>
      </c>
      <c r="BR476" s="1" t="s">
        <v>74</v>
      </c>
      <c r="BS476" s="1" t="s">
        <v>4446</v>
      </c>
      <c r="BT476" s="1" t="str">
        <f>HYPERLINK("https%3A%2F%2Fwww.webofscience.com%2Fwos%2Fwoscc%2Ffull-record%2FWOS:001627652200002","View Full Record in Web of Science")</f>
        <v>View Full Record in Web of Science</v>
      </c>
    </row>
    <row r="477" ht="12.75" customHeight="1">
      <c r="A477" s="1" t="s">
        <v>72</v>
      </c>
      <c r="B477" s="1" t="s">
        <v>4447</v>
      </c>
      <c r="C477" s="1" t="s">
        <v>74</v>
      </c>
      <c r="D477" s="1" t="s">
        <v>74</v>
      </c>
      <c r="E477" s="1" t="s">
        <v>74</v>
      </c>
      <c r="F477" s="1" t="s">
        <v>4448</v>
      </c>
      <c r="G477" s="1" t="s">
        <v>74</v>
      </c>
      <c r="H477" s="1" t="s">
        <v>74</v>
      </c>
      <c r="I477" s="1" t="s">
        <v>4449</v>
      </c>
      <c r="J477" s="1" t="s">
        <v>4450</v>
      </c>
      <c r="K477" s="1" t="s">
        <v>74</v>
      </c>
      <c r="L477" s="1" t="s">
        <v>74</v>
      </c>
      <c r="M477" s="1" t="s">
        <v>74</v>
      </c>
      <c r="N477" s="1" t="s">
        <v>78</v>
      </c>
      <c r="O477" s="1" t="s">
        <v>74</v>
      </c>
      <c r="P477" s="1" t="s">
        <v>74</v>
      </c>
      <c r="Q477" s="1" t="s">
        <v>74</v>
      </c>
      <c r="R477" s="1" t="s">
        <v>74</v>
      </c>
      <c r="S477" s="1" t="s">
        <v>74</v>
      </c>
      <c r="T477" s="1" t="s">
        <v>4451</v>
      </c>
      <c r="U477" s="1" t="s">
        <v>4452</v>
      </c>
      <c r="V477" s="1" t="s">
        <v>4453</v>
      </c>
      <c r="W477" s="1" t="s">
        <v>74</v>
      </c>
      <c r="X477" s="1" t="s">
        <v>74</v>
      </c>
      <c r="Y477" s="1" t="s">
        <v>74</v>
      </c>
      <c r="Z477" s="1" t="s">
        <v>74</v>
      </c>
      <c r="AA477" s="1" t="s">
        <v>74</v>
      </c>
      <c r="AB477" s="1" t="s">
        <v>74</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4454</v>
      </c>
      <c r="AP477" s="1" t="s">
        <v>4455</v>
      </c>
      <c r="AQ477" s="1" t="s">
        <v>74</v>
      </c>
      <c r="AR477" s="1" t="s">
        <v>74</v>
      </c>
      <c r="AS477" s="1" t="s">
        <v>74</v>
      </c>
      <c r="AT477" s="1" t="s">
        <v>3559</v>
      </c>
      <c r="AU477" s="1">
        <v>2025.0</v>
      </c>
      <c r="AV477" s="1">
        <v>10.0</v>
      </c>
      <c r="AW477" s="1">
        <v>5.0</v>
      </c>
      <c r="AX477" s="1" t="s">
        <v>74</v>
      </c>
      <c r="AY477" s="1" t="s">
        <v>74</v>
      </c>
      <c r="AZ477" s="1" t="s">
        <v>74</v>
      </c>
      <c r="BA477" s="1" t="s">
        <v>74</v>
      </c>
      <c r="BB477" s="1" t="s">
        <v>74</v>
      </c>
      <c r="BC477" s="1" t="s">
        <v>74</v>
      </c>
      <c r="BD477" s="1">
        <v>100780.0</v>
      </c>
      <c r="BE477" s="1" t="s">
        <v>4456</v>
      </c>
      <c r="BF477" s="2" t="str">
        <f>HYPERLINK("http://dx.doi.org/10.1016/j.jik.2025.100780","http://dx.doi.org/10.1016/j.jik.2025.100780")</f>
        <v>http://dx.doi.org/10.1016/j.jik.2025.100780</v>
      </c>
      <c r="BG477" s="1" t="s">
        <v>74</v>
      </c>
      <c r="BH477" s="1" t="s">
        <v>276</v>
      </c>
      <c r="BI477" s="1" t="s">
        <v>74</v>
      </c>
      <c r="BJ477" s="1" t="s">
        <v>74</v>
      </c>
      <c r="BK477" s="1" t="s">
        <v>74</v>
      </c>
      <c r="BL477" s="1" t="s">
        <v>214</v>
      </c>
      <c r="BM477" s="1" t="s">
        <v>74</v>
      </c>
      <c r="BN477" s="1" t="s">
        <v>74</v>
      </c>
      <c r="BO477" s="1" t="s">
        <v>153</v>
      </c>
      <c r="BP477" s="1" t="s">
        <v>74</v>
      </c>
      <c r="BQ477" s="1" t="s">
        <v>74</v>
      </c>
      <c r="BR477" s="1" t="s">
        <v>74</v>
      </c>
      <c r="BS477" s="1" t="s">
        <v>4457</v>
      </c>
      <c r="BT477" s="1" t="str">
        <f>HYPERLINK("https%3A%2F%2Fwww.webofscience.com%2Fwos%2Fwoscc%2Ffull-record%2FWOS:001582642600001","View Full Record in Web of Science")</f>
        <v>View Full Record in Web of Science</v>
      </c>
    </row>
    <row r="478" ht="12.75" customHeight="1">
      <c r="A478" s="1" t="s">
        <v>72</v>
      </c>
      <c r="B478" s="1" t="s">
        <v>4458</v>
      </c>
      <c r="C478" s="1" t="s">
        <v>74</v>
      </c>
      <c r="D478" s="1" t="s">
        <v>74</v>
      </c>
      <c r="E478" s="1" t="s">
        <v>74</v>
      </c>
      <c r="F478" s="1" t="s">
        <v>4459</v>
      </c>
      <c r="G478" s="1" t="s">
        <v>74</v>
      </c>
      <c r="H478" s="1" t="s">
        <v>74</v>
      </c>
      <c r="I478" s="1" t="s">
        <v>4460</v>
      </c>
      <c r="J478" s="1" t="s">
        <v>2479</v>
      </c>
      <c r="K478" s="1" t="s">
        <v>74</v>
      </c>
      <c r="L478" s="1" t="s">
        <v>74</v>
      </c>
      <c r="M478" s="1" t="s">
        <v>74</v>
      </c>
      <c r="N478" s="1" t="s">
        <v>78</v>
      </c>
      <c r="O478" s="1" t="s">
        <v>74</v>
      </c>
      <c r="P478" s="1" t="s">
        <v>74</v>
      </c>
      <c r="Q478" s="1" t="s">
        <v>74</v>
      </c>
      <c r="R478" s="1" t="s">
        <v>74</v>
      </c>
      <c r="S478" s="1" t="s">
        <v>74</v>
      </c>
      <c r="T478" s="1" t="s">
        <v>4461</v>
      </c>
      <c r="U478" s="1" t="s">
        <v>74</v>
      </c>
      <c r="V478" s="1" t="s">
        <v>4462</v>
      </c>
      <c r="W478" s="1" t="s">
        <v>74</v>
      </c>
      <c r="X478" s="1" t="s">
        <v>74</v>
      </c>
      <c r="Y478" s="1" t="s">
        <v>74</v>
      </c>
      <c r="Z478" s="1" t="s">
        <v>74</v>
      </c>
      <c r="AA478" s="1" t="s">
        <v>74</v>
      </c>
      <c r="AB478" s="1" t="s">
        <v>74</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2483</v>
      </c>
      <c r="AP478" s="1" t="s">
        <v>2484</v>
      </c>
      <c r="AQ478" s="1" t="s">
        <v>74</v>
      </c>
      <c r="AR478" s="1" t="s">
        <v>74</v>
      </c>
      <c r="AS478" s="1" t="s">
        <v>74</v>
      </c>
      <c r="AT478" s="1" t="s">
        <v>335</v>
      </c>
      <c r="AU478" s="1">
        <v>2025.0</v>
      </c>
      <c r="AV478" s="1">
        <v>43.0</v>
      </c>
      <c r="AW478" s="1">
        <v>4.0</v>
      </c>
      <c r="AX478" s="1" t="s">
        <v>74</v>
      </c>
      <c r="AY478" s="1" t="s">
        <v>74</v>
      </c>
      <c r="AZ478" s="1" t="s">
        <v>74</v>
      </c>
      <c r="BA478" s="1" t="s">
        <v>74</v>
      </c>
      <c r="BB478" s="1" t="s">
        <v>74</v>
      </c>
      <c r="BC478" s="1" t="s">
        <v>74</v>
      </c>
      <c r="BD478" s="1">
        <v>96.0</v>
      </c>
      <c r="BE478" s="1" t="s">
        <v>4463</v>
      </c>
      <c r="BF478" s="2" t="str">
        <f>HYPERLINK("http://dx.doi.org/10.1145/3731446","http://dx.doi.org/10.1145/3731446")</f>
        <v>http://dx.doi.org/10.1145/3731446</v>
      </c>
      <c r="BG478" s="1" t="s">
        <v>74</v>
      </c>
      <c r="BH478" s="1" t="s">
        <v>74</v>
      </c>
      <c r="BI478" s="1" t="s">
        <v>74</v>
      </c>
      <c r="BJ478" s="1" t="s">
        <v>74</v>
      </c>
      <c r="BK478" s="1" t="s">
        <v>74</v>
      </c>
      <c r="BL478" s="1" t="s">
        <v>174</v>
      </c>
      <c r="BM478" s="1" t="s">
        <v>74</v>
      </c>
      <c r="BN478" s="1" t="s">
        <v>74</v>
      </c>
      <c r="BO478" s="1" t="s">
        <v>74</v>
      </c>
      <c r="BP478" s="1" t="s">
        <v>74</v>
      </c>
      <c r="BQ478" s="1" t="s">
        <v>74</v>
      </c>
      <c r="BR478" s="1" t="s">
        <v>74</v>
      </c>
      <c r="BS478" s="1" t="s">
        <v>4464</v>
      </c>
      <c r="BT478" s="1" t="str">
        <f>HYPERLINK("https%3A%2F%2Fwww.webofscience.com%2Fwos%2Fwoscc%2Ffull-record%2FWOS:001537652500001","View Full Record in Web of Science")</f>
        <v>View Full Record in Web of Science</v>
      </c>
    </row>
    <row r="479" ht="12.75" customHeight="1">
      <c r="A479" s="1" t="s">
        <v>72</v>
      </c>
      <c r="B479" s="1" t="s">
        <v>4465</v>
      </c>
      <c r="C479" s="1" t="s">
        <v>74</v>
      </c>
      <c r="D479" s="1" t="s">
        <v>74</v>
      </c>
      <c r="E479" s="1" t="s">
        <v>74</v>
      </c>
      <c r="F479" s="1" t="s">
        <v>4466</v>
      </c>
      <c r="G479" s="1" t="s">
        <v>74</v>
      </c>
      <c r="H479" s="1" t="s">
        <v>74</v>
      </c>
      <c r="I479" s="1" t="s">
        <v>4467</v>
      </c>
      <c r="J479" s="1" t="s">
        <v>147</v>
      </c>
      <c r="K479" s="1" t="s">
        <v>74</v>
      </c>
      <c r="L479" s="1" t="s">
        <v>74</v>
      </c>
      <c r="M479" s="1" t="s">
        <v>74</v>
      </c>
      <c r="N479" s="1" t="s">
        <v>78</v>
      </c>
      <c r="O479" s="1" t="s">
        <v>74</v>
      </c>
      <c r="P479" s="1" t="s">
        <v>74</v>
      </c>
      <c r="Q479" s="1" t="s">
        <v>74</v>
      </c>
      <c r="R479" s="1" t="s">
        <v>74</v>
      </c>
      <c r="S479" s="1" t="s">
        <v>74</v>
      </c>
      <c r="T479" s="1" t="s">
        <v>4468</v>
      </c>
      <c r="U479" s="1" t="s">
        <v>74</v>
      </c>
      <c r="V479" s="1" t="s">
        <v>4469</v>
      </c>
      <c r="W479" s="1" t="s">
        <v>74</v>
      </c>
      <c r="X479" s="1" t="s">
        <v>74</v>
      </c>
      <c r="Y479" s="1" t="s">
        <v>74</v>
      </c>
      <c r="Z479" s="1" t="s">
        <v>74</v>
      </c>
      <c r="AA479" s="1" t="s">
        <v>74</v>
      </c>
      <c r="AB479" s="1" t="s">
        <v>74</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150</v>
      </c>
      <c r="AP479" s="1" t="s">
        <v>74</v>
      </c>
      <c r="AQ479" s="1" t="s">
        <v>74</v>
      </c>
      <c r="AR479" s="1" t="s">
        <v>74</v>
      </c>
      <c r="AS479" s="1" t="s">
        <v>74</v>
      </c>
      <c r="AT479" s="1" t="s">
        <v>74</v>
      </c>
      <c r="AU479" s="1">
        <v>2025.0</v>
      </c>
      <c r="AV479" s="1">
        <v>13.0</v>
      </c>
      <c r="AW479" s="1" t="s">
        <v>74</v>
      </c>
      <c r="AX479" s="1" t="s">
        <v>74</v>
      </c>
      <c r="AY479" s="1" t="s">
        <v>74</v>
      </c>
      <c r="AZ479" s="1" t="s">
        <v>74</v>
      </c>
      <c r="BA479" s="1" t="s">
        <v>74</v>
      </c>
      <c r="BB479" s="1">
        <v>100630.0</v>
      </c>
      <c r="BC479" s="1">
        <v>100646.0</v>
      </c>
      <c r="BD479" s="1" t="s">
        <v>74</v>
      </c>
      <c r="BE479" s="1" t="s">
        <v>4470</v>
      </c>
      <c r="BF479" s="2" t="str">
        <f>HYPERLINK("http://dx.doi.org/10.1109/ACCESS.2025.3578192","http://dx.doi.org/10.1109/ACCESS.2025.3578192")</f>
        <v>http://dx.doi.org/10.1109/ACCESS.2025.3578192</v>
      </c>
      <c r="BG479" s="1" t="s">
        <v>74</v>
      </c>
      <c r="BH479" s="1" t="s">
        <v>74</v>
      </c>
      <c r="BI479" s="1" t="s">
        <v>74</v>
      </c>
      <c r="BJ479" s="1" t="s">
        <v>74</v>
      </c>
      <c r="BK479" s="1" t="s">
        <v>74</v>
      </c>
      <c r="BL479" s="1" t="s">
        <v>152</v>
      </c>
      <c r="BM479" s="1" t="s">
        <v>74</v>
      </c>
      <c r="BN479" s="1" t="s">
        <v>74</v>
      </c>
      <c r="BO479" s="1" t="s">
        <v>153</v>
      </c>
      <c r="BP479" s="1" t="s">
        <v>74</v>
      </c>
      <c r="BQ479" s="1" t="s">
        <v>74</v>
      </c>
      <c r="BR479" s="1" t="s">
        <v>74</v>
      </c>
      <c r="BS479" s="1" t="s">
        <v>4471</v>
      </c>
      <c r="BT479" s="1" t="str">
        <f>HYPERLINK("https%3A%2F%2Fwww.webofscience.com%2Fwos%2Fwoscc%2Ffull-record%2FWOS:001508110100006","View Full Record in Web of Science")</f>
        <v>View Full Record in Web of Science</v>
      </c>
    </row>
    <row r="480" ht="12.75" customHeight="1">
      <c r="A480" s="1" t="s">
        <v>72</v>
      </c>
      <c r="B480" s="1" t="s">
        <v>4472</v>
      </c>
      <c r="C480" s="1" t="s">
        <v>74</v>
      </c>
      <c r="D480" s="1" t="s">
        <v>74</v>
      </c>
      <c r="E480" s="1" t="s">
        <v>74</v>
      </c>
      <c r="F480" s="1" t="s">
        <v>4473</v>
      </c>
      <c r="G480" s="1" t="s">
        <v>74</v>
      </c>
      <c r="H480" s="1" t="s">
        <v>74</v>
      </c>
      <c r="I480" s="1" t="s">
        <v>4474</v>
      </c>
      <c r="J480" s="1" t="s">
        <v>675</v>
      </c>
      <c r="K480" s="1" t="s">
        <v>74</v>
      </c>
      <c r="L480" s="1" t="s">
        <v>74</v>
      </c>
      <c r="M480" s="1" t="s">
        <v>74</v>
      </c>
      <c r="N480" s="1" t="s">
        <v>78</v>
      </c>
      <c r="O480" s="1" t="s">
        <v>74</v>
      </c>
      <c r="P480" s="1" t="s">
        <v>74</v>
      </c>
      <c r="Q480" s="1" t="s">
        <v>74</v>
      </c>
      <c r="R480" s="1" t="s">
        <v>74</v>
      </c>
      <c r="S480" s="1" t="s">
        <v>74</v>
      </c>
      <c r="T480" s="1" t="s">
        <v>4475</v>
      </c>
      <c r="U480" s="1" t="s">
        <v>74</v>
      </c>
      <c r="V480" s="1" t="s">
        <v>4476</v>
      </c>
      <c r="W480" s="1" t="s">
        <v>74</v>
      </c>
      <c r="X480" s="1" t="s">
        <v>74</v>
      </c>
      <c r="Y480" s="1" t="s">
        <v>74</v>
      </c>
      <c r="Z480" s="1" t="s">
        <v>74</v>
      </c>
      <c r="AA480" s="1" t="s">
        <v>74</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74</v>
      </c>
      <c r="AP480" s="1" t="s">
        <v>679</v>
      </c>
      <c r="AQ480" s="1" t="s">
        <v>74</v>
      </c>
      <c r="AR480" s="1" t="s">
        <v>74</v>
      </c>
      <c r="AS480" s="1" t="s">
        <v>74</v>
      </c>
      <c r="AT480" s="1" t="s">
        <v>4477</v>
      </c>
      <c r="AU480" s="1">
        <v>2025.0</v>
      </c>
      <c r="AV480" s="1">
        <v>8.0</v>
      </c>
      <c r="AW480" s="1" t="s">
        <v>74</v>
      </c>
      <c r="AX480" s="1" t="s">
        <v>74</v>
      </c>
      <c r="AY480" s="1" t="s">
        <v>74</v>
      </c>
      <c r="AZ480" s="1" t="s">
        <v>74</v>
      </c>
      <c r="BA480" s="1" t="s">
        <v>74</v>
      </c>
      <c r="BB480" s="1" t="s">
        <v>74</v>
      </c>
      <c r="BC480" s="1" t="s">
        <v>74</v>
      </c>
      <c r="BD480" s="1">
        <v>1621963.0</v>
      </c>
      <c r="BE480" s="1" t="s">
        <v>4478</v>
      </c>
      <c r="BF480" s="2" t="str">
        <f>HYPERLINK("http://dx.doi.org/10.3389/frai.2025.1621963","http://dx.doi.org/10.3389/frai.2025.1621963")</f>
        <v>http://dx.doi.org/10.3389/frai.2025.1621963</v>
      </c>
      <c r="BG480" s="1" t="s">
        <v>74</v>
      </c>
      <c r="BH480" s="1" t="s">
        <v>74</v>
      </c>
      <c r="BI480" s="1" t="s">
        <v>74</v>
      </c>
      <c r="BJ480" s="1" t="s">
        <v>74</v>
      </c>
      <c r="BK480" s="1" t="s">
        <v>74</v>
      </c>
      <c r="BL480" s="1" t="s">
        <v>174</v>
      </c>
      <c r="BM480" s="1" t="s">
        <v>74</v>
      </c>
      <c r="BN480" s="1" t="s">
        <v>74</v>
      </c>
      <c r="BO480" s="1" t="s">
        <v>153</v>
      </c>
      <c r="BP480" s="1" t="s">
        <v>74</v>
      </c>
      <c r="BQ480" s="1" t="s">
        <v>74</v>
      </c>
      <c r="BR480" s="1" t="s">
        <v>74</v>
      </c>
      <c r="BS480" s="1" t="s">
        <v>4479</v>
      </c>
      <c r="BT480" s="1" t="str">
        <f>HYPERLINK("https%3A%2F%2Fwww.webofscience.com%2Fwos%2Fwoscc%2Ffull-record%2FWOS:001543602200001","View Full Record in Web of Science")</f>
        <v>View Full Record in Web of Science</v>
      </c>
    </row>
    <row r="481" ht="12.75" customHeight="1">
      <c r="A481" s="1" t="s">
        <v>72</v>
      </c>
      <c r="B481" s="1" t="s">
        <v>4480</v>
      </c>
      <c r="C481" s="1" t="s">
        <v>74</v>
      </c>
      <c r="D481" s="1" t="s">
        <v>74</v>
      </c>
      <c r="E481" s="1" t="s">
        <v>74</v>
      </c>
      <c r="F481" s="1" t="s">
        <v>4481</v>
      </c>
      <c r="G481" s="1" t="s">
        <v>74</v>
      </c>
      <c r="H481" s="1" t="s">
        <v>74</v>
      </c>
      <c r="I481" s="1" t="s">
        <v>4482</v>
      </c>
      <c r="J481" s="1" t="s">
        <v>4483</v>
      </c>
      <c r="K481" s="1" t="s">
        <v>74</v>
      </c>
      <c r="L481" s="1" t="s">
        <v>74</v>
      </c>
      <c r="M481" s="1" t="s">
        <v>74</v>
      </c>
      <c r="N481" s="1" t="s">
        <v>78</v>
      </c>
      <c r="O481" s="1" t="s">
        <v>74</v>
      </c>
      <c r="P481" s="1" t="s">
        <v>74</v>
      </c>
      <c r="Q481" s="1" t="s">
        <v>74</v>
      </c>
      <c r="R481" s="1" t="s">
        <v>74</v>
      </c>
      <c r="S481" s="1" t="s">
        <v>74</v>
      </c>
      <c r="T481" s="1" t="s">
        <v>4484</v>
      </c>
      <c r="U481" s="1" t="s">
        <v>4485</v>
      </c>
      <c r="V481" s="1" t="s">
        <v>4486</v>
      </c>
      <c r="W481" s="1" t="s">
        <v>74</v>
      </c>
      <c r="X481" s="1" t="s">
        <v>74</v>
      </c>
      <c r="Y481" s="1" t="s">
        <v>74</v>
      </c>
      <c r="Z481" s="1" t="s">
        <v>74</v>
      </c>
      <c r="AA481" s="1" t="s">
        <v>74</v>
      </c>
      <c r="AB481" s="1" t="s">
        <v>74</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4487</v>
      </c>
      <c r="AP481" s="1" t="s">
        <v>4488</v>
      </c>
      <c r="AQ481" s="1" t="s">
        <v>74</v>
      </c>
      <c r="AR481" s="1" t="s">
        <v>74</v>
      </c>
      <c r="AS481" s="1" t="s">
        <v>74</v>
      </c>
      <c r="AT481" s="1" t="s">
        <v>84</v>
      </c>
      <c r="AU481" s="1">
        <v>2025.0</v>
      </c>
      <c r="AV481" s="1">
        <v>200.0</v>
      </c>
      <c r="AW481" s="1" t="s">
        <v>74</v>
      </c>
      <c r="AX481" s="1" t="s">
        <v>74</v>
      </c>
      <c r="AY481" s="1" t="s">
        <v>74</v>
      </c>
      <c r="AZ481" s="1" t="s">
        <v>74</v>
      </c>
      <c r="BA481" s="1" t="s">
        <v>74</v>
      </c>
      <c r="BB481" s="1" t="s">
        <v>74</v>
      </c>
      <c r="BC481" s="1" t="s">
        <v>74</v>
      </c>
      <c r="BD481" s="1">
        <v>103514.0</v>
      </c>
      <c r="BE481" s="1" t="s">
        <v>4489</v>
      </c>
      <c r="BF481" s="2" t="str">
        <f>HYPERLINK("http://dx.doi.org/10.1016/j.ijhcs.2025.103514","http://dx.doi.org/10.1016/j.ijhcs.2025.103514")</f>
        <v>http://dx.doi.org/10.1016/j.ijhcs.2025.103514</v>
      </c>
      <c r="BG481" s="1" t="s">
        <v>74</v>
      </c>
      <c r="BH481" s="1" t="s">
        <v>526</v>
      </c>
      <c r="BI481" s="1" t="s">
        <v>74</v>
      </c>
      <c r="BJ481" s="1" t="s">
        <v>74</v>
      </c>
      <c r="BK481" s="1" t="s">
        <v>74</v>
      </c>
      <c r="BL481" s="1" t="s">
        <v>4490</v>
      </c>
      <c r="BM481" s="1" t="s">
        <v>74</v>
      </c>
      <c r="BN481" s="1" t="s">
        <v>74</v>
      </c>
      <c r="BO481" s="1" t="s">
        <v>74</v>
      </c>
      <c r="BP481" s="1" t="s">
        <v>74</v>
      </c>
      <c r="BQ481" s="1" t="s">
        <v>74</v>
      </c>
      <c r="BR481" s="1" t="s">
        <v>74</v>
      </c>
      <c r="BS481" s="1" t="s">
        <v>4491</v>
      </c>
      <c r="BT481" s="1" t="str">
        <f>HYPERLINK("https%3A%2F%2Fwww.webofscience.com%2Fwos%2Fwoscc%2Ffull-record%2FWOS:001494341200001","View Full Record in Web of Science")</f>
        <v>View Full Record in Web of Science</v>
      </c>
    </row>
    <row r="482" ht="12.75" customHeight="1">
      <c r="A482" s="1" t="s">
        <v>72</v>
      </c>
      <c r="B482" s="1" t="s">
        <v>4492</v>
      </c>
      <c r="C482" s="1" t="s">
        <v>74</v>
      </c>
      <c r="D482" s="1" t="s">
        <v>74</v>
      </c>
      <c r="E482" s="1" t="s">
        <v>74</v>
      </c>
      <c r="F482" s="1" t="s">
        <v>4493</v>
      </c>
      <c r="G482" s="1" t="s">
        <v>74</v>
      </c>
      <c r="H482" s="1" t="s">
        <v>74</v>
      </c>
      <c r="I482" s="1" t="s">
        <v>4494</v>
      </c>
      <c r="J482" s="1" t="s">
        <v>1230</v>
      </c>
      <c r="K482" s="1" t="s">
        <v>74</v>
      </c>
      <c r="L482" s="1" t="s">
        <v>74</v>
      </c>
      <c r="M482" s="1" t="s">
        <v>74</v>
      </c>
      <c r="N482" s="1" t="s">
        <v>78</v>
      </c>
      <c r="O482" s="1" t="s">
        <v>74</v>
      </c>
      <c r="P482" s="1" t="s">
        <v>74</v>
      </c>
      <c r="Q482" s="1" t="s">
        <v>74</v>
      </c>
      <c r="R482" s="1" t="s">
        <v>74</v>
      </c>
      <c r="S482" s="1" t="s">
        <v>74</v>
      </c>
      <c r="T482" s="1" t="s">
        <v>4495</v>
      </c>
      <c r="U482" s="1" t="s">
        <v>74</v>
      </c>
      <c r="V482" s="1" t="s">
        <v>4496</v>
      </c>
      <c r="W482" s="1" t="s">
        <v>74</v>
      </c>
      <c r="X482" s="1" t="s">
        <v>74</v>
      </c>
      <c r="Y482" s="1" t="s">
        <v>74</v>
      </c>
      <c r="Z482" s="1" t="s">
        <v>74</v>
      </c>
      <c r="AA482" s="1" t="s">
        <v>74</v>
      </c>
      <c r="AB482" s="1" t="s">
        <v>74</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1233</v>
      </c>
      <c r="AP482" s="1" t="s">
        <v>1234</v>
      </c>
      <c r="AQ482" s="1" t="s">
        <v>74</v>
      </c>
      <c r="AR482" s="1" t="s">
        <v>74</v>
      </c>
      <c r="AS482" s="1" t="s">
        <v>74</v>
      </c>
      <c r="AT482" s="1" t="s">
        <v>4497</v>
      </c>
      <c r="AU482" s="1">
        <v>2025.0</v>
      </c>
      <c r="AV482" s="1">
        <v>278.0</v>
      </c>
      <c r="AW482" s="1" t="s">
        <v>74</v>
      </c>
      <c r="AX482" s="1" t="s">
        <v>74</v>
      </c>
      <c r="AY482" s="1" t="s">
        <v>74</v>
      </c>
      <c r="AZ482" s="1" t="s">
        <v>74</v>
      </c>
      <c r="BA482" s="1" t="s">
        <v>74</v>
      </c>
      <c r="BB482" s="1" t="s">
        <v>74</v>
      </c>
      <c r="BC482" s="1" t="s">
        <v>74</v>
      </c>
      <c r="BD482" s="1">
        <v>127330.0</v>
      </c>
      <c r="BE482" s="1" t="s">
        <v>4498</v>
      </c>
      <c r="BF482" s="2" t="str">
        <f>HYPERLINK("http://dx.doi.org/10.1016/j.eswa.2025.127330","http://dx.doi.org/10.1016/j.eswa.2025.127330")</f>
        <v>http://dx.doi.org/10.1016/j.eswa.2025.127330</v>
      </c>
      <c r="BG482" s="1" t="s">
        <v>74</v>
      </c>
      <c r="BH482" s="1" t="s">
        <v>526</v>
      </c>
      <c r="BI482" s="1" t="s">
        <v>74</v>
      </c>
      <c r="BJ482" s="1" t="s">
        <v>74</v>
      </c>
      <c r="BK482" s="1" t="s">
        <v>74</v>
      </c>
      <c r="BL482" s="1" t="s">
        <v>1237</v>
      </c>
      <c r="BM482" s="1" t="s">
        <v>74</v>
      </c>
      <c r="BN482" s="1" t="s">
        <v>74</v>
      </c>
      <c r="BO482" s="1" t="s">
        <v>114</v>
      </c>
      <c r="BP482" s="1" t="s">
        <v>74</v>
      </c>
      <c r="BQ482" s="1" t="s">
        <v>74</v>
      </c>
      <c r="BR482" s="1" t="s">
        <v>74</v>
      </c>
      <c r="BS482" s="1" t="s">
        <v>4499</v>
      </c>
      <c r="BT482" s="1" t="str">
        <f>HYPERLINK("https%3A%2F%2Fwww.webofscience.com%2Fwos%2Fwoscc%2Ffull-record%2FWOS:001461489800001","View Full Record in Web of Science")</f>
        <v>View Full Record in Web of Science</v>
      </c>
    </row>
    <row r="483" ht="12.75" customHeight="1">
      <c r="A483" s="1" t="s">
        <v>72</v>
      </c>
      <c r="B483" s="1" t="s">
        <v>4500</v>
      </c>
      <c r="C483" s="1" t="s">
        <v>74</v>
      </c>
      <c r="D483" s="1" t="s">
        <v>74</v>
      </c>
      <c r="E483" s="1" t="s">
        <v>74</v>
      </c>
      <c r="F483" s="1" t="s">
        <v>4501</v>
      </c>
      <c r="G483" s="1" t="s">
        <v>74</v>
      </c>
      <c r="H483" s="1" t="s">
        <v>74</v>
      </c>
      <c r="I483" s="1" t="s">
        <v>4502</v>
      </c>
      <c r="J483" s="1" t="s">
        <v>816</v>
      </c>
      <c r="K483" s="1" t="s">
        <v>74</v>
      </c>
      <c r="L483" s="1" t="s">
        <v>74</v>
      </c>
      <c r="M483" s="1" t="s">
        <v>74</v>
      </c>
      <c r="N483" s="1" t="s">
        <v>78</v>
      </c>
      <c r="O483" s="1" t="s">
        <v>74</v>
      </c>
      <c r="P483" s="1" t="s">
        <v>74</v>
      </c>
      <c r="Q483" s="1" t="s">
        <v>74</v>
      </c>
      <c r="R483" s="1" t="s">
        <v>74</v>
      </c>
      <c r="S483" s="1" t="s">
        <v>74</v>
      </c>
      <c r="T483" s="1" t="s">
        <v>4503</v>
      </c>
      <c r="U483" s="1" t="s">
        <v>4504</v>
      </c>
      <c r="V483" s="1" t="s">
        <v>4505</v>
      </c>
      <c r="W483" s="1" t="s">
        <v>74</v>
      </c>
      <c r="X483" s="1" t="s">
        <v>74</v>
      </c>
      <c r="Y483" s="1" t="s">
        <v>74</v>
      </c>
      <c r="Z483" s="1" t="s">
        <v>74</v>
      </c>
      <c r="AA483" s="1" t="s">
        <v>74</v>
      </c>
      <c r="AB483" s="1" t="s">
        <v>74</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820</v>
      </c>
      <c r="AP483" s="1" t="s">
        <v>821</v>
      </c>
      <c r="AQ483" s="1" t="s">
        <v>74</v>
      </c>
      <c r="AR483" s="1" t="s">
        <v>74</v>
      </c>
      <c r="AS483" s="1" t="s">
        <v>74</v>
      </c>
      <c r="AT483" s="1" t="s">
        <v>736</v>
      </c>
      <c r="AU483" s="1">
        <v>2025.0</v>
      </c>
      <c r="AV483" s="1">
        <v>161.0</v>
      </c>
      <c r="AW483" s="1" t="s">
        <v>74</v>
      </c>
      <c r="AX483" s="1" t="s">
        <v>74</v>
      </c>
      <c r="AY483" s="1" t="s">
        <v>74</v>
      </c>
      <c r="AZ483" s="1" t="s">
        <v>74</v>
      </c>
      <c r="BA483" s="1" t="s">
        <v>74</v>
      </c>
      <c r="BB483" s="1" t="s">
        <v>74</v>
      </c>
      <c r="BC483" s="1" t="s">
        <v>74</v>
      </c>
      <c r="BD483" s="1">
        <v>104758.0</v>
      </c>
      <c r="BE483" s="1" t="s">
        <v>4506</v>
      </c>
      <c r="BF483" s="2" t="str">
        <f>HYPERLINK("http://dx.doi.org/10.1016/j.jbi.2024.104758","http://dx.doi.org/10.1016/j.jbi.2024.104758")</f>
        <v>http://dx.doi.org/10.1016/j.jbi.2024.104758</v>
      </c>
      <c r="BG483" s="1" t="s">
        <v>74</v>
      </c>
      <c r="BH483" s="1" t="s">
        <v>1080</v>
      </c>
      <c r="BI483" s="1" t="s">
        <v>74</v>
      </c>
      <c r="BJ483" s="1" t="s">
        <v>74</v>
      </c>
      <c r="BK483" s="1" t="s">
        <v>74</v>
      </c>
      <c r="BL483" s="1" t="s">
        <v>823</v>
      </c>
      <c r="BM483" s="1" t="s">
        <v>74</v>
      </c>
      <c r="BN483" s="1" t="s">
        <v>74</v>
      </c>
      <c r="BO483" s="1" t="s">
        <v>127</v>
      </c>
      <c r="BP483" s="1" t="s">
        <v>74</v>
      </c>
      <c r="BQ483" s="1" t="s">
        <v>74</v>
      </c>
      <c r="BR483" s="1" t="s">
        <v>74</v>
      </c>
      <c r="BS483" s="1" t="s">
        <v>4507</v>
      </c>
      <c r="BT483" s="1" t="str">
        <f>HYPERLINK("https%3A%2F%2Fwww.webofscience.com%2Fwos%2Fwoscc%2Ffull-record%2FWOS:001385947200001","View Full Record in Web of Science")</f>
        <v>View Full Record in Web of Science</v>
      </c>
    </row>
    <row r="484" ht="12.75" customHeight="1">
      <c r="A484" s="1" t="s">
        <v>72</v>
      </c>
      <c r="B484" s="1" t="s">
        <v>4508</v>
      </c>
      <c r="C484" s="1" t="s">
        <v>74</v>
      </c>
      <c r="D484" s="1" t="s">
        <v>74</v>
      </c>
      <c r="E484" s="1" t="s">
        <v>74</v>
      </c>
      <c r="F484" s="1" t="s">
        <v>4509</v>
      </c>
      <c r="G484" s="1" t="s">
        <v>74</v>
      </c>
      <c r="H484" s="1" t="s">
        <v>74</v>
      </c>
      <c r="I484" s="1" t="s">
        <v>4510</v>
      </c>
      <c r="J484" s="1" t="s">
        <v>2331</v>
      </c>
      <c r="K484" s="1" t="s">
        <v>74</v>
      </c>
      <c r="L484" s="1" t="s">
        <v>74</v>
      </c>
      <c r="M484" s="1" t="s">
        <v>74</v>
      </c>
      <c r="N484" s="1" t="s">
        <v>78</v>
      </c>
      <c r="O484" s="1" t="s">
        <v>74</v>
      </c>
      <c r="P484" s="1" t="s">
        <v>74</v>
      </c>
      <c r="Q484" s="1" t="s">
        <v>74</v>
      </c>
      <c r="R484" s="1" t="s">
        <v>74</v>
      </c>
      <c r="S484" s="1" t="s">
        <v>74</v>
      </c>
      <c r="T484" s="1" t="s">
        <v>4511</v>
      </c>
      <c r="U484" s="1" t="s">
        <v>74</v>
      </c>
      <c r="V484" s="1" t="s">
        <v>4512</v>
      </c>
      <c r="W484" s="1" t="s">
        <v>74</v>
      </c>
      <c r="X484" s="1" t="s">
        <v>74</v>
      </c>
      <c r="Y484" s="1" t="s">
        <v>74</v>
      </c>
      <c r="Z484" s="1" t="s">
        <v>74</v>
      </c>
      <c r="AA484" s="1" t="s">
        <v>74</v>
      </c>
      <c r="AB484" s="1" t="s">
        <v>74</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2334</v>
      </c>
      <c r="AP484" s="1" t="s">
        <v>2335</v>
      </c>
      <c r="AQ484" s="1" t="s">
        <v>74</v>
      </c>
      <c r="AR484" s="1" t="s">
        <v>74</v>
      </c>
      <c r="AS484" s="1" t="s">
        <v>74</v>
      </c>
      <c r="AT484" s="1" t="s">
        <v>200</v>
      </c>
      <c r="AU484" s="1">
        <v>2025.0</v>
      </c>
      <c r="AV484" s="1">
        <v>94.0</v>
      </c>
      <c r="AW484" s="1" t="s">
        <v>74</v>
      </c>
      <c r="AX484" s="1" t="s">
        <v>74</v>
      </c>
      <c r="AY484" s="1" t="s">
        <v>74</v>
      </c>
      <c r="AZ484" s="1" t="s">
        <v>74</v>
      </c>
      <c r="BA484" s="1" t="s">
        <v>74</v>
      </c>
      <c r="BB484" s="1" t="s">
        <v>74</v>
      </c>
      <c r="BC484" s="1" t="s">
        <v>74</v>
      </c>
      <c r="BD484" s="1">
        <v>101392.0</v>
      </c>
      <c r="BE484" s="1" t="s">
        <v>4513</v>
      </c>
      <c r="BF484" s="2" t="str">
        <f>HYPERLINK("http://dx.doi.org/10.1016/j.cogsys.2025.101392","http://dx.doi.org/10.1016/j.cogsys.2025.101392")</f>
        <v>http://dx.doi.org/10.1016/j.cogsys.2025.101392</v>
      </c>
      <c r="BG484" s="1" t="s">
        <v>74</v>
      </c>
      <c r="BH484" s="1" t="s">
        <v>738</v>
      </c>
      <c r="BI484" s="1" t="s">
        <v>74</v>
      </c>
      <c r="BJ484" s="1" t="s">
        <v>74</v>
      </c>
      <c r="BK484" s="1" t="s">
        <v>74</v>
      </c>
      <c r="BL484" s="1" t="s">
        <v>2337</v>
      </c>
      <c r="BM484" s="1" t="s">
        <v>74</v>
      </c>
      <c r="BN484" s="1" t="s">
        <v>74</v>
      </c>
      <c r="BO484" s="1" t="s">
        <v>127</v>
      </c>
      <c r="BP484" s="1" t="s">
        <v>74</v>
      </c>
      <c r="BQ484" s="1" t="s">
        <v>74</v>
      </c>
      <c r="BR484" s="1" t="s">
        <v>74</v>
      </c>
      <c r="BS484" s="1" t="s">
        <v>4514</v>
      </c>
      <c r="BT484" s="1" t="str">
        <f>HYPERLINK("https%3A%2F%2Fwww.webofscience.com%2Fwos%2Fwoscc%2Ffull-record%2FWOS:001582930400001","View Full Record in Web of Science")</f>
        <v>View Full Record in Web of Science</v>
      </c>
    </row>
    <row r="485" ht="12.75" customHeight="1">
      <c r="A485" s="1" t="s">
        <v>72</v>
      </c>
      <c r="B485" s="1" t="s">
        <v>4515</v>
      </c>
      <c r="C485" s="1" t="s">
        <v>74</v>
      </c>
      <c r="D485" s="1" t="s">
        <v>74</v>
      </c>
      <c r="E485" s="1" t="s">
        <v>74</v>
      </c>
      <c r="F485" s="1" t="s">
        <v>4516</v>
      </c>
      <c r="G485" s="1" t="s">
        <v>74</v>
      </c>
      <c r="H485" s="1" t="s">
        <v>74</v>
      </c>
      <c r="I485" s="1" t="s">
        <v>4517</v>
      </c>
      <c r="J485" s="1" t="s">
        <v>4518</v>
      </c>
      <c r="K485" s="1" t="s">
        <v>74</v>
      </c>
      <c r="L485" s="1" t="s">
        <v>74</v>
      </c>
      <c r="M485" s="1" t="s">
        <v>74</v>
      </c>
      <c r="N485" s="1" t="s">
        <v>78</v>
      </c>
      <c r="O485" s="1" t="s">
        <v>74</v>
      </c>
      <c r="P485" s="1" t="s">
        <v>74</v>
      </c>
      <c r="Q485" s="1" t="s">
        <v>74</v>
      </c>
      <c r="R485" s="1" t="s">
        <v>74</v>
      </c>
      <c r="S485" s="1" t="s">
        <v>74</v>
      </c>
      <c r="T485" s="1" t="s">
        <v>4519</v>
      </c>
      <c r="U485" s="1" t="s">
        <v>4520</v>
      </c>
      <c r="V485" s="1" t="s">
        <v>4521</v>
      </c>
      <c r="W485" s="1" t="s">
        <v>74</v>
      </c>
      <c r="X485" s="1" t="s">
        <v>74</v>
      </c>
      <c r="Y485" s="1" t="s">
        <v>74</v>
      </c>
      <c r="Z485" s="1" t="s">
        <v>74</v>
      </c>
      <c r="AA485" s="1" t="s">
        <v>74</v>
      </c>
      <c r="AB485" s="1" t="s">
        <v>74</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4522</v>
      </c>
      <c r="AP485" s="1" t="s">
        <v>4523</v>
      </c>
      <c r="AQ485" s="1" t="s">
        <v>74</v>
      </c>
      <c r="AR485" s="1" t="s">
        <v>74</v>
      </c>
      <c r="AS485" s="1" t="s">
        <v>74</v>
      </c>
      <c r="AT485" s="1" t="s">
        <v>736</v>
      </c>
      <c r="AU485" s="1">
        <v>2024.0</v>
      </c>
      <c r="AV485" s="1">
        <v>168.0</v>
      </c>
      <c r="AW485" s="1" t="s">
        <v>74</v>
      </c>
      <c r="AX485" s="1" t="s">
        <v>74</v>
      </c>
      <c r="AY485" s="1" t="s">
        <v>74</v>
      </c>
      <c r="AZ485" s="1" t="s">
        <v>74</v>
      </c>
      <c r="BA485" s="1" t="s">
        <v>74</v>
      </c>
      <c r="BB485" s="1" t="s">
        <v>74</v>
      </c>
      <c r="BC485" s="1" t="s">
        <v>74</v>
      </c>
      <c r="BD485" s="1">
        <v>107794.0</v>
      </c>
      <c r="BE485" s="1" t="s">
        <v>4524</v>
      </c>
      <c r="BF485" s="2" t="str">
        <f>HYPERLINK("http://dx.doi.org/10.1016/j.compbiomed.2023.107794","http://dx.doi.org/10.1016/j.compbiomed.2023.107794")</f>
        <v>http://dx.doi.org/10.1016/j.compbiomed.2023.107794</v>
      </c>
      <c r="BG485" s="1" t="s">
        <v>74</v>
      </c>
      <c r="BH485" s="1" t="s">
        <v>4525</v>
      </c>
      <c r="BI485" s="1" t="s">
        <v>74</v>
      </c>
      <c r="BJ485" s="1" t="s">
        <v>74</v>
      </c>
      <c r="BK485" s="1" t="s">
        <v>74</v>
      </c>
      <c r="BL485" s="1" t="s">
        <v>4526</v>
      </c>
      <c r="BM485" s="1" t="s">
        <v>74</v>
      </c>
      <c r="BN485" s="1" t="s">
        <v>74</v>
      </c>
      <c r="BO485" s="1" t="s">
        <v>74</v>
      </c>
      <c r="BP485" s="1" t="s">
        <v>74</v>
      </c>
      <c r="BQ485" s="1" t="s">
        <v>74</v>
      </c>
      <c r="BR485" s="1" t="s">
        <v>74</v>
      </c>
      <c r="BS485" s="1" t="s">
        <v>4527</v>
      </c>
      <c r="BT485" s="1" t="str">
        <f>HYPERLINK("https%3A%2F%2Fwww.webofscience.com%2Fwos%2Fwoscc%2Ffull-record%2FWOS:001134721800001","View Full Record in Web of Science")</f>
        <v>View Full Record in Web of Science</v>
      </c>
    </row>
    <row r="486" ht="12.75" customHeight="1">
      <c r="A486" s="1" t="s">
        <v>72</v>
      </c>
      <c r="B486" s="1" t="s">
        <v>4528</v>
      </c>
      <c r="C486" s="1" t="s">
        <v>74</v>
      </c>
      <c r="D486" s="1" t="s">
        <v>74</v>
      </c>
      <c r="E486" s="1" t="s">
        <v>74</v>
      </c>
      <c r="F486" s="1" t="s">
        <v>4529</v>
      </c>
      <c r="G486" s="1" t="s">
        <v>74</v>
      </c>
      <c r="H486" s="1" t="s">
        <v>74</v>
      </c>
      <c r="I486" s="1" t="s">
        <v>4530</v>
      </c>
      <c r="J486" s="1" t="s">
        <v>4531</v>
      </c>
      <c r="K486" s="1" t="s">
        <v>74</v>
      </c>
      <c r="L486" s="1" t="s">
        <v>74</v>
      </c>
      <c r="M486" s="1" t="s">
        <v>74</v>
      </c>
      <c r="N486" s="1" t="s">
        <v>158</v>
      </c>
      <c r="O486" s="1" t="s">
        <v>74</v>
      </c>
      <c r="P486" s="1" t="s">
        <v>74</v>
      </c>
      <c r="Q486" s="1" t="s">
        <v>74</v>
      </c>
      <c r="R486" s="1" t="s">
        <v>74</v>
      </c>
      <c r="S486" s="1" t="s">
        <v>74</v>
      </c>
      <c r="T486" s="1" t="s">
        <v>4532</v>
      </c>
      <c r="U486" s="1" t="s">
        <v>74</v>
      </c>
      <c r="V486" s="1" t="s">
        <v>4533</v>
      </c>
      <c r="W486" s="1" t="s">
        <v>74</v>
      </c>
      <c r="X486" s="1" t="s">
        <v>74</v>
      </c>
      <c r="Y486" s="1" t="s">
        <v>74</v>
      </c>
      <c r="Z486" s="1" t="s">
        <v>74</v>
      </c>
      <c r="AA486" s="1" t="s">
        <v>74</v>
      </c>
      <c r="AB486" s="1" t="s">
        <v>74</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4534</v>
      </c>
      <c r="AP486" s="1" t="s">
        <v>4535</v>
      </c>
      <c r="AQ486" s="1" t="s">
        <v>74</v>
      </c>
      <c r="AR486" s="1" t="s">
        <v>74</v>
      </c>
      <c r="AS486" s="1" t="s">
        <v>74</v>
      </c>
      <c r="AT486" s="1" t="s">
        <v>335</v>
      </c>
      <c r="AU486" s="1">
        <v>2025.0</v>
      </c>
      <c r="AV486" s="1">
        <v>31.0</v>
      </c>
      <c r="AW486" s="1">
        <v>2.0</v>
      </c>
      <c r="AX486" s="1" t="s">
        <v>74</v>
      </c>
      <c r="AY486" s="1" t="s">
        <v>74</v>
      </c>
      <c r="AZ486" s="1" t="s">
        <v>707</v>
      </c>
      <c r="BA486" s="1" t="s">
        <v>74</v>
      </c>
      <c r="BB486" s="1">
        <v>105.0</v>
      </c>
      <c r="BC486" s="1">
        <v>108.0</v>
      </c>
      <c r="BD486" s="1" t="s">
        <v>74</v>
      </c>
      <c r="BE486" s="1" t="s">
        <v>4536</v>
      </c>
      <c r="BF486" s="2" t="str">
        <f>HYPERLINK("http://dx.doi.org/10.1007/s10588-025-09400-w","http://dx.doi.org/10.1007/s10588-025-09400-w")</f>
        <v>http://dx.doi.org/10.1007/s10588-025-09400-w</v>
      </c>
      <c r="BG486" s="1" t="s">
        <v>74</v>
      </c>
      <c r="BH486" s="1" t="s">
        <v>347</v>
      </c>
      <c r="BI486" s="1" t="s">
        <v>74</v>
      </c>
      <c r="BJ486" s="1" t="s">
        <v>74</v>
      </c>
      <c r="BK486" s="1" t="s">
        <v>74</v>
      </c>
      <c r="BL486" s="1" t="s">
        <v>4537</v>
      </c>
      <c r="BM486" s="1" t="s">
        <v>74</v>
      </c>
      <c r="BN486" s="1" t="s">
        <v>74</v>
      </c>
      <c r="BO486" s="1" t="s">
        <v>74</v>
      </c>
      <c r="BP486" s="1" t="s">
        <v>74</v>
      </c>
      <c r="BQ486" s="1" t="s">
        <v>74</v>
      </c>
      <c r="BR486" s="1" t="s">
        <v>74</v>
      </c>
      <c r="BS486" s="1" t="s">
        <v>4538</v>
      </c>
      <c r="BT486" s="1" t="str">
        <f>HYPERLINK("https%3A%2F%2Fwww.webofscience.com%2Fwos%2Fwoscc%2Ffull-record%2FWOS:001467624100001","View Full Record in Web of Science")</f>
        <v>View Full Record in Web of Science</v>
      </c>
    </row>
    <row r="487" ht="12.75" customHeight="1">
      <c r="A487" s="1" t="s">
        <v>72</v>
      </c>
      <c r="B487" s="1" t="s">
        <v>4539</v>
      </c>
      <c r="C487" s="1" t="s">
        <v>74</v>
      </c>
      <c r="D487" s="1" t="s">
        <v>74</v>
      </c>
      <c r="E487" s="1" t="s">
        <v>74</v>
      </c>
      <c r="F487" s="1" t="s">
        <v>4540</v>
      </c>
      <c r="G487" s="1" t="s">
        <v>74</v>
      </c>
      <c r="H487" s="1" t="s">
        <v>74</v>
      </c>
      <c r="I487" s="1" t="s">
        <v>4541</v>
      </c>
      <c r="J487" s="1" t="s">
        <v>2928</v>
      </c>
      <c r="K487" s="1" t="s">
        <v>74</v>
      </c>
      <c r="L487" s="1" t="s">
        <v>74</v>
      </c>
      <c r="M487" s="1" t="s">
        <v>74</v>
      </c>
      <c r="N487" s="1" t="s">
        <v>78</v>
      </c>
      <c r="O487" s="1" t="s">
        <v>74</v>
      </c>
      <c r="P487" s="1" t="s">
        <v>74</v>
      </c>
      <c r="Q487" s="1" t="s">
        <v>74</v>
      </c>
      <c r="R487" s="1" t="s">
        <v>74</v>
      </c>
      <c r="S487" s="1" t="s">
        <v>74</v>
      </c>
      <c r="T487" s="1" t="s">
        <v>4542</v>
      </c>
      <c r="U487" s="1" t="s">
        <v>74</v>
      </c>
      <c r="V487" s="1" t="s">
        <v>4543</v>
      </c>
      <c r="W487" s="1" t="s">
        <v>74</v>
      </c>
      <c r="X487" s="1" t="s">
        <v>74</v>
      </c>
      <c r="Y487" s="1" t="s">
        <v>74</v>
      </c>
      <c r="Z487" s="1" t="s">
        <v>74</v>
      </c>
      <c r="AA487" s="1" t="s">
        <v>74</v>
      </c>
      <c r="AB487" s="1" t="s">
        <v>74</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2931</v>
      </c>
      <c r="AP487" s="1" t="s">
        <v>2932</v>
      </c>
      <c r="AQ487" s="1" t="s">
        <v>74</v>
      </c>
      <c r="AR487" s="1" t="s">
        <v>74</v>
      </c>
      <c r="AS487" s="1" t="s">
        <v>74</v>
      </c>
      <c r="AT487" s="1" t="s">
        <v>262</v>
      </c>
      <c r="AU487" s="1">
        <v>2025.0</v>
      </c>
      <c r="AV487" s="1">
        <v>67.0</v>
      </c>
      <c r="AW487" s="1" t="s">
        <v>74</v>
      </c>
      <c r="AX487" s="1" t="s">
        <v>74</v>
      </c>
      <c r="AY487" s="1" t="s">
        <v>74</v>
      </c>
      <c r="AZ487" s="1" t="s">
        <v>74</v>
      </c>
      <c r="BA487" s="1" t="s">
        <v>74</v>
      </c>
      <c r="BB487" s="1" t="s">
        <v>74</v>
      </c>
      <c r="BC487" s="1" t="s">
        <v>74</v>
      </c>
      <c r="BD487" s="1">
        <v>103527.0</v>
      </c>
      <c r="BE487" s="1" t="s">
        <v>4544</v>
      </c>
      <c r="BF487" s="2" t="str">
        <f>HYPERLINK("http://dx.doi.org/10.1016/j.aei.2025.103527","http://dx.doi.org/10.1016/j.aei.2025.103527")</f>
        <v>http://dx.doi.org/10.1016/j.aei.2025.103527</v>
      </c>
      <c r="BG487" s="1" t="s">
        <v>74</v>
      </c>
      <c r="BH487" s="1" t="s">
        <v>112</v>
      </c>
      <c r="BI487" s="1" t="s">
        <v>74</v>
      </c>
      <c r="BJ487" s="1" t="s">
        <v>74</v>
      </c>
      <c r="BK487" s="1" t="s">
        <v>74</v>
      </c>
      <c r="BL487" s="1" t="s">
        <v>98</v>
      </c>
      <c r="BM487" s="1" t="s">
        <v>74</v>
      </c>
      <c r="BN487" s="1" t="s">
        <v>74</v>
      </c>
      <c r="BO487" s="1" t="s">
        <v>74</v>
      </c>
      <c r="BP487" s="1" t="s">
        <v>74</v>
      </c>
      <c r="BQ487" s="1" t="s">
        <v>74</v>
      </c>
      <c r="BR487" s="1" t="s">
        <v>74</v>
      </c>
      <c r="BS487" s="1" t="s">
        <v>4545</v>
      </c>
      <c r="BT487" s="1" t="str">
        <f>HYPERLINK("https%3A%2F%2Fwww.webofscience.com%2Fwos%2Fwoscc%2Ffull-record%2FWOS:001514217900002","View Full Record in Web of Science")</f>
        <v>View Full Record in Web of Science</v>
      </c>
    </row>
    <row r="488" ht="12.75" customHeight="1">
      <c r="A488" s="1" t="s">
        <v>72</v>
      </c>
      <c r="B488" s="1" t="s">
        <v>4546</v>
      </c>
      <c r="C488" s="1" t="s">
        <v>74</v>
      </c>
      <c r="D488" s="1" t="s">
        <v>74</v>
      </c>
      <c r="E488" s="1" t="s">
        <v>74</v>
      </c>
      <c r="F488" s="1" t="s">
        <v>4547</v>
      </c>
      <c r="G488" s="1" t="s">
        <v>74</v>
      </c>
      <c r="H488" s="1" t="s">
        <v>74</v>
      </c>
      <c r="I488" s="1" t="s">
        <v>4548</v>
      </c>
      <c r="J488" s="1" t="s">
        <v>664</v>
      </c>
      <c r="K488" s="1" t="s">
        <v>74</v>
      </c>
      <c r="L488" s="1" t="s">
        <v>74</v>
      </c>
      <c r="M488" s="1" t="s">
        <v>74</v>
      </c>
      <c r="N488" s="1" t="s">
        <v>78</v>
      </c>
      <c r="O488" s="1" t="s">
        <v>74</v>
      </c>
      <c r="P488" s="1" t="s">
        <v>74</v>
      </c>
      <c r="Q488" s="1" t="s">
        <v>74</v>
      </c>
      <c r="R488" s="1" t="s">
        <v>74</v>
      </c>
      <c r="S488" s="1" t="s">
        <v>74</v>
      </c>
      <c r="T488" s="1" t="s">
        <v>4549</v>
      </c>
      <c r="U488" s="1" t="s">
        <v>74</v>
      </c>
      <c r="V488" s="1" t="s">
        <v>4550</v>
      </c>
      <c r="W488" s="1" t="s">
        <v>74</v>
      </c>
      <c r="X488" s="1" t="s">
        <v>74</v>
      </c>
      <c r="Y488" s="1" t="s">
        <v>74</v>
      </c>
      <c r="Z488" s="1" t="s">
        <v>74</v>
      </c>
      <c r="AA488" s="1" t="s">
        <v>74</v>
      </c>
      <c r="AB488" s="1" t="s">
        <v>74</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667</v>
      </c>
      <c r="AP488" s="1" t="s">
        <v>668</v>
      </c>
      <c r="AQ488" s="1" t="s">
        <v>74</v>
      </c>
      <c r="AR488" s="1" t="s">
        <v>74</v>
      </c>
      <c r="AS488" s="1" t="s">
        <v>74</v>
      </c>
      <c r="AT488" s="1" t="s">
        <v>172</v>
      </c>
      <c r="AU488" s="1">
        <v>2025.0</v>
      </c>
      <c r="AV488" s="1">
        <v>40.0</v>
      </c>
      <c r="AW488" s="1">
        <v>6.0</v>
      </c>
      <c r="AX488" s="1" t="s">
        <v>74</v>
      </c>
      <c r="AY488" s="1" t="s">
        <v>74</v>
      </c>
      <c r="AZ488" s="1" t="s">
        <v>74</v>
      </c>
      <c r="BA488" s="1" t="s">
        <v>74</v>
      </c>
      <c r="BB488" s="1">
        <v>91.0</v>
      </c>
      <c r="BC488" s="1">
        <v>98.0</v>
      </c>
      <c r="BD488" s="1" t="s">
        <v>74</v>
      </c>
      <c r="BE488" s="1" t="s">
        <v>4551</v>
      </c>
      <c r="BF488" s="2" t="str">
        <f>HYPERLINK("http://dx.doi.org/10.1109/MIS.2025.3622004","http://dx.doi.org/10.1109/MIS.2025.3622004")</f>
        <v>http://dx.doi.org/10.1109/MIS.2025.3622004</v>
      </c>
      <c r="BG488" s="1" t="s">
        <v>74</v>
      </c>
      <c r="BH488" s="1" t="s">
        <v>74</v>
      </c>
      <c r="BI488" s="1" t="s">
        <v>74</v>
      </c>
      <c r="BJ488" s="1" t="s">
        <v>74</v>
      </c>
      <c r="BK488" s="1" t="s">
        <v>74</v>
      </c>
      <c r="BL488" s="1" t="s">
        <v>98</v>
      </c>
      <c r="BM488" s="1" t="s">
        <v>74</v>
      </c>
      <c r="BN488" s="1" t="s">
        <v>74</v>
      </c>
      <c r="BO488" s="1" t="s">
        <v>114</v>
      </c>
      <c r="BP488" s="1" t="s">
        <v>74</v>
      </c>
      <c r="BQ488" s="1" t="s">
        <v>74</v>
      </c>
      <c r="BR488" s="1" t="s">
        <v>74</v>
      </c>
      <c r="BS488" s="1" t="s">
        <v>4552</v>
      </c>
      <c r="BT488" s="1" t="str">
        <f>HYPERLINK("https%3A%2F%2Fwww.webofscience.com%2Fwos%2Fwoscc%2Ffull-record%2FWOS:001632419000003","View Full Record in Web of Science")</f>
        <v>View Full Record in Web of Science</v>
      </c>
    </row>
    <row r="489" ht="12.75" customHeight="1">
      <c r="A489" s="1" t="s">
        <v>72</v>
      </c>
      <c r="B489" s="1" t="s">
        <v>4553</v>
      </c>
      <c r="C489" s="1" t="s">
        <v>74</v>
      </c>
      <c r="D489" s="1" t="s">
        <v>74</v>
      </c>
      <c r="E489" s="1" t="s">
        <v>74</v>
      </c>
      <c r="F489" s="1" t="s">
        <v>4554</v>
      </c>
      <c r="G489" s="1" t="s">
        <v>74</v>
      </c>
      <c r="H489" s="1" t="s">
        <v>74</v>
      </c>
      <c r="I489" s="1" t="s">
        <v>4555</v>
      </c>
      <c r="J489" s="1" t="s">
        <v>966</v>
      </c>
      <c r="K489" s="1" t="s">
        <v>74</v>
      </c>
      <c r="L489" s="1" t="s">
        <v>74</v>
      </c>
      <c r="M489" s="1" t="s">
        <v>74</v>
      </c>
      <c r="N489" s="1" t="s">
        <v>78</v>
      </c>
      <c r="O489" s="1" t="s">
        <v>74</v>
      </c>
      <c r="P489" s="1" t="s">
        <v>74</v>
      </c>
      <c r="Q489" s="1" t="s">
        <v>74</v>
      </c>
      <c r="R489" s="1" t="s">
        <v>74</v>
      </c>
      <c r="S489" s="1" t="s">
        <v>74</v>
      </c>
      <c r="T489" s="1" t="s">
        <v>4556</v>
      </c>
      <c r="U489" s="1" t="s">
        <v>74</v>
      </c>
      <c r="V489" s="1" t="s">
        <v>4557</v>
      </c>
      <c r="W489" s="1" t="s">
        <v>74</v>
      </c>
      <c r="X489" s="1" t="s">
        <v>74</v>
      </c>
      <c r="Y489" s="1" t="s">
        <v>74</v>
      </c>
      <c r="Z489" s="1" t="s">
        <v>74</v>
      </c>
      <c r="AA489" s="1" t="s">
        <v>74</v>
      </c>
      <c r="AB489" s="1" t="s">
        <v>74</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969</v>
      </c>
      <c r="AP489" s="1" t="s">
        <v>970</v>
      </c>
      <c r="AQ489" s="1" t="s">
        <v>74</v>
      </c>
      <c r="AR489" s="1" t="s">
        <v>74</v>
      </c>
      <c r="AS489" s="1" t="s">
        <v>74</v>
      </c>
      <c r="AT489" s="1" t="s">
        <v>4558</v>
      </c>
      <c r="AU489" s="1">
        <v>2025.0</v>
      </c>
      <c r="AV489" s="1">
        <v>323.0</v>
      </c>
      <c r="AW489" s="1" t="s">
        <v>74</v>
      </c>
      <c r="AX489" s="1" t="s">
        <v>74</v>
      </c>
      <c r="AY489" s="1" t="s">
        <v>74</v>
      </c>
      <c r="AZ489" s="1" t="s">
        <v>74</v>
      </c>
      <c r="BA489" s="1" t="s">
        <v>74</v>
      </c>
      <c r="BB489" s="1" t="s">
        <v>74</v>
      </c>
      <c r="BC489" s="1" t="s">
        <v>74</v>
      </c>
      <c r="BD489" s="1">
        <v>113739.0</v>
      </c>
      <c r="BE489" s="1" t="s">
        <v>4559</v>
      </c>
      <c r="BF489" s="2" t="str">
        <f>HYPERLINK("http://dx.doi.org/10.1016/j.knosys.2025.113739","http://dx.doi.org/10.1016/j.knosys.2025.113739")</f>
        <v>http://dx.doi.org/10.1016/j.knosys.2025.113739</v>
      </c>
      <c r="BG489" s="1" t="s">
        <v>74</v>
      </c>
      <c r="BH489" s="1" t="s">
        <v>1150</v>
      </c>
      <c r="BI489" s="1" t="s">
        <v>74</v>
      </c>
      <c r="BJ489" s="1" t="s">
        <v>74</v>
      </c>
      <c r="BK489" s="1" t="s">
        <v>74</v>
      </c>
      <c r="BL489" s="1" t="s">
        <v>174</v>
      </c>
      <c r="BM489" s="1" t="s">
        <v>74</v>
      </c>
      <c r="BN489" s="1" t="s">
        <v>74</v>
      </c>
      <c r="BO489" s="1" t="s">
        <v>74</v>
      </c>
      <c r="BP489" s="1" t="s">
        <v>74</v>
      </c>
      <c r="BQ489" s="1" t="s">
        <v>74</v>
      </c>
      <c r="BR489" s="1" t="s">
        <v>74</v>
      </c>
      <c r="BS489" s="1" t="s">
        <v>4560</v>
      </c>
      <c r="BT489" s="1" t="str">
        <f>HYPERLINK("https%3A%2F%2Fwww.webofscience.com%2Fwos%2Fwoscc%2Ffull-record%2FWOS:001500538900004","View Full Record in Web of Science")</f>
        <v>View Full Record in Web of Science</v>
      </c>
    </row>
    <row r="490" ht="12.75" customHeight="1">
      <c r="A490" s="1" t="s">
        <v>72</v>
      </c>
      <c r="B490" s="1" t="s">
        <v>4561</v>
      </c>
      <c r="C490" s="1" t="s">
        <v>74</v>
      </c>
      <c r="D490" s="1" t="s">
        <v>74</v>
      </c>
      <c r="E490" s="1" t="s">
        <v>74</v>
      </c>
      <c r="F490" s="1" t="s">
        <v>4562</v>
      </c>
      <c r="G490" s="1" t="s">
        <v>74</v>
      </c>
      <c r="H490" s="1" t="s">
        <v>74</v>
      </c>
      <c r="I490" s="1" t="s">
        <v>4563</v>
      </c>
      <c r="J490" s="1" t="s">
        <v>2263</v>
      </c>
      <c r="K490" s="1" t="s">
        <v>74</v>
      </c>
      <c r="L490" s="1" t="s">
        <v>74</v>
      </c>
      <c r="M490" s="1" t="s">
        <v>74</v>
      </c>
      <c r="N490" s="1" t="s">
        <v>78</v>
      </c>
      <c r="O490" s="1" t="s">
        <v>74</v>
      </c>
      <c r="P490" s="1" t="s">
        <v>74</v>
      </c>
      <c r="Q490" s="1" t="s">
        <v>74</v>
      </c>
      <c r="R490" s="1" t="s">
        <v>74</v>
      </c>
      <c r="S490" s="1" t="s">
        <v>74</v>
      </c>
      <c r="T490" s="1" t="s">
        <v>4564</v>
      </c>
      <c r="U490" s="1" t="s">
        <v>4424</v>
      </c>
      <c r="V490" s="1" t="s">
        <v>4565</v>
      </c>
      <c r="W490" s="1" t="s">
        <v>74</v>
      </c>
      <c r="X490" s="1" t="s">
        <v>74</v>
      </c>
      <c r="Y490" s="1" t="s">
        <v>74</v>
      </c>
      <c r="Z490" s="1" t="s">
        <v>74</v>
      </c>
      <c r="AA490" s="1" t="s">
        <v>74</v>
      </c>
      <c r="AB490" s="1" t="s">
        <v>74</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2266</v>
      </c>
      <c r="AP490" s="1" t="s">
        <v>2267</v>
      </c>
      <c r="AQ490" s="1" t="s">
        <v>74</v>
      </c>
      <c r="AR490" s="1" t="s">
        <v>74</v>
      </c>
      <c r="AS490" s="1" t="s">
        <v>74</v>
      </c>
      <c r="AT490" s="1" t="s">
        <v>736</v>
      </c>
      <c r="AU490" s="1">
        <v>2026.0</v>
      </c>
      <c r="AV490" s="1">
        <v>35.0</v>
      </c>
      <c r="AW490" s="1" t="s">
        <v>74</v>
      </c>
      <c r="AX490" s="1" t="s">
        <v>74</v>
      </c>
      <c r="AY490" s="1" t="s">
        <v>74</v>
      </c>
      <c r="AZ490" s="1" t="s">
        <v>74</v>
      </c>
      <c r="BA490" s="1" t="s">
        <v>74</v>
      </c>
      <c r="BB490" s="1" t="s">
        <v>74</v>
      </c>
      <c r="BC490" s="1" t="s">
        <v>74</v>
      </c>
      <c r="BD490" s="1">
        <v>101826.0</v>
      </c>
      <c r="BE490" s="1" t="s">
        <v>4566</v>
      </c>
      <c r="BF490" s="2" t="str">
        <f>HYPERLINK("http://dx.doi.org/10.1016/j.iot.2025.101826","http://dx.doi.org/10.1016/j.iot.2025.101826")</f>
        <v>http://dx.doi.org/10.1016/j.iot.2025.101826</v>
      </c>
      <c r="BG490" s="1" t="s">
        <v>74</v>
      </c>
      <c r="BH490" s="1" t="s">
        <v>255</v>
      </c>
      <c r="BI490" s="1" t="s">
        <v>74</v>
      </c>
      <c r="BJ490" s="1" t="s">
        <v>74</v>
      </c>
      <c r="BK490" s="1" t="s">
        <v>74</v>
      </c>
      <c r="BL490" s="1" t="s">
        <v>152</v>
      </c>
      <c r="BM490" s="1" t="s">
        <v>74</v>
      </c>
      <c r="BN490" s="1" t="s">
        <v>74</v>
      </c>
      <c r="BO490" s="1" t="s">
        <v>114</v>
      </c>
      <c r="BP490" s="1" t="s">
        <v>74</v>
      </c>
      <c r="BQ490" s="1" t="s">
        <v>74</v>
      </c>
      <c r="BR490" s="1" t="s">
        <v>74</v>
      </c>
      <c r="BS490" s="1" t="s">
        <v>4567</v>
      </c>
      <c r="BT490" s="1" t="str">
        <f>HYPERLINK("https%3A%2F%2Fwww.webofscience.com%2Fwos%2Fwoscc%2Ffull-record%2FWOS:001626941500002","View Full Record in Web of Science")</f>
        <v>View Full Record in Web of Science</v>
      </c>
    </row>
    <row r="491" ht="12.75" customHeight="1">
      <c r="A491" s="1" t="s">
        <v>72</v>
      </c>
      <c r="B491" s="1" t="s">
        <v>4568</v>
      </c>
      <c r="C491" s="1" t="s">
        <v>74</v>
      </c>
      <c r="D491" s="1" t="s">
        <v>74</v>
      </c>
      <c r="E491" s="1" t="s">
        <v>74</v>
      </c>
      <c r="F491" s="1" t="s">
        <v>4569</v>
      </c>
      <c r="G491" s="1" t="s">
        <v>74</v>
      </c>
      <c r="H491" s="1" t="s">
        <v>74</v>
      </c>
      <c r="I491" s="1" t="s">
        <v>4570</v>
      </c>
      <c r="J491" s="1" t="s">
        <v>720</v>
      </c>
      <c r="K491" s="1" t="s">
        <v>74</v>
      </c>
      <c r="L491" s="1" t="s">
        <v>74</v>
      </c>
      <c r="M491" s="1" t="s">
        <v>74</v>
      </c>
      <c r="N491" s="1" t="s">
        <v>78</v>
      </c>
      <c r="O491" s="1" t="s">
        <v>74</v>
      </c>
      <c r="P491" s="1" t="s">
        <v>74</v>
      </c>
      <c r="Q491" s="1" t="s">
        <v>74</v>
      </c>
      <c r="R491" s="1" t="s">
        <v>74</v>
      </c>
      <c r="S491" s="1" t="s">
        <v>74</v>
      </c>
      <c r="T491" s="1" t="s">
        <v>4571</v>
      </c>
      <c r="U491" s="1" t="s">
        <v>74</v>
      </c>
      <c r="V491" s="1" t="s">
        <v>4572</v>
      </c>
      <c r="W491" s="1" t="s">
        <v>74</v>
      </c>
      <c r="X491" s="1" t="s">
        <v>74</v>
      </c>
      <c r="Y491" s="1" t="s">
        <v>74</v>
      </c>
      <c r="Z491" s="1" t="s">
        <v>74</v>
      </c>
      <c r="AA491" s="1" t="s">
        <v>74</v>
      </c>
      <c r="AB491" s="1" t="s">
        <v>74</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723</v>
      </c>
      <c r="AP491" s="1" t="s">
        <v>724</v>
      </c>
      <c r="AQ491" s="1" t="s">
        <v>74</v>
      </c>
      <c r="AR491" s="1" t="s">
        <v>74</v>
      </c>
      <c r="AS491" s="1" t="s">
        <v>74</v>
      </c>
      <c r="AT491" s="1" t="s">
        <v>1305</v>
      </c>
      <c r="AU491" s="1">
        <v>2025.0</v>
      </c>
      <c r="AV491" s="1">
        <v>632.0</v>
      </c>
      <c r="AW491" s="1" t="s">
        <v>74</v>
      </c>
      <c r="AX491" s="1" t="s">
        <v>74</v>
      </c>
      <c r="AY491" s="1" t="s">
        <v>74</v>
      </c>
      <c r="AZ491" s="1" t="s">
        <v>74</v>
      </c>
      <c r="BA491" s="1" t="s">
        <v>74</v>
      </c>
      <c r="BB491" s="1" t="s">
        <v>74</v>
      </c>
      <c r="BC491" s="1" t="s">
        <v>74</v>
      </c>
      <c r="BD491" s="1">
        <v>130832.0</v>
      </c>
      <c r="BE491" s="1" t="s">
        <v>4573</v>
      </c>
      <c r="BF491" s="2" t="str">
        <f>HYPERLINK("http://dx.doi.org/10.1016/j.neucom.2025.130832","http://dx.doi.org/10.1016/j.neucom.2025.130832")</f>
        <v>http://dx.doi.org/10.1016/j.neucom.2025.130832</v>
      </c>
      <c r="BG491" s="1" t="s">
        <v>74</v>
      </c>
      <c r="BH491" s="1" t="s">
        <v>276</v>
      </c>
      <c r="BI491" s="1" t="s">
        <v>74</v>
      </c>
      <c r="BJ491" s="1" t="s">
        <v>74</v>
      </c>
      <c r="BK491" s="1" t="s">
        <v>74</v>
      </c>
      <c r="BL491" s="1" t="s">
        <v>174</v>
      </c>
      <c r="BM491" s="1" t="s">
        <v>74</v>
      </c>
      <c r="BN491" s="1" t="s">
        <v>74</v>
      </c>
      <c r="BO491" s="1" t="s">
        <v>74</v>
      </c>
      <c r="BP491" s="1" t="s">
        <v>74</v>
      </c>
      <c r="BQ491" s="1" t="s">
        <v>74</v>
      </c>
      <c r="BR491" s="1" t="s">
        <v>74</v>
      </c>
      <c r="BS491" s="1" t="s">
        <v>4574</v>
      </c>
      <c r="BT491" s="1" t="str">
        <f>HYPERLINK("https%3A%2F%2Fwww.webofscience.com%2Fwos%2Fwoscc%2Ffull-record%2FWOS:001546808500006","View Full Record in Web of Science")</f>
        <v>View Full Record in Web of Science</v>
      </c>
    </row>
    <row r="492" ht="12.75" customHeight="1">
      <c r="A492" s="1" t="s">
        <v>72</v>
      </c>
      <c r="B492" s="1" t="s">
        <v>4575</v>
      </c>
      <c r="C492" s="1" t="s">
        <v>74</v>
      </c>
      <c r="D492" s="1" t="s">
        <v>74</v>
      </c>
      <c r="E492" s="1" t="s">
        <v>74</v>
      </c>
      <c r="F492" s="1" t="s">
        <v>4576</v>
      </c>
      <c r="G492" s="1" t="s">
        <v>74</v>
      </c>
      <c r="H492" s="1" t="s">
        <v>74</v>
      </c>
      <c r="I492" s="1" t="s">
        <v>4577</v>
      </c>
      <c r="J492" s="1" t="s">
        <v>1230</v>
      </c>
      <c r="K492" s="1" t="s">
        <v>74</v>
      </c>
      <c r="L492" s="1" t="s">
        <v>74</v>
      </c>
      <c r="M492" s="1" t="s">
        <v>74</v>
      </c>
      <c r="N492" s="1" t="s">
        <v>78</v>
      </c>
      <c r="O492" s="1" t="s">
        <v>74</v>
      </c>
      <c r="P492" s="1" t="s">
        <v>74</v>
      </c>
      <c r="Q492" s="1" t="s">
        <v>74</v>
      </c>
      <c r="R492" s="1" t="s">
        <v>74</v>
      </c>
      <c r="S492" s="1" t="s">
        <v>74</v>
      </c>
      <c r="T492" s="1" t="s">
        <v>4578</v>
      </c>
      <c r="U492" s="1" t="s">
        <v>74</v>
      </c>
      <c r="V492" s="1" t="s">
        <v>4579</v>
      </c>
      <c r="W492" s="1" t="s">
        <v>74</v>
      </c>
      <c r="X492" s="1" t="s">
        <v>74</v>
      </c>
      <c r="Y492" s="1" t="s">
        <v>74</v>
      </c>
      <c r="Z492" s="1" t="s">
        <v>74</v>
      </c>
      <c r="AA492" s="1" t="s">
        <v>74</v>
      </c>
      <c r="AB492" s="1" t="s">
        <v>74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1233</v>
      </c>
      <c r="AP492" s="1" t="s">
        <v>1234</v>
      </c>
      <c r="AQ492" s="1" t="s">
        <v>74</v>
      </c>
      <c r="AR492" s="1" t="s">
        <v>74</v>
      </c>
      <c r="AS492" s="1" t="s">
        <v>74</v>
      </c>
      <c r="AT492" s="1" t="s">
        <v>1524</v>
      </c>
      <c r="AU492" s="1">
        <v>2026.0</v>
      </c>
      <c r="AV492" s="1">
        <v>299.0</v>
      </c>
      <c r="AW492" s="1" t="s">
        <v>74</v>
      </c>
      <c r="AX492" s="1" t="s">
        <v>1927</v>
      </c>
      <c r="AY492" s="1" t="s">
        <v>74</v>
      </c>
      <c r="AZ492" s="1" t="s">
        <v>74</v>
      </c>
      <c r="BA492" s="1" t="s">
        <v>74</v>
      </c>
      <c r="BB492" s="1" t="s">
        <v>74</v>
      </c>
      <c r="BC492" s="1" t="s">
        <v>74</v>
      </c>
      <c r="BD492" s="1">
        <v>129906.0</v>
      </c>
      <c r="BE492" s="1" t="s">
        <v>4580</v>
      </c>
      <c r="BF492" s="2" t="str">
        <f>HYPERLINK("http://dx.doi.org/10.1016/j.eswa.2025.129906","http://dx.doi.org/10.1016/j.eswa.2025.129906")</f>
        <v>http://dx.doi.org/10.1016/j.eswa.2025.129906</v>
      </c>
      <c r="BG492" s="1" t="s">
        <v>74</v>
      </c>
      <c r="BH492" s="1" t="s">
        <v>255</v>
      </c>
      <c r="BI492" s="1" t="s">
        <v>74</v>
      </c>
      <c r="BJ492" s="1" t="s">
        <v>74</v>
      </c>
      <c r="BK492" s="1" t="s">
        <v>74</v>
      </c>
      <c r="BL492" s="1" t="s">
        <v>1237</v>
      </c>
      <c r="BM492" s="1" t="s">
        <v>74</v>
      </c>
      <c r="BN492" s="1" t="s">
        <v>74</v>
      </c>
      <c r="BO492" s="1" t="s">
        <v>74</v>
      </c>
      <c r="BP492" s="1" t="s">
        <v>74</v>
      </c>
      <c r="BQ492" s="1" t="s">
        <v>74</v>
      </c>
      <c r="BR492" s="1" t="s">
        <v>74</v>
      </c>
      <c r="BS492" s="1" t="s">
        <v>4581</v>
      </c>
      <c r="BT492" s="1" t="str">
        <f>HYPERLINK("https%3A%2F%2Fwww.webofscience.com%2Fwos%2Fwoscc%2Ffull-record%2FWOS:001617982400001","View Full Record in Web of Science")</f>
        <v>View Full Record in Web of Science</v>
      </c>
    </row>
    <row r="493" ht="12.75" customHeight="1">
      <c r="A493" s="1" t="s">
        <v>72</v>
      </c>
      <c r="B493" s="1" t="s">
        <v>4582</v>
      </c>
      <c r="C493" s="1" t="s">
        <v>74</v>
      </c>
      <c r="D493" s="1" t="s">
        <v>74</v>
      </c>
      <c r="E493" s="1" t="s">
        <v>74</v>
      </c>
      <c r="F493" s="1" t="s">
        <v>4583</v>
      </c>
      <c r="G493" s="1" t="s">
        <v>74</v>
      </c>
      <c r="H493" s="1" t="s">
        <v>74</v>
      </c>
      <c r="I493" s="1" t="s">
        <v>4584</v>
      </c>
      <c r="J493" s="1" t="s">
        <v>147</v>
      </c>
      <c r="K493" s="1" t="s">
        <v>74</v>
      </c>
      <c r="L493" s="1" t="s">
        <v>74</v>
      </c>
      <c r="M493" s="1" t="s">
        <v>74</v>
      </c>
      <c r="N493" s="1" t="s">
        <v>78</v>
      </c>
      <c r="O493" s="1" t="s">
        <v>74</v>
      </c>
      <c r="P493" s="1" t="s">
        <v>74</v>
      </c>
      <c r="Q493" s="1" t="s">
        <v>74</v>
      </c>
      <c r="R493" s="1" t="s">
        <v>74</v>
      </c>
      <c r="S493" s="1" t="s">
        <v>74</v>
      </c>
      <c r="T493" s="1" t="s">
        <v>4585</v>
      </c>
      <c r="U493" s="1" t="s">
        <v>4586</v>
      </c>
      <c r="V493" s="1" t="s">
        <v>4587</v>
      </c>
      <c r="W493" s="1" t="s">
        <v>74</v>
      </c>
      <c r="X493" s="1" t="s">
        <v>74</v>
      </c>
      <c r="Y493" s="1" t="s">
        <v>74</v>
      </c>
      <c r="Z493" s="1" t="s">
        <v>74</v>
      </c>
      <c r="AA493" s="1" t="s">
        <v>74</v>
      </c>
      <c r="AB493" s="1" t="s">
        <v>74</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150</v>
      </c>
      <c r="AP493" s="1" t="s">
        <v>74</v>
      </c>
      <c r="AQ493" s="1" t="s">
        <v>74</v>
      </c>
      <c r="AR493" s="1" t="s">
        <v>74</v>
      </c>
      <c r="AS493" s="1" t="s">
        <v>74</v>
      </c>
      <c r="AT493" s="1" t="s">
        <v>74</v>
      </c>
      <c r="AU493" s="1">
        <v>2025.0</v>
      </c>
      <c r="AV493" s="1">
        <v>13.0</v>
      </c>
      <c r="AW493" s="1" t="s">
        <v>74</v>
      </c>
      <c r="AX493" s="1" t="s">
        <v>74</v>
      </c>
      <c r="AY493" s="1" t="s">
        <v>74</v>
      </c>
      <c r="AZ493" s="1" t="s">
        <v>74</v>
      </c>
      <c r="BA493" s="1" t="s">
        <v>74</v>
      </c>
      <c r="BB493" s="1">
        <v>25465.0</v>
      </c>
      <c r="BC493" s="1">
        <v>25504.0</v>
      </c>
      <c r="BD493" s="1" t="s">
        <v>74</v>
      </c>
      <c r="BE493" s="1" t="s">
        <v>4588</v>
      </c>
      <c r="BF493" s="2" t="str">
        <f>HYPERLINK("http://dx.doi.org/10.1109/ACCESS.2025.3538599","http://dx.doi.org/10.1109/ACCESS.2025.3538599")</f>
        <v>http://dx.doi.org/10.1109/ACCESS.2025.3538599</v>
      </c>
      <c r="BG493" s="1" t="s">
        <v>74</v>
      </c>
      <c r="BH493" s="1" t="s">
        <v>74</v>
      </c>
      <c r="BI493" s="1" t="s">
        <v>74</v>
      </c>
      <c r="BJ493" s="1" t="s">
        <v>74</v>
      </c>
      <c r="BK493" s="1" t="s">
        <v>74</v>
      </c>
      <c r="BL493" s="1" t="s">
        <v>152</v>
      </c>
      <c r="BM493" s="1" t="s">
        <v>74</v>
      </c>
      <c r="BN493" s="1" t="s">
        <v>74</v>
      </c>
      <c r="BO493" s="1" t="s">
        <v>153</v>
      </c>
      <c r="BP493" s="1" t="s">
        <v>74</v>
      </c>
      <c r="BQ493" s="1" t="s">
        <v>74</v>
      </c>
      <c r="BR493" s="1" t="s">
        <v>74</v>
      </c>
      <c r="BS493" s="1" t="s">
        <v>4589</v>
      </c>
      <c r="BT493" s="1" t="str">
        <f>HYPERLINK("https%3A%2F%2Fwww.webofscience.com%2Fwos%2Fwoscc%2Ffull-record%2FWOS:001420279300049","View Full Record in Web of Science")</f>
        <v>View Full Record in Web of Science</v>
      </c>
    </row>
    <row r="494" ht="12.75" customHeight="1">
      <c r="A494" s="1" t="s">
        <v>72</v>
      </c>
      <c r="B494" s="1" t="s">
        <v>4590</v>
      </c>
      <c r="C494" s="1" t="s">
        <v>74</v>
      </c>
      <c r="D494" s="1" t="s">
        <v>74</v>
      </c>
      <c r="E494" s="1" t="s">
        <v>74</v>
      </c>
      <c r="F494" s="1" t="s">
        <v>4591</v>
      </c>
      <c r="G494" s="1" t="s">
        <v>74</v>
      </c>
      <c r="H494" s="1" t="s">
        <v>74</v>
      </c>
      <c r="I494" s="1" t="s">
        <v>4592</v>
      </c>
      <c r="J494" s="1" t="s">
        <v>1813</v>
      </c>
      <c r="K494" s="1" t="s">
        <v>74</v>
      </c>
      <c r="L494" s="1" t="s">
        <v>74</v>
      </c>
      <c r="M494" s="1" t="s">
        <v>74</v>
      </c>
      <c r="N494" s="1" t="s">
        <v>78</v>
      </c>
      <c r="O494" s="1" t="s">
        <v>74</v>
      </c>
      <c r="P494" s="1" t="s">
        <v>74</v>
      </c>
      <c r="Q494" s="1" t="s">
        <v>74</v>
      </c>
      <c r="R494" s="1" t="s">
        <v>74</v>
      </c>
      <c r="S494" s="1" t="s">
        <v>74</v>
      </c>
      <c r="T494" s="1" t="s">
        <v>4593</v>
      </c>
      <c r="U494" s="1" t="s">
        <v>4594</v>
      </c>
      <c r="V494" s="1" t="s">
        <v>4595</v>
      </c>
      <c r="W494" s="1" t="s">
        <v>74</v>
      </c>
      <c r="X494" s="1" t="s">
        <v>74</v>
      </c>
      <c r="Y494" s="1" t="s">
        <v>74</v>
      </c>
      <c r="Z494" s="1" t="s">
        <v>74</v>
      </c>
      <c r="AA494" s="1" t="s">
        <v>74</v>
      </c>
      <c r="AB494" s="1" t="s">
        <v>74</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74</v>
      </c>
      <c r="AP494" s="1" t="s">
        <v>1816</v>
      </c>
      <c r="AQ494" s="1" t="s">
        <v>74</v>
      </c>
      <c r="AR494" s="1" t="s">
        <v>74</v>
      </c>
      <c r="AS494" s="1" t="s">
        <v>74</v>
      </c>
      <c r="AT494" s="1" t="s">
        <v>200</v>
      </c>
      <c r="AU494" s="1">
        <v>2024.0</v>
      </c>
      <c r="AV494" s="1">
        <v>6.0</v>
      </c>
      <c r="AW494" s="1">
        <v>4.0</v>
      </c>
      <c r="AX494" s="1" t="s">
        <v>74</v>
      </c>
      <c r="AY494" s="1" t="s">
        <v>74</v>
      </c>
      <c r="AZ494" s="1" t="s">
        <v>74</v>
      </c>
      <c r="BA494" s="1" t="s">
        <v>74</v>
      </c>
      <c r="BB494" s="1">
        <v>2876.0</v>
      </c>
      <c r="BC494" s="1">
        <v>2891.0</v>
      </c>
      <c r="BD494" s="1" t="s">
        <v>74</v>
      </c>
      <c r="BE494" s="1" t="s">
        <v>4596</v>
      </c>
      <c r="BF494" s="2" t="str">
        <f>HYPERLINK("http://dx.doi.org/10.3390/make6040137","http://dx.doi.org/10.3390/make6040137")</f>
        <v>http://dx.doi.org/10.3390/make6040137</v>
      </c>
      <c r="BG494" s="1" t="s">
        <v>74</v>
      </c>
      <c r="BH494" s="1" t="s">
        <v>74</v>
      </c>
      <c r="BI494" s="1" t="s">
        <v>74</v>
      </c>
      <c r="BJ494" s="1" t="s">
        <v>74</v>
      </c>
      <c r="BK494" s="1" t="s">
        <v>74</v>
      </c>
      <c r="BL494" s="1" t="s">
        <v>98</v>
      </c>
      <c r="BM494" s="1" t="s">
        <v>74</v>
      </c>
      <c r="BN494" s="1" t="s">
        <v>74</v>
      </c>
      <c r="BO494" s="1" t="s">
        <v>163</v>
      </c>
      <c r="BP494" s="1" t="s">
        <v>74</v>
      </c>
      <c r="BQ494" s="1" t="s">
        <v>74</v>
      </c>
      <c r="BR494" s="1" t="s">
        <v>74</v>
      </c>
      <c r="BS494" s="1" t="s">
        <v>4597</v>
      </c>
      <c r="BT494" s="1" t="str">
        <f>HYPERLINK("https%3A%2F%2Fwww.webofscience.com%2Fwos%2Fwoscc%2Ffull-record%2FWOS:001384897300001","View Full Record in Web of Science")</f>
        <v>View Full Record in Web of Science</v>
      </c>
    </row>
    <row r="495" ht="12.75" customHeight="1">
      <c r="A495" s="1" t="s">
        <v>72</v>
      </c>
      <c r="B495" s="1" t="s">
        <v>4598</v>
      </c>
      <c r="C495" s="1" t="s">
        <v>74</v>
      </c>
      <c r="D495" s="1" t="s">
        <v>74</v>
      </c>
      <c r="E495" s="1" t="s">
        <v>74</v>
      </c>
      <c r="F495" s="1" t="s">
        <v>4599</v>
      </c>
      <c r="G495" s="1" t="s">
        <v>74</v>
      </c>
      <c r="H495" s="1" t="s">
        <v>74</v>
      </c>
      <c r="I495" s="1" t="s">
        <v>4600</v>
      </c>
      <c r="J495" s="1" t="s">
        <v>2895</v>
      </c>
      <c r="K495" s="1" t="s">
        <v>74</v>
      </c>
      <c r="L495" s="1" t="s">
        <v>74</v>
      </c>
      <c r="M495" s="1" t="s">
        <v>74</v>
      </c>
      <c r="N495" s="1" t="s">
        <v>78</v>
      </c>
      <c r="O495" s="1" t="s">
        <v>74</v>
      </c>
      <c r="P495" s="1" t="s">
        <v>74</v>
      </c>
      <c r="Q495" s="1" t="s">
        <v>74</v>
      </c>
      <c r="R495" s="1" t="s">
        <v>74</v>
      </c>
      <c r="S495" s="1" t="s">
        <v>74</v>
      </c>
      <c r="T495" s="1" t="s">
        <v>4601</v>
      </c>
      <c r="U495" s="1" t="s">
        <v>4602</v>
      </c>
      <c r="V495" s="1" t="s">
        <v>4603</v>
      </c>
      <c r="W495" s="1" t="s">
        <v>74</v>
      </c>
      <c r="X495" s="1" t="s">
        <v>74</v>
      </c>
      <c r="Y495" s="1" t="s">
        <v>74</v>
      </c>
      <c r="Z495" s="1" t="s">
        <v>74</v>
      </c>
      <c r="AA495" s="1" t="s">
        <v>74</v>
      </c>
      <c r="AB495" s="1" t="s">
        <v>74</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74</v>
      </c>
      <c r="AP495" s="1" t="s">
        <v>2898</v>
      </c>
      <c r="AQ495" s="1" t="s">
        <v>74</v>
      </c>
      <c r="AR495" s="1" t="s">
        <v>74</v>
      </c>
      <c r="AS495" s="1" t="s">
        <v>74</v>
      </c>
      <c r="AT495" s="1" t="s">
        <v>335</v>
      </c>
      <c r="AU495" s="1">
        <v>2025.0</v>
      </c>
      <c r="AV495" s="1">
        <v>7.0</v>
      </c>
      <c r="AW495" s="1">
        <v>6.0</v>
      </c>
      <c r="AX495" s="1" t="s">
        <v>74</v>
      </c>
      <c r="AY495" s="1" t="s">
        <v>74</v>
      </c>
      <c r="AZ495" s="1" t="s">
        <v>74</v>
      </c>
      <c r="BA495" s="1" t="s">
        <v>74</v>
      </c>
      <c r="BB495" s="1" t="s">
        <v>74</v>
      </c>
      <c r="BC495" s="1" t="s">
        <v>74</v>
      </c>
      <c r="BD495" s="1" t="s">
        <v>4604</v>
      </c>
      <c r="BE495" s="1" t="s">
        <v>4605</v>
      </c>
      <c r="BF495" s="2" t="str">
        <f>HYPERLINK("http://dx.doi.org/10.1002/eng2.70247","http://dx.doi.org/10.1002/eng2.70247")</f>
        <v>http://dx.doi.org/10.1002/eng2.70247</v>
      </c>
      <c r="BG495" s="1" t="s">
        <v>74</v>
      </c>
      <c r="BH495" s="1" t="s">
        <v>74</v>
      </c>
      <c r="BI495" s="1" t="s">
        <v>74</v>
      </c>
      <c r="BJ495" s="1" t="s">
        <v>74</v>
      </c>
      <c r="BK495" s="1" t="s">
        <v>74</v>
      </c>
      <c r="BL495" s="1" t="s">
        <v>2901</v>
      </c>
      <c r="BM495" s="1" t="s">
        <v>74</v>
      </c>
      <c r="BN495" s="1" t="s">
        <v>74</v>
      </c>
      <c r="BO495" s="1" t="s">
        <v>163</v>
      </c>
      <c r="BP495" s="1" t="s">
        <v>74</v>
      </c>
      <c r="BQ495" s="1" t="s">
        <v>74</v>
      </c>
      <c r="BR495" s="1" t="s">
        <v>74</v>
      </c>
      <c r="BS495" s="1" t="s">
        <v>4606</v>
      </c>
      <c r="BT495" s="1" t="str">
        <f>HYPERLINK("https%3A%2F%2Fwww.webofscience.com%2Fwos%2Fwoscc%2Ffull-record%2FWOS:001518764300048","View Full Record in Web of Science")</f>
        <v>View Full Record in Web of Science</v>
      </c>
    </row>
    <row r="496" ht="12.75" customHeight="1">
      <c r="A496" s="1" t="s">
        <v>72</v>
      </c>
      <c r="B496" s="1" t="s">
        <v>4607</v>
      </c>
      <c r="C496" s="1" t="s">
        <v>74</v>
      </c>
      <c r="D496" s="1" t="s">
        <v>74</v>
      </c>
      <c r="E496" s="1" t="s">
        <v>74</v>
      </c>
      <c r="F496" s="1" t="s">
        <v>4608</v>
      </c>
      <c r="G496" s="1" t="s">
        <v>74</v>
      </c>
      <c r="H496" s="1" t="s">
        <v>74</v>
      </c>
      <c r="I496" s="1" t="s">
        <v>4609</v>
      </c>
      <c r="J496" s="1" t="s">
        <v>4610</v>
      </c>
      <c r="K496" s="1" t="s">
        <v>74</v>
      </c>
      <c r="L496" s="1" t="s">
        <v>74</v>
      </c>
      <c r="M496" s="1" t="s">
        <v>74</v>
      </c>
      <c r="N496" s="1" t="s">
        <v>78</v>
      </c>
      <c r="O496" s="1" t="s">
        <v>74</v>
      </c>
      <c r="P496" s="1" t="s">
        <v>74</v>
      </c>
      <c r="Q496" s="1" t="s">
        <v>74</v>
      </c>
      <c r="R496" s="1" t="s">
        <v>74</v>
      </c>
      <c r="S496" s="1" t="s">
        <v>74</v>
      </c>
      <c r="T496" s="1" t="s">
        <v>4611</v>
      </c>
      <c r="U496" s="1" t="s">
        <v>2593</v>
      </c>
      <c r="V496" s="1" t="s">
        <v>4612</v>
      </c>
      <c r="W496" s="1" t="s">
        <v>74</v>
      </c>
      <c r="X496" s="1" t="s">
        <v>74</v>
      </c>
      <c r="Y496" s="1" t="s">
        <v>74</v>
      </c>
      <c r="Z496" s="1" t="s">
        <v>74</v>
      </c>
      <c r="AA496" s="1" t="s">
        <v>74</v>
      </c>
      <c r="AB496" s="1" t="s">
        <v>74</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4613</v>
      </c>
      <c r="AP496" s="1" t="s">
        <v>4614</v>
      </c>
      <c r="AQ496" s="1" t="s">
        <v>74</v>
      </c>
      <c r="AR496" s="1" t="s">
        <v>74</v>
      </c>
      <c r="AS496" s="1" t="s">
        <v>74</v>
      </c>
      <c r="AT496" s="1" t="s">
        <v>225</v>
      </c>
      <c r="AU496" s="1">
        <v>2024.0</v>
      </c>
      <c r="AV496" s="1">
        <v>23.0</v>
      </c>
      <c r="AW496" s="1">
        <v>3.0</v>
      </c>
      <c r="AX496" s="1" t="s">
        <v>74</v>
      </c>
      <c r="AY496" s="1" t="s">
        <v>74</v>
      </c>
      <c r="AZ496" s="1" t="s">
        <v>74</v>
      </c>
      <c r="BA496" s="1" t="s">
        <v>74</v>
      </c>
      <c r="BB496" s="1" t="s">
        <v>74</v>
      </c>
      <c r="BC496" s="1" t="s">
        <v>74</v>
      </c>
      <c r="BD496" s="1" t="s">
        <v>74</v>
      </c>
      <c r="BE496" s="1" t="s">
        <v>4615</v>
      </c>
      <c r="BF496" s="2" t="str">
        <f>HYPERLINK("http://dx.doi.org/10.1177/14738716241240156","http://dx.doi.org/10.1177/14738716241240156")</f>
        <v>http://dx.doi.org/10.1177/14738716241240156</v>
      </c>
      <c r="BG496" s="1" t="s">
        <v>74</v>
      </c>
      <c r="BH496" s="1" t="s">
        <v>126</v>
      </c>
      <c r="BI496" s="1" t="s">
        <v>74</v>
      </c>
      <c r="BJ496" s="1" t="s">
        <v>74</v>
      </c>
      <c r="BK496" s="1" t="s">
        <v>74</v>
      </c>
      <c r="BL496" s="1" t="s">
        <v>174</v>
      </c>
      <c r="BM496" s="1" t="s">
        <v>74</v>
      </c>
      <c r="BN496" s="1" t="s">
        <v>74</v>
      </c>
      <c r="BO496" s="1" t="s">
        <v>74</v>
      </c>
      <c r="BP496" s="1" t="s">
        <v>74</v>
      </c>
      <c r="BQ496" s="1" t="s">
        <v>74</v>
      </c>
      <c r="BR496" s="1" t="s">
        <v>74</v>
      </c>
      <c r="BS496" s="1" t="s">
        <v>4616</v>
      </c>
      <c r="BT496" s="1" t="str">
        <f>HYPERLINK("https%3A%2F%2Fwww.webofscience.com%2Fwos%2Fwoscc%2Ffull-record%2FWOS:001198947700001","View Full Record in Web of Science")</f>
        <v>View Full Record in Web of Science</v>
      </c>
    </row>
    <row r="497" ht="12.75" customHeight="1">
      <c r="A497" s="1" t="s">
        <v>72</v>
      </c>
      <c r="B497" s="1" t="s">
        <v>4617</v>
      </c>
      <c r="C497" s="1" t="s">
        <v>74</v>
      </c>
      <c r="D497" s="1" t="s">
        <v>74</v>
      </c>
      <c r="E497" s="1" t="s">
        <v>74</v>
      </c>
      <c r="F497" s="1" t="s">
        <v>4618</v>
      </c>
      <c r="G497" s="1" t="s">
        <v>74</v>
      </c>
      <c r="H497" s="1" t="s">
        <v>74</v>
      </c>
      <c r="I497" s="1" t="s">
        <v>4619</v>
      </c>
      <c r="J497" s="1" t="s">
        <v>675</v>
      </c>
      <c r="K497" s="1" t="s">
        <v>74</v>
      </c>
      <c r="L497" s="1" t="s">
        <v>74</v>
      </c>
      <c r="M497" s="1" t="s">
        <v>74</v>
      </c>
      <c r="N497" s="1" t="s">
        <v>78</v>
      </c>
      <c r="O497" s="1" t="s">
        <v>74</v>
      </c>
      <c r="P497" s="1" t="s">
        <v>74</v>
      </c>
      <c r="Q497" s="1" t="s">
        <v>74</v>
      </c>
      <c r="R497" s="1" t="s">
        <v>74</v>
      </c>
      <c r="S497" s="1" t="s">
        <v>74</v>
      </c>
      <c r="T497" s="1" t="s">
        <v>4620</v>
      </c>
      <c r="U497" s="1" t="s">
        <v>74</v>
      </c>
      <c r="V497" s="1" t="s">
        <v>4621</v>
      </c>
      <c r="W497" s="1" t="s">
        <v>74</v>
      </c>
      <c r="X497" s="1" t="s">
        <v>74</v>
      </c>
      <c r="Y497" s="1" t="s">
        <v>74</v>
      </c>
      <c r="Z497" s="1" t="s">
        <v>74</v>
      </c>
      <c r="AA497" s="1" t="s">
        <v>74</v>
      </c>
      <c r="AB497" s="1" t="s">
        <v>74</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74</v>
      </c>
      <c r="AP497" s="1" t="s">
        <v>679</v>
      </c>
      <c r="AQ497" s="1" t="s">
        <v>74</v>
      </c>
      <c r="AR497" s="1" t="s">
        <v>74</v>
      </c>
      <c r="AS497" s="1" t="s">
        <v>74</v>
      </c>
      <c r="AT497" s="1" t="s">
        <v>4622</v>
      </c>
      <c r="AU497" s="1">
        <v>2025.0</v>
      </c>
      <c r="AV497" s="1">
        <v>8.0</v>
      </c>
      <c r="AW497" s="1" t="s">
        <v>74</v>
      </c>
      <c r="AX497" s="1" t="s">
        <v>74</v>
      </c>
      <c r="AY497" s="1" t="s">
        <v>74</v>
      </c>
      <c r="AZ497" s="1" t="s">
        <v>74</v>
      </c>
      <c r="BA497" s="1" t="s">
        <v>74</v>
      </c>
      <c r="BB497" s="1" t="s">
        <v>74</v>
      </c>
      <c r="BC497" s="1" t="s">
        <v>74</v>
      </c>
      <c r="BD497" s="1">
        <v>1658316.0</v>
      </c>
      <c r="BE497" s="1" t="s">
        <v>4623</v>
      </c>
      <c r="BF497" s="2" t="str">
        <f>HYPERLINK("http://dx.doi.org/10.3389/frai.2025.1658316","http://dx.doi.org/10.3389/frai.2025.1658316")</f>
        <v>http://dx.doi.org/10.3389/frai.2025.1658316</v>
      </c>
      <c r="BG497" s="1" t="s">
        <v>74</v>
      </c>
      <c r="BH497" s="1" t="s">
        <v>74</v>
      </c>
      <c r="BI497" s="1" t="s">
        <v>74</v>
      </c>
      <c r="BJ497" s="1" t="s">
        <v>74</v>
      </c>
      <c r="BK497" s="1" t="s">
        <v>74</v>
      </c>
      <c r="BL497" s="1" t="s">
        <v>174</v>
      </c>
      <c r="BM497" s="1" t="s">
        <v>74</v>
      </c>
      <c r="BN497" s="1" t="s">
        <v>74</v>
      </c>
      <c r="BO497" s="1" t="s">
        <v>153</v>
      </c>
      <c r="BP497" s="1" t="s">
        <v>74</v>
      </c>
      <c r="BQ497" s="1" t="s">
        <v>74</v>
      </c>
      <c r="BR497" s="1" t="s">
        <v>74</v>
      </c>
      <c r="BS497" s="1" t="s">
        <v>4624</v>
      </c>
      <c r="BT497" s="1" t="str">
        <f>HYPERLINK("https%3A%2F%2Fwww.webofscience.com%2Fwos%2Fwoscc%2Ffull-record%2FWOS:001600237000001","View Full Record in Web of Science")</f>
        <v>View Full Record in Web of Science</v>
      </c>
    </row>
    <row r="498" ht="12.75" customHeight="1">
      <c r="A498" s="1" t="s">
        <v>72</v>
      </c>
      <c r="B498" s="1" t="s">
        <v>4625</v>
      </c>
      <c r="C498" s="1" t="s">
        <v>74</v>
      </c>
      <c r="D498" s="1" t="s">
        <v>74</v>
      </c>
      <c r="E498" s="1" t="s">
        <v>74</v>
      </c>
      <c r="F498" s="1" t="s">
        <v>4626</v>
      </c>
      <c r="G498" s="1" t="s">
        <v>74</v>
      </c>
      <c r="H498" s="1" t="s">
        <v>74</v>
      </c>
      <c r="I498" s="1" t="s">
        <v>4627</v>
      </c>
      <c r="J498" s="1" t="s">
        <v>1045</v>
      </c>
      <c r="K498" s="1" t="s">
        <v>74</v>
      </c>
      <c r="L498" s="1" t="s">
        <v>74</v>
      </c>
      <c r="M498" s="1" t="s">
        <v>74</v>
      </c>
      <c r="N498" s="1" t="s">
        <v>78</v>
      </c>
      <c r="O498" s="1" t="s">
        <v>74</v>
      </c>
      <c r="P498" s="1" t="s">
        <v>74</v>
      </c>
      <c r="Q498" s="1" t="s">
        <v>74</v>
      </c>
      <c r="R498" s="1" t="s">
        <v>74</v>
      </c>
      <c r="S498" s="1" t="s">
        <v>74</v>
      </c>
      <c r="T498" s="1" t="s">
        <v>4628</v>
      </c>
      <c r="U498" s="1" t="s">
        <v>4629</v>
      </c>
      <c r="V498" s="1" t="s">
        <v>4630</v>
      </c>
      <c r="W498" s="1" t="s">
        <v>74</v>
      </c>
      <c r="X498" s="1" t="s">
        <v>74</v>
      </c>
      <c r="Y498" s="1" t="s">
        <v>74</v>
      </c>
      <c r="Z498" s="1" t="s">
        <v>74</v>
      </c>
      <c r="AA498" s="1" t="s">
        <v>74</v>
      </c>
      <c r="AB498" s="1" t="s">
        <v>74</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1048</v>
      </c>
      <c r="AP498" s="1" t="s">
        <v>1049</v>
      </c>
      <c r="AQ498" s="1" t="s">
        <v>74</v>
      </c>
      <c r="AR498" s="1" t="s">
        <v>74</v>
      </c>
      <c r="AS498" s="1" t="s">
        <v>74</v>
      </c>
      <c r="AT498" s="1" t="s">
        <v>357</v>
      </c>
      <c r="AU498" s="1">
        <v>2025.0</v>
      </c>
      <c r="AV498" s="1">
        <v>242.0</v>
      </c>
      <c r="AW498" s="1" t="s">
        <v>74</v>
      </c>
      <c r="AX498" s="1" t="s">
        <v>74</v>
      </c>
      <c r="AY498" s="1" t="s">
        <v>74</v>
      </c>
      <c r="AZ498" s="1" t="s">
        <v>74</v>
      </c>
      <c r="BA498" s="1" t="s">
        <v>74</v>
      </c>
      <c r="BB498" s="1" t="s">
        <v>74</v>
      </c>
      <c r="BC498" s="1" t="s">
        <v>74</v>
      </c>
      <c r="BD498" s="1">
        <v>104231.0</v>
      </c>
      <c r="BE498" s="1" t="s">
        <v>4631</v>
      </c>
      <c r="BF498" s="2" t="str">
        <f>HYPERLINK("http://dx.doi.org/10.1016/j.jnca.2025.104231","http://dx.doi.org/10.1016/j.jnca.2025.104231")</f>
        <v>http://dx.doi.org/10.1016/j.jnca.2025.104231</v>
      </c>
      <c r="BG498" s="1" t="s">
        <v>74</v>
      </c>
      <c r="BH498" s="1" t="s">
        <v>112</v>
      </c>
      <c r="BI498" s="1" t="s">
        <v>74</v>
      </c>
      <c r="BJ498" s="1" t="s">
        <v>74</v>
      </c>
      <c r="BK498" s="1" t="s">
        <v>74</v>
      </c>
      <c r="BL498" s="1" t="s">
        <v>174</v>
      </c>
      <c r="BM498" s="1" t="s">
        <v>74</v>
      </c>
      <c r="BN498" s="1" t="s">
        <v>74</v>
      </c>
      <c r="BO498" s="1" t="s">
        <v>74</v>
      </c>
      <c r="BP498" s="1" t="s">
        <v>74</v>
      </c>
      <c r="BQ498" s="1" t="s">
        <v>74</v>
      </c>
      <c r="BR498" s="1" t="s">
        <v>74</v>
      </c>
      <c r="BS498" s="1" t="s">
        <v>4632</v>
      </c>
      <c r="BT498" s="1" t="str">
        <f>HYPERLINK("https%3A%2F%2Fwww.webofscience.com%2Fwos%2Fwoscc%2Ffull-record%2FWOS:001510938400001","View Full Record in Web of Science")</f>
        <v>View Full Record in Web of Science</v>
      </c>
    </row>
    <row r="499" ht="12.75" customHeight="1">
      <c r="A499" s="1" t="s">
        <v>72</v>
      </c>
      <c r="B499" s="1" t="s">
        <v>4633</v>
      </c>
      <c r="C499" s="1" t="s">
        <v>74</v>
      </c>
      <c r="D499" s="1" t="s">
        <v>74</v>
      </c>
      <c r="E499" s="1" t="s">
        <v>74</v>
      </c>
      <c r="F499" s="1" t="s">
        <v>4634</v>
      </c>
      <c r="G499" s="1" t="s">
        <v>74</v>
      </c>
      <c r="H499" s="1" t="s">
        <v>74</v>
      </c>
      <c r="I499" s="1" t="s">
        <v>4635</v>
      </c>
      <c r="J499" s="1" t="s">
        <v>881</v>
      </c>
      <c r="K499" s="1" t="s">
        <v>74</v>
      </c>
      <c r="L499" s="1" t="s">
        <v>74</v>
      </c>
      <c r="M499" s="1" t="s">
        <v>74</v>
      </c>
      <c r="N499" s="1" t="s">
        <v>78</v>
      </c>
      <c r="O499" s="1" t="s">
        <v>74</v>
      </c>
      <c r="P499" s="1" t="s">
        <v>74</v>
      </c>
      <c r="Q499" s="1" t="s">
        <v>74</v>
      </c>
      <c r="R499" s="1" t="s">
        <v>74</v>
      </c>
      <c r="S499" s="1" t="s">
        <v>74</v>
      </c>
      <c r="T499" s="1" t="s">
        <v>4636</v>
      </c>
      <c r="U499" s="1" t="s">
        <v>4637</v>
      </c>
      <c r="V499" s="1" t="s">
        <v>4638</v>
      </c>
      <c r="W499" s="1" t="s">
        <v>74</v>
      </c>
      <c r="X499" s="1" t="s">
        <v>74</v>
      </c>
      <c r="Y499" s="1" t="s">
        <v>74</v>
      </c>
      <c r="Z499" s="1" t="s">
        <v>74</v>
      </c>
      <c r="AA499" s="1" t="s">
        <v>74</v>
      </c>
      <c r="AB499" s="1" t="s">
        <v>74</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74</v>
      </c>
      <c r="AP499" s="1" t="s">
        <v>884</v>
      </c>
      <c r="AQ499" s="1" t="s">
        <v>74</v>
      </c>
      <c r="AR499" s="1" t="s">
        <v>74</v>
      </c>
      <c r="AS499" s="1" t="s">
        <v>74</v>
      </c>
      <c r="AT499" s="1" t="s">
        <v>172</v>
      </c>
      <c r="AU499" s="1">
        <v>2024.0</v>
      </c>
      <c r="AV499" s="1">
        <v>15.0</v>
      </c>
      <c r="AW499" s="1">
        <v>11.0</v>
      </c>
      <c r="AX499" s="1" t="s">
        <v>74</v>
      </c>
      <c r="AY499" s="1" t="s">
        <v>74</v>
      </c>
      <c r="AZ499" s="1" t="s">
        <v>74</v>
      </c>
      <c r="BA499" s="1" t="s">
        <v>74</v>
      </c>
      <c r="BB499" s="1" t="s">
        <v>74</v>
      </c>
      <c r="BC499" s="1" t="s">
        <v>74</v>
      </c>
      <c r="BD499" s="1">
        <v>679.0</v>
      </c>
      <c r="BE499" s="1" t="s">
        <v>4639</v>
      </c>
      <c r="BF499" s="2" t="str">
        <f>HYPERLINK("http://dx.doi.org/10.3390/info15110679","http://dx.doi.org/10.3390/info15110679")</f>
        <v>http://dx.doi.org/10.3390/info15110679</v>
      </c>
      <c r="BG499" s="1" t="s">
        <v>74</v>
      </c>
      <c r="BH499" s="1" t="s">
        <v>74</v>
      </c>
      <c r="BI499" s="1" t="s">
        <v>74</v>
      </c>
      <c r="BJ499" s="1" t="s">
        <v>74</v>
      </c>
      <c r="BK499" s="1" t="s">
        <v>74</v>
      </c>
      <c r="BL499" s="1" t="s">
        <v>174</v>
      </c>
      <c r="BM499" s="1" t="s">
        <v>74</v>
      </c>
      <c r="BN499" s="1" t="s">
        <v>74</v>
      </c>
      <c r="BO499" s="1" t="s">
        <v>153</v>
      </c>
      <c r="BP499" s="1" t="s">
        <v>74</v>
      </c>
      <c r="BQ499" s="1" t="s">
        <v>74</v>
      </c>
      <c r="BR499" s="1" t="s">
        <v>74</v>
      </c>
      <c r="BS499" s="1" t="s">
        <v>4640</v>
      </c>
      <c r="BT499" s="1" t="str">
        <f>HYPERLINK("https%3A%2F%2Fwww.webofscience.com%2Fwos%2Fwoscc%2Ffull-record%2FWOS:001365328700001","View Full Record in Web of Science")</f>
        <v>View Full Record in Web of Science</v>
      </c>
    </row>
    <row r="500" ht="12.75" customHeight="1">
      <c r="A500" s="1" t="s">
        <v>72</v>
      </c>
      <c r="B500" s="1" t="s">
        <v>4641</v>
      </c>
      <c r="C500" s="1" t="s">
        <v>74</v>
      </c>
      <c r="D500" s="1" t="s">
        <v>74</v>
      </c>
      <c r="E500" s="1" t="s">
        <v>74</v>
      </c>
      <c r="F500" s="1" t="s">
        <v>4642</v>
      </c>
      <c r="G500" s="1" t="s">
        <v>74</v>
      </c>
      <c r="H500" s="1" t="s">
        <v>74</v>
      </c>
      <c r="I500" s="1" t="s">
        <v>4643</v>
      </c>
      <c r="J500" s="1" t="s">
        <v>4644</v>
      </c>
      <c r="K500" s="1" t="s">
        <v>74</v>
      </c>
      <c r="L500" s="1" t="s">
        <v>74</v>
      </c>
      <c r="M500" s="1" t="s">
        <v>74</v>
      </c>
      <c r="N500" s="1" t="s">
        <v>78</v>
      </c>
      <c r="O500" s="1" t="s">
        <v>74</v>
      </c>
      <c r="P500" s="1" t="s">
        <v>74</v>
      </c>
      <c r="Q500" s="1" t="s">
        <v>74</v>
      </c>
      <c r="R500" s="1" t="s">
        <v>74</v>
      </c>
      <c r="S500" s="1" t="s">
        <v>74</v>
      </c>
      <c r="T500" s="1" t="s">
        <v>4645</v>
      </c>
      <c r="U500" s="1" t="s">
        <v>74</v>
      </c>
      <c r="V500" s="1" t="s">
        <v>4646</v>
      </c>
      <c r="W500" s="1" t="s">
        <v>74</v>
      </c>
      <c r="X500" s="1" t="s">
        <v>74</v>
      </c>
      <c r="Y500" s="1" t="s">
        <v>74</v>
      </c>
      <c r="Z500" s="1" t="s">
        <v>74</v>
      </c>
      <c r="AA500" s="1" t="s">
        <v>74</v>
      </c>
      <c r="AB500" s="1" t="s">
        <v>74</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74</v>
      </c>
      <c r="AP500" s="1" t="s">
        <v>4647</v>
      </c>
      <c r="AQ500" s="1" t="s">
        <v>74</v>
      </c>
      <c r="AR500" s="1" t="s">
        <v>74</v>
      </c>
      <c r="AS500" s="1" t="s">
        <v>74</v>
      </c>
      <c r="AT500" s="1" t="s">
        <v>74</v>
      </c>
      <c r="AU500" s="1">
        <v>2023.0</v>
      </c>
      <c r="AV500" s="1">
        <v>4.0</v>
      </c>
      <c r="AW500" s="1" t="s">
        <v>74</v>
      </c>
      <c r="AX500" s="1" t="s">
        <v>74</v>
      </c>
      <c r="AY500" s="1" t="s">
        <v>74</v>
      </c>
      <c r="AZ500" s="1" t="s">
        <v>74</v>
      </c>
      <c r="BA500" s="1" t="s">
        <v>74</v>
      </c>
      <c r="BB500" s="1">
        <v>80.0</v>
      </c>
      <c r="BC500" s="1">
        <v>90.0</v>
      </c>
      <c r="BD500" s="1" t="s">
        <v>74</v>
      </c>
      <c r="BE500" s="1" t="s">
        <v>4648</v>
      </c>
      <c r="BF500" s="2" t="str">
        <f>HYPERLINK("http://dx.doi.org/10.1016/j.aiopen.2023.08.001","http://dx.doi.org/10.1016/j.aiopen.2023.08.001")</f>
        <v>http://dx.doi.org/10.1016/j.aiopen.2023.08.001</v>
      </c>
      <c r="BG500" s="1" t="s">
        <v>74</v>
      </c>
      <c r="BH500" s="1" t="s">
        <v>74</v>
      </c>
      <c r="BI500" s="1" t="s">
        <v>74</v>
      </c>
      <c r="BJ500" s="1" t="s">
        <v>74</v>
      </c>
      <c r="BK500" s="1" t="s">
        <v>74</v>
      </c>
      <c r="BL500" s="1" t="s">
        <v>174</v>
      </c>
      <c r="BM500" s="1" t="s">
        <v>74</v>
      </c>
      <c r="BN500" s="1" t="s">
        <v>74</v>
      </c>
      <c r="BO500" s="1" t="s">
        <v>153</v>
      </c>
      <c r="BP500" s="1" t="s">
        <v>74</v>
      </c>
      <c r="BQ500" s="1" t="s">
        <v>74</v>
      </c>
      <c r="BR500" s="1" t="s">
        <v>74</v>
      </c>
      <c r="BS500" s="1" t="s">
        <v>4649</v>
      </c>
      <c r="BT500" s="1" t="str">
        <f>HYPERLINK("https%3A%2F%2Fwww.webofscience.com%2Fwos%2Fwoscc%2Ffull-record%2FWOS:001222186000001","View Full Record in Web of Science")</f>
        <v>View Full Record in Web of Science</v>
      </c>
    </row>
    <row r="501" ht="12.75" customHeight="1">
      <c r="A501" s="1" t="s">
        <v>72</v>
      </c>
      <c r="B501" s="1" t="s">
        <v>4650</v>
      </c>
      <c r="C501" s="1" t="s">
        <v>74</v>
      </c>
      <c r="D501" s="1" t="s">
        <v>74</v>
      </c>
      <c r="E501" s="1" t="s">
        <v>74</v>
      </c>
      <c r="F501" s="1" t="s">
        <v>4651</v>
      </c>
      <c r="G501" s="1" t="s">
        <v>74</v>
      </c>
      <c r="H501" s="1" t="s">
        <v>74</v>
      </c>
      <c r="I501" s="1" t="s">
        <v>4652</v>
      </c>
      <c r="J501" s="1" t="s">
        <v>3342</v>
      </c>
      <c r="K501" s="1" t="s">
        <v>74</v>
      </c>
      <c r="L501" s="1" t="s">
        <v>74</v>
      </c>
      <c r="M501" s="1" t="s">
        <v>74</v>
      </c>
      <c r="N501" s="1" t="s">
        <v>78</v>
      </c>
      <c r="O501" s="1" t="s">
        <v>74</v>
      </c>
      <c r="P501" s="1" t="s">
        <v>74</v>
      </c>
      <c r="Q501" s="1" t="s">
        <v>74</v>
      </c>
      <c r="R501" s="1" t="s">
        <v>74</v>
      </c>
      <c r="S501" s="1" t="s">
        <v>74</v>
      </c>
      <c r="T501" s="1" t="s">
        <v>4653</v>
      </c>
      <c r="U501" s="1" t="s">
        <v>4654</v>
      </c>
      <c r="V501" s="1" t="s">
        <v>4655</v>
      </c>
      <c r="W501" s="1" t="s">
        <v>74</v>
      </c>
      <c r="X501" s="1" t="s">
        <v>74</v>
      </c>
      <c r="Y501" s="1" t="s">
        <v>74</v>
      </c>
      <c r="Z501" s="1" t="s">
        <v>74</v>
      </c>
      <c r="AA501" s="1" t="s">
        <v>74</v>
      </c>
      <c r="AB501" s="1" t="s">
        <v>74</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3345</v>
      </c>
      <c r="AP501" s="1" t="s">
        <v>3346</v>
      </c>
      <c r="AQ501" s="1" t="s">
        <v>74</v>
      </c>
      <c r="AR501" s="1" t="s">
        <v>74</v>
      </c>
      <c r="AS501" s="1" t="s">
        <v>74</v>
      </c>
      <c r="AT501" s="1" t="s">
        <v>4656</v>
      </c>
      <c r="AU501" s="1">
        <v>2025.0</v>
      </c>
      <c r="AV501" s="1">
        <v>55.0</v>
      </c>
      <c r="AW501" s="1">
        <v>6.0</v>
      </c>
      <c r="AX501" s="1" t="s">
        <v>74</v>
      </c>
      <c r="AY501" s="1" t="s">
        <v>74</v>
      </c>
      <c r="AZ501" s="1" t="s">
        <v>74</v>
      </c>
      <c r="BA501" s="1" t="s">
        <v>74</v>
      </c>
      <c r="BB501" s="1" t="s">
        <v>74</v>
      </c>
      <c r="BC501" s="1" t="s">
        <v>74</v>
      </c>
      <c r="BD501" s="1">
        <v>388.0</v>
      </c>
      <c r="BE501" s="1" t="s">
        <v>4657</v>
      </c>
      <c r="BF501" s="2" t="str">
        <f>HYPERLINK("http://dx.doi.org/10.1007/s10489-024-06133-2","http://dx.doi.org/10.1007/s10489-024-06133-2")</f>
        <v>http://dx.doi.org/10.1007/s10489-024-06133-2</v>
      </c>
      <c r="BG501" s="1" t="s">
        <v>74</v>
      </c>
      <c r="BH501" s="1" t="s">
        <v>74</v>
      </c>
      <c r="BI501" s="1" t="s">
        <v>74</v>
      </c>
      <c r="BJ501" s="1" t="s">
        <v>74</v>
      </c>
      <c r="BK501" s="1" t="s">
        <v>74</v>
      </c>
      <c r="BL501" s="1" t="s">
        <v>174</v>
      </c>
      <c r="BM501" s="1" t="s">
        <v>74</v>
      </c>
      <c r="BN501" s="1" t="s">
        <v>74</v>
      </c>
      <c r="BO501" s="1" t="s">
        <v>74</v>
      </c>
      <c r="BP501" s="1" t="s">
        <v>74</v>
      </c>
      <c r="BQ501" s="1" t="s">
        <v>74</v>
      </c>
      <c r="BR501" s="1" t="s">
        <v>74</v>
      </c>
      <c r="BS501" s="1" t="s">
        <v>4658</v>
      </c>
      <c r="BT501" s="1" t="str">
        <f>HYPERLINK("https%3A%2F%2Fwww.webofscience.com%2Fwos%2Fwoscc%2Ffull-record%2FWOS:001409066100001","View Full Record in Web of Science")</f>
        <v>View Full Record in Web of Science</v>
      </c>
    </row>
    <row r="502" ht="12.75" customHeight="1">
      <c r="A502" s="1" t="s">
        <v>72</v>
      </c>
      <c r="B502" s="1" t="s">
        <v>4659</v>
      </c>
      <c r="C502" s="1" t="s">
        <v>74</v>
      </c>
      <c r="D502" s="1" t="s">
        <v>74</v>
      </c>
      <c r="E502" s="1" t="s">
        <v>74</v>
      </c>
      <c r="F502" s="1" t="s">
        <v>4660</v>
      </c>
      <c r="G502" s="1" t="s">
        <v>74</v>
      </c>
      <c r="H502" s="1" t="s">
        <v>74</v>
      </c>
      <c r="I502" s="1" t="s">
        <v>4661</v>
      </c>
      <c r="J502" s="1" t="s">
        <v>994</v>
      </c>
      <c r="K502" s="1" t="s">
        <v>74</v>
      </c>
      <c r="L502" s="1" t="s">
        <v>74</v>
      </c>
      <c r="M502" s="1" t="s">
        <v>74</v>
      </c>
      <c r="N502" s="1" t="s">
        <v>78</v>
      </c>
      <c r="O502" s="1" t="s">
        <v>74</v>
      </c>
      <c r="P502" s="1" t="s">
        <v>74</v>
      </c>
      <c r="Q502" s="1" t="s">
        <v>74</v>
      </c>
      <c r="R502" s="1" t="s">
        <v>74</v>
      </c>
      <c r="S502" s="1" t="s">
        <v>74</v>
      </c>
      <c r="T502" s="1" t="s">
        <v>4662</v>
      </c>
      <c r="U502" s="1" t="s">
        <v>74</v>
      </c>
      <c r="V502" s="1" t="s">
        <v>4663</v>
      </c>
      <c r="W502" s="1" t="s">
        <v>74</v>
      </c>
      <c r="X502" s="1" t="s">
        <v>74</v>
      </c>
      <c r="Y502" s="1" t="s">
        <v>74</v>
      </c>
      <c r="Z502" s="1" t="s">
        <v>74</v>
      </c>
      <c r="AA502" s="1" t="s">
        <v>74</v>
      </c>
      <c r="AB502" s="1" t="s">
        <v>74</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998</v>
      </c>
      <c r="AP502" s="1" t="s">
        <v>999</v>
      </c>
      <c r="AQ502" s="1" t="s">
        <v>74</v>
      </c>
      <c r="AR502" s="1" t="s">
        <v>74</v>
      </c>
      <c r="AS502" s="1" t="s">
        <v>74</v>
      </c>
      <c r="AT502" s="1" t="s">
        <v>1305</v>
      </c>
      <c r="AU502" s="1">
        <v>2025.0</v>
      </c>
      <c r="AV502" s="1">
        <v>326.0</v>
      </c>
      <c r="AW502" s="1">
        <v>3.0</v>
      </c>
      <c r="AX502" s="1" t="s">
        <v>74</v>
      </c>
      <c r="AY502" s="1" t="s">
        <v>74</v>
      </c>
      <c r="AZ502" s="1" t="s">
        <v>74</v>
      </c>
      <c r="BA502" s="1" t="s">
        <v>74</v>
      </c>
      <c r="BB502" s="1">
        <v>691.0</v>
      </c>
      <c r="BC502" s="1">
        <v>706.0</v>
      </c>
      <c r="BD502" s="1" t="s">
        <v>74</v>
      </c>
      <c r="BE502" s="1" t="s">
        <v>4664</v>
      </c>
      <c r="BF502" s="2" t="str">
        <f>HYPERLINK("http://dx.doi.org/10.1016/j.ejor.2025.04.032","http://dx.doi.org/10.1016/j.ejor.2025.04.032")</f>
        <v>http://dx.doi.org/10.1016/j.ejor.2025.04.032</v>
      </c>
      <c r="BG502" s="1" t="s">
        <v>74</v>
      </c>
      <c r="BH502" s="1" t="s">
        <v>112</v>
      </c>
      <c r="BI502" s="1" t="s">
        <v>74</v>
      </c>
      <c r="BJ502" s="1" t="s">
        <v>74</v>
      </c>
      <c r="BK502" s="1" t="s">
        <v>74</v>
      </c>
      <c r="BL502" s="1" t="s">
        <v>1002</v>
      </c>
      <c r="BM502" s="1" t="s">
        <v>74</v>
      </c>
      <c r="BN502" s="1" t="s">
        <v>74</v>
      </c>
      <c r="BO502" s="1" t="s">
        <v>3736</v>
      </c>
      <c r="BP502" s="1" t="s">
        <v>74</v>
      </c>
      <c r="BQ502" s="1" t="s">
        <v>74</v>
      </c>
      <c r="BR502" s="1" t="s">
        <v>74</v>
      </c>
      <c r="BS502" s="1" t="s">
        <v>4665</v>
      </c>
      <c r="BT502" s="1" t="str">
        <f>HYPERLINK("https%3A%2F%2Fwww.webofscience.com%2Fwos%2Fwoscc%2Ffull-record%2FWOS:001530466600020","View Full Record in Web of Science")</f>
        <v>View Full Record in Web of Science</v>
      </c>
    </row>
    <row r="503" ht="12.75" customHeight="1">
      <c r="A503" s="1" t="s">
        <v>72</v>
      </c>
      <c r="B503" s="1" t="s">
        <v>4666</v>
      </c>
      <c r="C503" s="1" t="s">
        <v>74</v>
      </c>
      <c r="D503" s="1" t="s">
        <v>74</v>
      </c>
      <c r="E503" s="1" t="s">
        <v>74</v>
      </c>
      <c r="F503" s="1" t="s">
        <v>4667</v>
      </c>
      <c r="G503" s="1" t="s">
        <v>74</v>
      </c>
      <c r="H503" s="1" t="s">
        <v>74</v>
      </c>
      <c r="I503" s="1" t="s">
        <v>4668</v>
      </c>
      <c r="J503" s="1" t="s">
        <v>1165</v>
      </c>
      <c r="K503" s="1" t="s">
        <v>74</v>
      </c>
      <c r="L503" s="1" t="s">
        <v>74</v>
      </c>
      <c r="M503" s="1" t="s">
        <v>74</v>
      </c>
      <c r="N503" s="1" t="s">
        <v>953</v>
      </c>
      <c r="O503" s="1" t="s">
        <v>74</v>
      </c>
      <c r="P503" s="1" t="s">
        <v>74</v>
      </c>
      <c r="Q503" s="1" t="s">
        <v>74</v>
      </c>
      <c r="R503" s="1" t="s">
        <v>74</v>
      </c>
      <c r="S503" s="1" t="s">
        <v>74</v>
      </c>
      <c r="T503" s="1" t="s">
        <v>4669</v>
      </c>
      <c r="U503" s="1" t="s">
        <v>74</v>
      </c>
      <c r="V503" s="1" t="s">
        <v>4670</v>
      </c>
      <c r="W503" s="1" t="s">
        <v>74</v>
      </c>
      <c r="X503" s="1" t="s">
        <v>74</v>
      </c>
      <c r="Y503" s="1" t="s">
        <v>74</v>
      </c>
      <c r="Z503" s="1" t="s">
        <v>74</v>
      </c>
      <c r="AA503" s="1" t="s">
        <v>74</v>
      </c>
      <c r="AB503" s="1" t="s">
        <v>74</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1168</v>
      </c>
      <c r="AP503" s="1" t="s">
        <v>1169</v>
      </c>
      <c r="AQ503" s="1" t="s">
        <v>74</v>
      </c>
      <c r="AR503" s="1" t="s">
        <v>74</v>
      </c>
      <c r="AS503" s="1" t="s">
        <v>74</v>
      </c>
      <c r="AT503" s="1" t="s">
        <v>4671</v>
      </c>
      <c r="AU503" s="1">
        <v>2025.0</v>
      </c>
      <c r="AV503" s="1" t="s">
        <v>74</v>
      </c>
      <c r="AW503" s="1" t="s">
        <v>74</v>
      </c>
      <c r="AX503" s="1" t="s">
        <v>74</v>
      </c>
      <c r="AY503" s="1" t="s">
        <v>74</v>
      </c>
      <c r="AZ503" s="1" t="s">
        <v>74</v>
      </c>
      <c r="BA503" s="1" t="s">
        <v>74</v>
      </c>
      <c r="BB503" s="1" t="s">
        <v>74</v>
      </c>
      <c r="BC503" s="1" t="s">
        <v>74</v>
      </c>
      <c r="BD503" s="1" t="s">
        <v>74</v>
      </c>
      <c r="BE503" s="1" t="s">
        <v>4672</v>
      </c>
      <c r="BF503" s="2" t="str">
        <f>HYPERLINK("http://dx.doi.org/10.1007/s41666-025-00218-4","http://dx.doi.org/10.1007/s41666-025-00218-4")</f>
        <v>http://dx.doi.org/10.1007/s41666-025-00218-4</v>
      </c>
      <c r="BG503" s="1" t="s">
        <v>74</v>
      </c>
      <c r="BH503" s="1" t="s">
        <v>605</v>
      </c>
      <c r="BI503" s="1" t="s">
        <v>74</v>
      </c>
      <c r="BJ503" s="1" t="s">
        <v>74</v>
      </c>
      <c r="BK503" s="1" t="s">
        <v>74</v>
      </c>
      <c r="BL503" s="1" t="s">
        <v>1171</v>
      </c>
      <c r="BM503" s="1" t="s">
        <v>74</v>
      </c>
      <c r="BN503" s="1" t="s">
        <v>74</v>
      </c>
      <c r="BO503" s="1" t="s">
        <v>114</v>
      </c>
      <c r="BP503" s="1" t="s">
        <v>74</v>
      </c>
      <c r="BQ503" s="1" t="s">
        <v>74</v>
      </c>
      <c r="BR503" s="1" t="s">
        <v>74</v>
      </c>
      <c r="BS503" s="1" t="s">
        <v>4673</v>
      </c>
      <c r="BT503" s="1" t="str">
        <f>HYPERLINK("https%3A%2F%2Fwww.webofscience.com%2Fwos%2Fwoscc%2Ffull-record%2FWOS:001627903000001","View Full Record in Web of Science")</f>
        <v>View Full Record in Web of Science</v>
      </c>
    </row>
    <row r="504" ht="12.75" customHeight="1">
      <c r="A504" s="1" t="s">
        <v>72</v>
      </c>
      <c r="B504" s="1" t="s">
        <v>4674</v>
      </c>
      <c r="C504" s="1" t="s">
        <v>74</v>
      </c>
      <c r="D504" s="1" t="s">
        <v>74</v>
      </c>
      <c r="E504" s="1" t="s">
        <v>74</v>
      </c>
      <c r="F504" s="1" t="s">
        <v>4675</v>
      </c>
      <c r="G504" s="1" t="s">
        <v>74</v>
      </c>
      <c r="H504" s="1" t="s">
        <v>74</v>
      </c>
      <c r="I504" s="1" t="s">
        <v>4676</v>
      </c>
      <c r="J504" s="1" t="s">
        <v>4230</v>
      </c>
      <c r="K504" s="1" t="s">
        <v>74</v>
      </c>
      <c r="L504" s="1" t="s">
        <v>74</v>
      </c>
      <c r="M504" s="1" t="s">
        <v>74</v>
      </c>
      <c r="N504" s="1" t="s">
        <v>282</v>
      </c>
      <c r="O504" s="1" t="s">
        <v>74</v>
      </c>
      <c r="P504" s="1" t="s">
        <v>74</v>
      </c>
      <c r="Q504" s="1" t="s">
        <v>74</v>
      </c>
      <c r="R504" s="1" t="s">
        <v>74</v>
      </c>
      <c r="S504" s="1" t="s">
        <v>74</v>
      </c>
      <c r="T504" s="1" t="s">
        <v>4677</v>
      </c>
      <c r="U504" s="1" t="s">
        <v>4678</v>
      </c>
      <c r="V504" s="1" t="s">
        <v>4679</v>
      </c>
      <c r="W504" s="1" t="s">
        <v>74</v>
      </c>
      <c r="X504" s="1" t="s">
        <v>74</v>
      </c>
      <c r="Y504" s="1" t="s">
        <v>74</v>
      </c>
      <c r="Z504" s="1" t="s">
        <v>74</v>
      </c>
      <c r="AA504" s="1" t="s">
        <v>74</v>
      </c>
      <c r="AB504" s="1" t="s">
        <v>74</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4234</v>
      </c>
      <c r="AP504" s="1" t="s">
        <v>4235</v>
      </c>
      <c r="AQ504" s="1" t="s">
        <v>74</v>
      </c>
      <c r="AR504" s="1" t="s">
        <v>74</v>
      </c>
      <c r="AS504" s="1" t="s">
        <v>74</v>
      </c>
      <c r="AT504" s="1" t="s">
        <v>4680</v>
      </c>
      <c r="AU504" s="1">
        <v>2025.0</v>
      </c>
      <c r="AV504" s="1" t="s">
        <v>74</v>
      </c>
      <c r="AW504" s="1" t="s">
        <v>74</v>
      </c>
      <c r="AX504" s="1" t="s">
        <v>74</v>
      </c>
      <c r="AY504" s="1" t="s">
        <v>74</v>
      </c>
      <c r="AZ504" s="1" t="s">
        <v>74</v>
      </c>
      <c r="BA504" s="1" t="s">
        <v>74</v>
      </c>
      <c r="BB504" s="1" t="s">
        <v>74</v>
      </c>
      <c r="BC504" s="1" t="s">
        <v>74</v>
      </c>
      <c r="BD504" s="1" t="s">
        <v>74</v>
      </c>
      <c r="BE504" s="1" t="s">
        <v>4681</v>
      </c>
      <c r="BF504" s="2" t="str">
        <f>HYPERLINK("http://dx.doi.org/10.1007/s00146-025-02620-3","http://dx.doi.org/10.1007/s00146-025-02620-3")</f>
        <v>http://dx.doi.org/10.1007/s00146-025-02620-3</v>
      </c>
      <c r="BG504" s="1" t="s">
        <v>74</v>
      </c>
      <c r="BH504" s="1" t="s">
        <v>738</v>
      </c>
      <c r="BI504" s="1" t="s">
        <v>74</v>
      </c>
      <c r="BJ504" s="1" t="s">
        <v>74</v>
      </c>
      <c r="BK504" s="1" t="s">
        <v>74</v>
      </c>
      <c r="BL504" s="1" t="s">
        <v>174</v>
      </c>
      <c r="BM504" s="1" t="s">
        <v>74</v>
      </c>
      <c r="BN504" s="1" t="s">
        <v>74</v>
      </c>
      <c r="BO504" s="1" t="s">
        <v>114</v>
      </c>
      <c r="BP504" s="1" t="s">
        <v>74</v>
      </c>
      <c r="BQ504" s="1" t="s">
        <v>74</v>
      </c>
      <c r="BR504" s="1" t="s">
        <v>74</v>
      </c>
      <c r="BS504" s="1" t="s">
        <v>4682</v>
      </c>
      <c r="BT504" s="1" t="str">
        <f>HYPERLINK("https%3A%2F%2Fwww.webofscience.com%2Fwos%2Fwoscc%2Ffull-record%2FWOS:001584113000001","View Full Record in Web of Science")</f>
        <v>View Full Record in Web of Science</v>
      </c>
    </row>
    <row r="505" ht="12.75" customHeight="1">
      <c r="A505" s="1" t="s">
        <v>72</v>
      </c>
      <c r="B505" s="1" t="s">
        <v>4683</v>
      </c>
      <c r="C505" s="1" t="s">
        <v>74</v>
      </c>
      <c r="D505" s="1" t="s">
        <v>74</v>
      </c>
      <c r="E505" s="1" t="s">
        <v>74</v>
      </c>
      <c r="F505" s="1" t="s">
        <v>4684</v>
      </c>
      <c r="G505" s="1" t="s">
        <v>74</v>
      </c>
      <c r="H505" s="1" t="s">
        <v>74</v>
      </c>
      <c r="I505" s="1" t="s">
        <v>4685</v>
      </c>
      <c r="J505" s="1" t="s">
        <v>3015</v>
      </c>
      <c r="K505" s="1" t="s">
        <v>74</v>
      </c>
      <c r="L505" s="1" t="s">
        <v>74</v>
      </c>
      <c r="M505" s="1" t="s">
        <v>74</v>
      </c>
      <c r="N505" s="1" t="s">
        <v>953</v>
      </c>
      <c r="O505" s="1" t="s">
        <v>74</v>
      </c>
      <c r="P505" s="1" t="s">
        <v>74</v>
      </c>
      <c r="Q505" s="1" t="s">
        <v>74</v>
      </c>
      <c r="R505" s="1" t="s">
        <v>74</v>
      </c>
      <c r="S505" s="1" t="s">
        <v>74</v>
      </c>
      <c r="T505" s="1" t="s">
        <v>4686</v>
      </c>
      <c r="U505" s="1" t="s">
        <v>4687</v>
      </c>
      <c r="V505" s="1" t="s">
        <v>4688</v>
      </c>
      <c r="W505" s="1" t="s">
        <v>74</v>
      </c>
      <c r="X505" s="1" t="s">
        <v>74</v>
      </c>
      <c r="Y505" s="1" t="s">
        <v>74</v>
      </c>
      <c r="Z505" s="1" t="s">
        <v>74</v>
      </c>
      <c r="AA505" s="1" t="s">
        <v>74</v>
      </c>
      <c r="AB505" s="1" t="s">
        <v>74</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3019</v>
      </c>
      <c r="AP505" s="1" t="s">
        <v>3020</v>
      </c>
      <c r="AQ505" s="1" t="s">
        <v>74</v>
      </c>
      <c r="AR505" s="1" t="s">
        <v>74</v>
      </c>
      <c r="AS505" s="1" t="s">
        <v>74</v>
      </c>
      <c r="AT505" s="1" t="s">
        <v>4689</v>
      </c>
      <c r="AU505" s="1">
        <v>2025.0</v>
      </c>
      <c r="AV505" s="1" t="s">
        <v>74</v>
      </c>
      <c r="AW505" s="1" t="s">
        <v>74</v>
      </c>
      <c r="AX505" s="1" t="s">
        <v>74</v>
      </c>
      <c r="AY505" s="1" t="s">
        <v>74</v>
      </c>
      <c r="AZ505" s="1" t="s">
        <v>74</v>
      </c>
      <c r="BA505" s="1" t="s">
        <v>74</v>
      </c>
      <c r="BB505" s="1" t="s">
        <v>74</v>
      </c>
      <c r="BC505" s="1" t="s">
        <v>74</v>
      </c>
      <c r="BD505" s="1" t="s">
        <v>74</v>
      </c>
      <c r="BE505" s="1" t="s">
        <v>4690</v>
      </c>
      <c r="BF505" s="2" t="str">
        <f>HYPERLINK("http://dx.doi.org/10.1080/13658816.2025.2577252","http://dx.doi.org/10.1080/13658816.2025.2577252")</f>
        <v>http://dx.doi.org/10.1080/13658816.2025.2577252</v>
      </c>
      <c r="BG505" s="1" t="s">
        <v>74</v>
      </c>
      <c r="BH505" s="1" t="s">
        <v>255</v>
      </c>
      <c r="BI505" s="1" t="s">
        <v>74</v>
      </c>
      <c r="BJ505" s="1" t="s">
        <v>74</v>
      </c>
      <c r="BK505" s="1" t="s">
        <v>74</v>
      </c>
      <c r="BL505" s="1" t="s">
        <v>3023</v>
      </c>
      <c r="BM505" s="1" t="s">
        <v>74</v>
      </c>
      <c r="BN505" s="1" t="s">
        <v>74</v>
      </c>
      <c r="BO505" s="1" t="s">
        <v>74</v>
      </c>
      <c r="BP505" s="1" t="s">
        <v>74</v>
      </c>
      <c r="BQ505" s="1" t="s">
        <v>74</v>
      </c>
      <c r="BR505" s="1" t="s">
        <v>74</v>
      </c>
      <c r="BS505" s="1" t="s">
        <v>4691</v>
      </c>
      <c r="BT505" s="1" t="str">
        <f>HYPERLINK("https%3A%2F%2Fwww.webofscience.com%2Fwos%2Fwoscc%2Ffull-record%2FWOS:001606490400001","View Full Record in Web of Science")</f>
        <v>View Full Record in Web of Science</v>
      </c>
    </row>
    <row r="506" ht="12.75" customHeight="1">
      <c r="A506" s="1" t="s">
        <v>72</v>
      </c>
      <c r="B506" s="1" t="s">
        <v>4692</v>
      </c>
      <c r="C506" s="1" t="s">
        <v>74</v>
      </c>
      <c r="D506" s="1" t="s">
        <v>74</v>
      </c>
      <c r="E506" s="1" t="s">
        <v>74</v>
      </c>
      <c r="F506" s="1" t="s">
        <v>4693</v>
      </c>
      <c r="G506" s="1" t="s">
        <v>74</v>
      </c>
      <c r="H506" s="1" t="s">
        <v>74</v>
      </c>
      <c r="I506" s="1" t="s">
        <v>4694</v>
      </c>
      <c r="J506" s="1" t="s">
        <v>1021</v>
      </c>
      <c r="K506" s="1" t="s">
        <v>74</v>
      </c>
      <c r="L506" s="1" t="s">
        <v>74</v>
      </c>
      <c r="M506" s="1" t="s">
        <v>74</v>
      </c>
      <c r="N506" s="1" t="s">
        <v>78</v>
      </c>
      <c r="O506" s="1" t="s">
        <v>74</v>
      </c>
      <c r="P506" s="1" t="s">
        <v>74</v>
      </c>
      <c r="Q506" s="1" t="s">
        <v>74</v>
      </c>
      <c r="R506" s="1" t="s">
        <v>74</v>
      </c>
      <c r="S506" s="1" t="s">
        <v>74</v>
      </c>
      <c r="T506" s="1" t="s">
        <v>4695</v>
      </c>
      <c r="U506" s="1" t="s">
        <v>74</v>
      </c>
      <c r="V506" s="1" t="s">
        <v>4696</v>
      </c>
      <c r="W506" s="1" t="s">
        <v>74</v>
      </c>
      <c r="X506" s="1" t="s">
        <v>74</v>
      </c>
      <c r="Y506" s="1" t="s">
        <v>74</v>
      </c>
      <c r="Z506" s="1" t="s">
        <v>74</v>
      </c>
      <c r="AA506" s="1" t="s">
        <v>74</v>
      </c>
      <c r="AB506" s="1" t="s">
        <v>74</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1025</v>
      </c>
      <c r="AP506" s="1" t="s">
        <v>1026</v>
      </c>
      <c r="AQ506" s="1" t="s">
        <v>74</v>
      </c>
      <c r="AR506" s="1" t="s">
        <v>74</v>
      </c>
      <c r="AS506" s="1" t="s">
        <v>74</v>
      </c>
      <c r="AT506" s="1" t="s">
        <v>357</v>
      </c>
      <c r="AU506" s="1">
        <v>2024.0</v>
      </c>
      <c r="AV506" s="1">
        <v>41.0</v>
      </c>
      <c r="AW506" s="1">
        <v>10.0</v>
      </c>
      <c r="AX506" s="1" t="s">
        <v>74</v>
      </c>
      <c r="AY506" s="1" t="s">
        <v>74</v>
      </c>
      <c r="AZ506" s="1" t="s">
        <v>74</v>
      </c>
      <c r="BA506" s="1" t="s">
        <v>74</v>
      </c>
      <c r="BB506" s="1" t="s">
        <v>74</v>
      </c>
      <c r="BC506" s="1" t="s">
        <v>74</v>
      </c>
      <c r="BD506" s="1" t="s">
        <v>74</v>
      </c>
      <c r="BE506" s="1" t="s">
        <v>4697</v>
      </c>
      <c r="BF506" s="2" t="str">
        <f>HYPERLINK("http://dx.doi.org/10.1111/exsy.13654","http://dx.doi.org/10.1111/exsy.13654")</f>
        <v>http://dx.doi.org/10.1111/exsy.13654</v>
      </c>
      <c r="BG506" s="1" t="s">
        <v>74</v>
      </c>
      <c r="BH506" s="1" t="s">
        <v>498</v>
      </c>
      <c r="BI506" s="1" t="s">
        <v>74</v>
      </c>
      <c r="BJ506" s="1" t="s">
        <v>74</v>
      </c>
      <c r="BK506" s="1" t="s">
        <v>74</v>
      </c>
      <c r="BL506" s="1" t="s">
        <v>174</v>
      </c>
      <c r="BM506" s="1" t="s">
        <v>74</v>
      </c>
      <c r="BN506" s="1" t="s">
        <v>74</v>
      </c>
      <c r="BO506" s="1" t="s">
        <v>576</v>
      </c>
      <c r="BP506" s="1" t="s">
        <v>74</v>
      </c>
      <c r="BQ506" s="1" t="s">
        <v>74</v>
      </c>
      <c r="BR506" s="1" t="s">
        <v>74</v>
      </c>
      <c r="BS506" s="1" t="s">
        <v>4698</v>
      </c>
      <c r="BT506" s="1" t="str">
        <f>HYPERLINK("https%3A%2F%2Fwww.webofscience.com%2Fwos%2Fwoscc%2Ffull-record%2FWOS:001246156700001","View Full Record in Web of Science")</f>
        <v>View Full Record in Web of Science</v>
      </c>
    </row>
    <row r="507" ht="12.75" customHeight="1">
      <c r="A507" s="1" t="s">
        <v>72</v>
      </c>
      <c r="B507" s="1" t="s">
        <v>4699</v>
      </c>
      <c r="C507" s="1" t="s">
        <v>74</v>
      </c>
      <c r="D507" s="1" t="s">
        <v>74</v>
      </c>
      <c r="E507" s="1" t="s">
        <v>74</v>
      </c>
      <c r="F507" s="1" t="s">
        <v>4700</v>
      </c>
      <c r="G507" s="1" t="s">
        <v>74</v>
      </c>
      <c r="H507" s="1" t="s">
        <v>74</v>
      </c>
      <c r="I507" s="1" t="s">
        <v>4701</v>
      </c>
      <c r="J507" s="1" t="s">
        <v>519</v>
      </c>
      <c r="K507" s="1" t="s">
        <v>74</v>
      </c>
      <c r="L507" s="1" t="s">
        <v>74</v>
      </c>
      <c r="M507" s="1" t="s">
        <v>74</v>
      </c>
      <c r="N507" s="1" t="s">
        <v>78</v>
      </c>
      <c r="O507" s="1" t="s">
        <v>74</v>
      </c>
      <c r="P507" s="1" t="s">
        <v>74</v>
      </c>
      <c r="Q507" s="1" t="s">
        <v>74</v>
      </c>
      <c r="R507" s="1" t="s">
        <v>74</v>
      </c>
      <c r="S507" s="1" t="s">
        <v>74</v>
      </c>
      <c r="T507" s="1" t="s">
        <v>4702</v>
      </c>
      <c r="U507" s="1" t="s">
        <v>3137</v>
      </c>
      <c r="V507" s="1" t="s">
        <v>4703</v>
      </c>
      <c r="W507" s="1" t="s">
        <v>74</v>
      </c>
      <c r="X507" s="1" t="s">
        <v>74</v>
      </c>
      <c r="Y507" s="1" t="s">
        <v>74</v>
      </c>
      <c r="Z507" s="1" t="s">
        <v>74</v>
      </c>
      <c r="AA507" s="1" t="s">
        <v>74</v>
      </c>
      <c r="AB507" s="1" t="s">
        <v>74</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523</v>
      </c>
      <c r="AP507" s="1" t="s">
        <v>524</v>
      </c>
      <c r="AQ507" s="1" t="s">
        <v>74</v>
      </c>
      <c r="AR507" s="1" t="s">
        <v>74</v>
      </c>
      <c r="AS507" s="1" t="s">
        <v>74</v>
      </c>
      <c r="AT507" s="1" t="s">
        <v>688</v>
      </c>
      <c r="AU507" s="1">
        <v>2026.0</v>
      </c>
      <c r="AV507" s="1">
        <v>127.0</v>
      </c>
      <c r="AW507" s="1" t="s">
        <v>74</v>
      </c>
      <c r="AX507" s="1" t="s">
        <v>1409</v>
      </c>
      <c r="AY507" s="1" t="s">
        <v>74</v>
      </c>
      <c r="AZ507" s="1" t="s">
        <v>74</v>
      </c>
      <c r="BA507" s="1" t="s">
        <v>74</v>
      </c>
      <c r="BB507" s="1" t="s">
        <v>74</v>
      </c>
      <c r="BC507" s="1" t="s">
        <v>74</v>
      </c>
      <c r="BD507" s="1">
        <v>103752.0</v>
      </c>
      <c r="BE507" s="1" t="s">
        <v>4704</v>
      </c>
      <c r="BF507" s="2" t="str">
        <f>HYPERLINK("http://dx.doi.org/10.1016/j.inffus.2025.103752","http://dx.doi.org/10.1016/j.inffus.2025.103752")</f>
        <v>http://dx.doi.org/10.1016/j.inffus.2025.103752</v>
      </c>
      <c r="BG507" s="1" t="s">
        <v>74</v>
      </c>
      <c r="BH507" s="1" t="s">
        <v>738</v>
      </c>
      <c r="BI507" s="1" t="s">
        <v>74</v>
      </c>
      <c r="BJ507" s="1" t="s">
        <v>74</v>
      </c>
      <c r="BK507" s="1" t="s">
        <v>74</v>
      </c>
      <c r="BL507" s="1" t="s">
        <v>174</v>
      </c>
      <c r="BM507" s="1" t="s">
        <v>74</v>
      </c>
      <c r="BN507" s="1" t="s">
        <v>74</v>
      </c>
      <c r="BO507" s="1" t="s">
        <v>74</v>
      </c>
      <c r="BP507" s="1" t="s">
        <v>74</v>
      </c>
      <c r="BQ507" s="1" t="s">
        <v>74</v>
      </c>
      <c r="BR507" s="1" t="s">
        <v>74</v>
      </c>
      <c r="BS507" s="1" t="s">
        <v>4705</v>
      </c>
      <c r="BT507" s="1" t="str">
        <f>HYPERLINK("https%3A%2F%2Fwww.webofscience.com%2Fwos%2Fwoscc%2Ffull-record%2FWOS:001577648500004","View Full Record in Web of Science")</f>
        <v>View Full Record in Web of Science</v>
      </c>
    </row>
    <row r="508" ht="12.75" customHeight="1">
      <c r="A508" s="1" t="s">
        <v>72</v>
      </c>
      <c r="B508" s="1" t="s">
        <v>4706</v>
      </c>
      <c r="C508" s="1" t="s">
        <v>74</v>
      </c>
      <c r="D508" s="1" t="s">
        <v>74</v>
      </c>
      <c r="E508" s="1" t="s">
        <v>74</v>
      </c>
      <c r="F508" s="1" t="s">
        <v>4707</v>
      </c>
      <c r="G508" s="1" t="s">
        <v>74</v>
      </c>
      <c r="H508" s="1" t="s">
        <v>74</v>
      </c>
      <c r="I508" s="1" t="s">
        <v>4708</v>
      </c>
      <c r="J508" s="1" t="s">
        <v>4709</v>
      </c>
      <c r="K508" s="1" t="s">
        <v>74</v>
      </c>
      <c r="L508" s="1" t="s">
        <v>74</v>
      </c>
      <c r="M508" s="1" t="s">
        <v>74</v>
      </c>
      <c r="N508" s="1" t="s">
        <v>953</v>
      </c>
      <c r="O508" s="1" t="s">
        <v>74</v>
      </c>
      <c r="P508" s="1" t="s">
        <v>74</v>
      </c>
      <c r="Q508" s="1" t="s">
        <v>74</v>
      </c>
      <c r="R508" s="1" t="s">
        <v>74</v>
      </c>
      <c r="S508" s="1" t="s">
        <v>74</v>
      </c>
      <c r="T508" s="1" t="s">
        <v>4710</v>
      </c>
      <c r="U508" s="1" t="s">
        <v>4711</v>
      </c>
      <c r="V508" s="1" t="s">
        <v>4712</v>
      </c>
      <c r="W508" s="1" t="s">
        <v>74</v>
      </c>
      <c r="X508" s="1" t="s">
        <v>74</v>
      </c>
      <c r="Y508" s="1" t="s">
        <v>74</v>
      </c>
      <c r="Z508" s="1" t="s">
        <v>74</v>
      </c>
      <c r="AA508" s="1" t="s">
        <v>74</v>
      </c>
      <c r="AB508" s="1" t="s">
        <v>74</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4713</v>
      </c>
      <c r="AP508" s="1" t="s">
        <v>4714</v>
      </c>
      <c r="AQ508" s="1" t="s">
        <v>74</v>
      </c>
      <c r="AR508" s="1" t="s">
        <v>74</v>
      </c>
      <c r="AS508" s="1" t="s">
        <v>74</v>
      </c>
      <c r="AT508" s="1" t="s">
        <v>4715</v>
      </c>
      <c r="AU508" s="1">
        <v>2025.0</v>
      </c>
      <c r="AV508" s="1" t="s">
        <v>74</v>
      </c>
      <c r="AW508" s="1" t="s">
        <v>74</v>
      </c>
      <c r="AX508" s="1" t="s">
        <v>74</v>
      </c>
      <c r="AY508" s="1" t="s">
        <v>74</v>
      </c>
      <c r="AZ508" s="1" t="s">
        <v>74</v>
      </c>
      <c r="BA508" s="1" t="s">
        <v>74</v>
      </c>
      <c r="BB508" s="1" t="s">
        <v>74</v>
      </c>
      <c r="BC508" s="1" t="s">
        <v>74</v>
      </c>
      <c r="BD508" s="1" t="s">
        <v>74</v>
      </c>
      <c r="BE508" s="1" t="s">
        <v>4716</v>
      </c>
      <c r="BF508" s="2" t="str">
        <f>HYPERLINK("http://dx.doi.org/10.1007/s41019-025-00293-y","http://dx.doi.org/10.1007/s41019-025-00293-y")</f>
        <v>http://dx.doi.org/10.1007/s41019-025-00293-y</v>
      </c>
      <c r="BG508" s="1" t="s">
        <v>74</v>
      </c>
      <c r="BH508" s="1" t="s">
        <v>112</v>
      </c>
      <c r="BI508" s="1" t="s">
        <v>74</v>
      </c>
      <c r="BJ508" s="1" t="s">
        <v>74</v>
      </c>
      <c r="BK508" s="1" t="s">
        <v>74</v>
      </c>
      <c r="BL508" s="1" t="s">
        <v>174</v>
      </c>
      <c r="BM508" s="1" t="s">
        <v>74</v>
      </c>
      <c r="BN508" s="1" t="s">
        <v>74</v>
      </c>
      <c r="BO508" s="1" t="s">
        <v>153</v>
      </c>
      <c r="BP508" s="1" t="s">
        <v>74</v>
      </c>
      <c r="BQ508" s="1" t="s">
        <v>74</v>
      </c>
      <c r="BR508" s="1" t="s">
        <v>74</v>
      </c>
      <c r="BS508" s="1" t="s">
        <v>4717</v>
      </c>
      <c r="BT508" s="1" t="str">
        <f>HYPERLINK("https%3A%2F%2Fwww.webofscience.com%2Fwos%2Fwoscc%2Ffull-record%2FWOS:001504419400001","View Full Record in Web of Science")</f>
        <v>View Full Record in Web of Science</v>
      </c>
    </row>
    <row r="509" ht="12.75" customHeight="1">
      <c r="A509" s="1" t="s">
        <v>72</v>
      </c>
      <c r="B509" s="1" t="s">
        <v>4718</v>
      </c>
      <c r="C509" s="1" t="s">
        <v>74</v>
      </c>
      <c r="D509" s="1" t="s">
        <v>74</v>
      </c>
      <c r="E509" s="1" t="s">
        <v>74</v>
      </c>
      <c r="F509" s="1" t="s">
        <v>4719</v>
      </c>
      <c r="G509" s="1" t="s">
        <v>74</v>
      </c>
      <c r="H509" s="1" t="s">
        <v>74</v>
      </c>
      <c r="I509" s="1" t="s">
        <v>4720</v>
      </c>
      <c r="J509" s="1" t="s">
        <v>840</v>
      </c>
      <c r="K509" s="1" t="s">
        <v>74</v>
      </c>
      <c r="L509" s="1" t="s">
        <v>74</v>
      </c>
      <c r="M509" s="1" t="s">
        <v>74</v>
      </c>
      <c r="N509" s="1" t="s">
        <v>78</v>
      </c>
      <c r="O509" s="1" t="s">
        <v>74</v>
      </c>
      <c r="P509" s="1" t="s">
        <v>74</v>
      </c>
      <c r="Q509" s="1" t="s">
        <v>74</v>
      </c>
      <c r="R509" s="1" t="s">
        <v>74</v>
      </c>
      <c r="S509" s="1" t="s">
        <v>74</v>
      </c>
      <c r="T509" s="1" t="s">
        <v>4721</v>
      </c>
      <c r="U509" s="1" t="s">
        <v>74</v>
      </c>
      <c r="V509" s="1" t="s">
        <v>4722</v>
      </c>
      <c r="W509" s="1" t="s">
        <v>74</v>
      </c>
      <c r="X509" s="1" t="s">
        <v>74</v>
      </c>
      <c r="Y509" s="1" t="s">
        <v>74</v>
      </c>
      <c r="Z509" s="1" t="s">
        <v>74</v>
      </c>
      <c r="AA509" s="1" t="s">
        <v>74</v>
      </c>
      <c r="AB509" s="1" t="s">
        <v>74</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74</v>
      </c>
      <c r="AP509" s="1" t="s">
        <v>4723</v>
      </c>
      <c r="AQ509" s="1" t="s">
        <v>74</v>
      </c>
      <c r="AR509" s="1" t="s">
        <v>74</v>
      </c>
      <c r="AS509" s="1" t="s">
        <v>74</v>
      </c>
      <c r="AT509" s="1" t="s">
        <v>4724</v>
      </c>
      <c r="AU509" s="1">
        <v>2025.0</v>
      </c>
      <c r="AV509" s="1">
        <v>13.0</v>
      </c>
      <c r="AW509" s="1">
        <v>8.0</v>
      </c>
      <c r="AX509" s="1" t="s">
        <v>74</v>
      </c>
      <c r="AY509" s="1" t="s">
        <v>74</v>
      </c>
      <c r="AZ509" s="1" t="s">
        <v>74</v>
      </c>
      <c r="BA509" s="1" t="s">
        <v>74</v>
      </c>
      <c r="BB509" s="1" t="s">
        <v>74</v>
      </c>
      <c r="BC509" s="1" t="s">
        <v>74</v>
      </c>
      <c r="BD509" s="1">
        <v>641.0</v>
      </c>
      <c r="BE509" s="1" t="s">
        <v>4725</v>
      </c>
      <c r="BF509" s="2" t="str">
        <f>HYPERLINK("http://dx.doi.org/10.3390/systems13080641","http://dx.doi.org/10.3390/systems13080641")</f>
        <v>http://dx.doi.org/10.3390/systems13080641</v>
      </c>
      <c r="BG509" s="1" t="s">
        <v>74</v>
      </c>
      <c r="BH509" s="1" t="s">
        <v>74</v>
      </c>
      <c r="BI509" s="1" t="s">
        <v>74</v>
      </c>
      <c r="BJ509" s="1" t="s">
        <v>74</v>
      </c>
      <c r="BK509" s="1" t="s">
        <v>74</v>
      </c>
      <c r="BL509" s="1" t="s">
        <v>615</v>
      </c>
      <c r="BM509" s="1" t="s">
        <v>74</v>
      </c>
      <c r="BN509" s="1" t="s">
        <v>74</v>
      </c>
      <c r="BO509" s="1" t="s">
        <v>163</v>
      </c>
      <c r="BP509" s="1" t="s">
        <v>74</v>
      </c>
      <c r="BQ509" s="1" t="s">
        <v>74</v>
      </c>
      <c r="BR509" s="1" t="s">
        <v>74</v>
      </c>
      <c r="BS509" s="1" t="s">
        <v>4726</v>
      </c>
      <c r="BT509" s="1" t="str">
        <f>HYPERLINK("https%3A%2F%2Fwww.webofscience.com%2Fwos%2Fwoscc%2Ffull-record%2FWOS:001558218000001","View Full Record in Web of Science")</f>
        <v>View Full Record in Web of Science</v>
      </c>
    </row>
    <row r="510" ht="12.75" customHeight="1">
      <c r="A510" s="1" t="s">
        <v>72</v>
      </c>
      <c r="B510" s="1" t="s">
        <v>4727</v>
      </c>
      <c r="C510" s="1" t="s">
        <v>74</v>
      </c>
      <c r="D510" s="1" t="s">
        <v>74</v>
      </c>
      <c r="E510" s="1" t="s">
        <v>74</v>
      </c>
      <c r="F510" s="1" t="s">
        <v>4728</v>
      </c>
      <c r="G510" s="1" t="s">
        <v>74</v>
      </c>
      <c r="H510" s="1" t="s">
        <v>74</v>
      </c>
      <c r="I510" s="1" t="s">
        <v>4729</v>
      </c>
      <c r="J510" s="1" t="s">
        <v>2928</v>
      </c>
      <c r="K510" s="1" t="s">
        <v>74</v>
      </c>
      <c r="L510" s="1" t="s">
        <v>74</v>
      </c>
      <c r="M510" s="1" t="s">
        <v>74</v>
      </c>
      <c r="N510" s="1" t="s">
        <v>78</v>
      </c>
      <c r="O510" s="1" t="s">
        <v>74</v>
      </c>
      <c r="P510" s="1" t="s">
        <v>74</v>
      </c>
      <c r="Q510" s="1" t="s">
        <v>74</v>
      </c>
      <c r="R510" s="1" t="s">
        <v>74</v>
      </c>
      <c r="S510" s="1" t="s">
        <v>74</v>
      </c>
      <c r="T510" s="1" t="s">
        <v>4730</v>
      </c>
      <c r="U510" s="1" t="s">
        <v>4731</v>
      </c>
      <c r="V510" s="1" t="s">
        <v>4732</v>
      </c>
      <c r="W510" s="1" t="s">
        <v>74</v>
      </c>
      <c r="X510" s="1" t="s">
        <v>74</v>
      </c>
      <c r="Y510" s="1" t="s">
        <v>74</v>
      </c>
      <c r="Z510" s="1" t="s">
        <v>74</v>
      </c>
      <c r="AA510" s="1" t="s">
        <v>74</v>
      </c>
      <c r="AB510" s="1" t="s">
        <v>74</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2931</v>
      </c>
      <c r="AP510" s="1" t="s">
        <v>2932</v>
      </c>
      <c r="AQ510" s="1" t="s">
        <v>74</v>
      </c>
      <c r="AR510" s="1" t="s">
        <v>74</v>
      </c>
      <c r="AS510" s="1" t="s">
        <v>74</v>
      </c>
      <c r="AT510" s="1" t="s">
        <v>84</v>
      </c>
      <c r="AU510" s="1">
        <v>2025.0</v>
      </c>
      <c r="AV510" s="1">
        <v>65.0</v>
      </c>
      <c r="AW510" s="1" t="s">
        <v>74</v>
      </c>
      <c r="AX510" s="1" t="s">
        <v>110</v>
      </c>
      <c r="AY510" s="1" t="s">
        <v>74</v>
      </c>
      <c r="AZ510" s="1" t="s">
        <v>74</v>
      </c>
      <c r="BA510" s="1" t="s">
        <v>74</v>
      </c>
      <c r="BB510" s="1" t="s">
        <v>74</v>
      </c>
      <c r="BC510" s="1" t="s">
        <v>74</v>
      </c>
      <c r="BD510" s="1">
        <v>103263.0</v>
      </c>
      <c r="BE510" s="1" t="s">
        <v>4733</v>
      </c>
      <c r="BF510" s="2" t="str">
        <f>HYPERLINK("http://dx.doi.org/10.1016/j.aei.2025.103263","http://dx.doi.org/10.1016/j.aei.2025.103263")</f>
        <v>http://dx.doi.org/10.1016/j.aei.2025.103263</v>
      </c>
      <c r="BG510" s="1" t="s">
        <v>74</v>
      </c>
      <c r="BH510" s="1" t="s">
        <v>347</v>
      </c>
      <c r="BI510" s="1" t="s">
        <v>74</v>
      </c>
      <c r="BJ510" s="1" t="s">
        <v>74</v>
      </c>
      <c r="BK510" s="1" t="s">
        <v>74</v>
      </c>
      <c r="BL510" s="1" t="s">
        <v>98</v>
      </c>
      <c r="BM510" s="1" t="s">
        <v>74</v>
      </c>
      <c r="BN510" s="1" t="s">
        <v>74</v>
      </c>
      <c r="BO510" s="1" t="s">
        <v>74</v>
      </c>
      <c r="BP510" s="1" t="s">
        <v>74</v>
      </c>
      <c r="BQ510" s="1" t="s">
        <v>74</v>
      </c>
      <c r="BR510" s="1" t="s">
        <v>74</v>
      </c>
      <c r="BS510" s="1" t="s">
        <v>4734</v>
      </c>
      <c r="BT510" s="1" t="str">
        <f>HYPERLINK("https%3A%2F%2Fwww.webofscience.com%2Fwos%2Fwoscc%2Ffull-record%2FWOS:001448863000001","View Full Record in Web of Science")</f>
        <v>View Full Record in Web of Science</v>
      </c>
    </row>
    <row r="511" ht="12.75" customHeight="1">
      <c r="A511" s="1" t="s">
        <v>72</v>
      </c>
      <c r="B511" s="1" t="s">
        <v>4735</v>
      </c>
      <c r="C511" s="1" t="s">
        <v>74</v>
      </c>
      <c r="D511" s="1" t="s">
        <v>74</v>
      </c>
      <c r="E511" s="1" t="s">
        <v>74</v>
      </c>
      <c r="F511" s="1" t="s">
        <v>4736</v>
      </c>
      <c r="G511" s="1" t="s">
        <v>74</v>
      </c>
      <c r="H511" s="1" t="s">
        <v>74</v>
      </c>
      <c r="I511" s="1" t="s">
        <v>4737</v>
      </c>
      <c r="J511" s="1" t="s">
        <v>1404</v>
      </c>
      <c r="K511" s="1" t="s">
        <v>74</v>
      </c>
      <c r="L511" s="1" t="s">
        <v>74</v>
      </c>
      <c r="M511" s="1" t="s">
        <v>74</v>
      </c>
      <c r="N511" s="1" t="s">
        <v>78</v>
      </c>
      <c r="O511" s="1" t="s">
        <v>74</v>
      </c>
      <c r="P511" s="1" t="s">
        <v>74</v>
      </c>
      <c r="Q511" s="1" t="s">
        <v>74</v>
      </c>
      <c r="R511" s="1" t="s">
        <v>74</v>
      </c>
      <c r="S511" s="1" t="s">
        <v>74</v>
      </c>
      <c r="T511" s="1" t="s">
        <v>4738</v>
      </c>
      <c r="U511" s="1" t="s">
        <v>512</v>
      </c>
      <c r="V511" s="1" t="s">
        <v>4739</v>
      </c>
      <c r="W511" s="1" t="s">
        <v>74</v>
      </c>
      <c r="X511" s="1" t="s">
        <v>74</v>
      </c>
      <c r="Y511" s="1" t="s">
        <v>74</v>
      </c>
      <c r="Z511" s="1" t="s">
        <v>74</v>
      </c>
      <c r="AA511" s="1" t="s">
        <v>74</v>
      </c>
      <c r="AB511" s="1" t="s">
        <v>74</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1407</v>
      </c>
      <c r="AP511" s="1" t="s">
        <v>1408</v>
      </c>
      <c r="AQ511" s="1" t="s">
        <v>74</v>
      </c>
      <c r="AR511" s="1" t="s">
        <v>74</v>
      </c>
      <c r="AS511" s="1" t="s">
        <v>74</v>
      </c>
      <c r="AT511" s="1" t="s">
        <v>139</v>
      </c>
      <c r="AU511" s="1">
        <v>2026.0</v>
      </c>
      <c r="AV511" s="1">
        <v>108.0</v>
      </c>
      <c r="AW511" s="1" t="s">
        <v>74</v>
      </c>
      <c r="AX511" s="1" t="s">
        <v>74</v>
      </c>
      <c r="AY511" s="1" t="s">
        <v>74</v>
      </c>
      <c r="AZ511" s="1" t="s">
        <v>74</v>
      </c>
      <c r="BA511" s="1" t="s">
        <v>74</v>
      </c>
      <c r="BB511" s="1" t="s">
        <v>74</v>
      </c>
      <c r="BC511" s="1" t="s">
        <v>74</v>
      </c>
      <c r="BD511" s="1">
        <v>103828.0</v>
      </c>
      <c r="BE511" s="1" t="s">
        <v>4740</v>
      </c>
      <c r="BF511" s="2" t="str">
        <f>HYPERLINK("http://dx.doi.org/10.1016/j.media.2025.103828","http://dx.doi.org/10.1016/j.media.2025.103828")</f>
        <v>http://dx.doi.org/10.1016/j.media.2025.103828</v>
      </c>
      <c r="BG511" s="1" t="s">
        <v>74</v>
      </c>
      <c r="BH511" s="1" t="s">
        <v>255</v>
      </c>
      <c r="BI511" s="1" t="s">
        <v>74</v>
      </c>
      <c r="BJ511" s="1" t="s">
        <v>74</v>
      </c>
      <c r="BK511" s="1" t="s">
        <v>74</v>
      </c>
      <c r="BL511" s="1" t="s">
        <v>1411</v>
      </c>
      <c r="BM511" s="1" t="s">
        <v>74</v>
      </c>
      <c r="BN511" s="1" t="s">
        <v>74</v>
      </c>
      <c r="BO511" s="1" t="s">
        <v>74</v>
      </c>
      <c r="BP511" s="1" t="s">
        <v>74</v>
      </c>
      <c r="BQ511" s="1" t="s">
        <v>74</v>
      </c>
      <c r="BR511" s="1" t="s">
        <v>74</v>
      </c>
      <c r="BS511" s="1" t="s">
        <v>4741</v>
      </c>
      <c r="BT511" s="1" t="str">
        <f>HYPERLINK("https%3A%2F%2Fwww.webofscience.com%2Fwos%2Fwoscc%2Ffull-record%2FWOS:001632374300002","View Full Record in Web of Science")</f>
        <v>View Full Record in Web of Science</v>
      </c>
    </row>
    <row r="512" ht="12.75" customHeight="1">
      <c r="A512" s="1" t="s">
        <v>72</v>
      </c>
      <c r="B512" s="1" t="s">
        <v>4742</v>
      </c>
      <c r="C512" s="1" t="s">
        <v>74</v>
      </c>
      <c r="D512" s="1" t="s">
        <v>74</v>
      </c>
      <c r="E512" s="1" t="s">
        <v>74</v>
      </c>
      <c r="F512" s="1" t="s">
        <v>4743</v>
      </c>
      <c r="G512" s="1" t="s">
        <v>74</v>
      </c>
      <c r="H512" s="1" t="s">
        <v>74</v>
      </c>
      <c r="I512" s="1" t="s">
        <v>4744</v>
      </c>
      <c r="J512" s="1" t="s">
        <v>147</v>
      </c>
      <c r="K512" s="1" t="s">
        <v>74</v>
      </c>
      <c r="L512" s="1" t="s">
        <v>74</v>
      </c>
      <c r="M512" s="1" t="s">
        <v>74</v>
      </c>
      <c r="N512" s="1" t="s">
        <v>78</v>
      </c>
      <c r="O512" s="1" t="s">
        <v>74</v>
      </c>
      <c r="P512" s="1" t="s">
        <v>74</v>
      </c>
      <c r="Q512" s="1" t="s">
        <v>74</v>
      </c>
      <c r="R512" s="1" t="s">
        <v>74</v>
      </c>
      <c r="S512" s="1" t="s">
        <v>74</v>
      </c>
      <c r="T512" s="1" t="s">
        <v>4745</v>
      </c>
      <c r="U512" s="1" t="s">
        <v>74</v>
      </c>
      <c r="V512" s="1" t="s">
        <v>4746</v>
      </c>
      <c r="W512" s="1" t="s">
        <v>74</v>
      </c>
      <c r="X512" s="1" t="s">
        <v>74</v>
      </c>
      <c r="Y512" s="1" t="s">
        <v>74</v>
      </c>
      <c r="Z512" s="1" t="s">
        <v>74</v>
      </c>
      <c r="AA512" s="1" t="s">
        <v>74</v>
      </c>
      <c r="AB512" s="1" t="s">
        <v>74</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150</v>
      </c>
      <c r="AP512" s="1" t="s">
        <v>74</v>
      </c>
      <c r="AQ512" s="1" t="s">
        <v>74</v>
      </c>
      <c r="AR512" s="1" t="s">
        <v>74</v>
      </c>
      <c r="AS512" s="1" t="s">
        <v>74</v>
      </c>
      <c r="AT512" s="1" t="s">
        <v>74</v>
      </c>
      <c r="AU512" s="1">
        <v>2024.0</v>
      </c>
      <c r="AV512" s="1">
        <v>12.0</v>
      </c>
      <c r="AW512" s="1" t="s">
        <v>74</v>
      </c>
      <c r="AX512" s="1" t="s">
        <v>74</v>
      </c>
      <c r="AY512" s="1" t="s">
        <v>74</v>
      </c>
      <c r="AZ512" s="1" t="s">
        <v>74</v>
      </c>
      <c r="BA512" s="1" t="s">
        <v>74</v>
      </c>
      <c r="BB512" s="1">
        <v>166843.0</v>
      </c>
      <c r="BC512" s="1">
        <v>166854.0</v>
      </c>
      <c r="BD512" s="1" t="s">
        <v>74</v>
      </c>
      <c r="BE512" s="1" t="s">
        <v>4747</v>
      </c>
      <c r="BF512" s="2" t="str">
        <f>HYPERLINK("http://dx.doi.org/10.1109/ACCESS.2024.3496666","http://dx.doi.org/10.1109/ACCESS.2024.3496666")</f>
        <v>http://dx.doi.org/10.1109/ACCESS.2024.3496666</v>
      </c>
      <c r="BG512" s="1" t="s">
        <v>74</v>
      </c>
      <c r="BH512" s="1" t="s">
        <v>74</v>
      </c>
      <c r="BI512" s="1" t="s">
        <v>74</v>
      </c>
      <c r="BJ512" s="1" t="s">
        <v>74</v>
      </c>
      <c r="BK512" s="1" t="s">
        <v>74</v>
      </c>
      <c r="BL512" s="1" t="s">
        <v>152</v>
      </c>
      <c r="BM512" s="1" t="s">
        <v>74</v>
      </c>
      <c r="BN512" s="1" t="s">
        <v>74</v>
      </c>
      <c r="BO512" s="1" t="s">
        <v>153</v>
      </c>
      <c r="BP512" s="1" t="s">
        <v>74</v>
      </c>
      <c r="BQ512" s="1" t="s">
        <v>74</v>
      </c>
      <c r="BR512" s="1" t="s">
        <v>74</v>
      </c>
      <c r="BS512" s="1" t="s">
        <v>4748</v>
      </c>
      <c r="BT512" s="1" t="str">
        <f>HYPERLINK("https%3A%2F%2Fwww.webofscience.com%2Fwos%2Fwoscc%2Ffull-record%2FWOS:001358248500002","View Full Record in Web of Science")</f>
        <v>View Full Record in Web of Science</v>
      </c>
    </row>
    <row r="513" ht="12.75" customHeight="1">
      <c r="A513" s="1" t="s">
        <v>72</v>
      </c>
      <c r="B513" s="1" t="s">
        <v>4749</v>
      </c>
      <c r="C513" s="1" t="s">
        <v>74</v>
      </c>
      <c r="D513" s="1" t="s">
        <v>74</v>
      </c>
      <c r="E513" s="1" t="s">
        <v>74</v>
      </c>
      <c r="F513" s="1" t="s">
        <v>4750</v>
      </c>
      <c r="G513" s="1" t="s">
        <v>74</v>
      </c>
      <c r="H513" s="1" t="s">
        <v>74</v>
      </c>
      <c r="I513" s="1" t="s">
        <v>4751</v>
      </c>
      <c r="J513" s="1" t="s">
        <v>4752</v>
      </c>
      <c r="K513" s="1" t="s">
        <v>74</v>
      </c>
      <c r="L513" s="1" t="s">
        <v>74</v>
      </c>
      <c r="M513" s="1" t="s">
        <v>74</v>
      </c>
      <c r="N513" s="1" t="s">
        <v>158</v>
      </c>
      <c r="O513" s="1" t="s">
        <v>74</v>
      </c>
      <c r="P513" s="1" t="s">
        <v>74</v>
      </c>
      <c r="Q513" s="1" t="s">
        <v>74</v>
      </c>
      <c r="R513" s="1" t="s">
        <v>74</v>
      </c>
      <c r="S513" s="1" t="s">
        <v>74</v>
      </c>
      <c r="T513" s="1" t="s">
        <v>4753</v>
      </c>
      <c r="U513" s="1" t="s">
        <v>4754</v>
      </c>
      <c r="V513" s="1" t="s">
        <v>4755</v>
      </c>
      <c r="W513" s="1" t="s">
        <v>74</v>
      </c>
      <c r="X513" s="1" t="s">
        <v>74</v>
      </c>
      <c r="Y513" s="1" t="s">
        <v>74</v>
      </c>
      <c r="Z513" s="1" t="s">
        <v>74</v>
      </c>
      <c r="AA513" s="1" t="s">
        <v>74</v>
      </c>
      <c r="AB513" s="1" t="s">
        <v>74</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4756</v>
      </c>
      <c r="AP513" s="1" t="s">
        <v>4757</v>
      </c>
      <c r="AQ513" s="1" t="s">
        <v>74</v>
      </c>
      <c r="AR513" s="1" t="s">
        <v>74</v>
      </c>
      <c r="AS513" s="1" t="s">
        <v>74</v>
      </c>
      <c r="AT513" s="1" t="s">
        <v>335</v>
      </c>
      <c r="AU513" s="1">
        <v>2025.0</v>
      </c>
      <c r="AV513" s="1">
        <v>7.0</v>
      </c>
      <c r="AW513" s="1">
        <v>2.0</v>
      </c>
      <c r="AX513" s="1" t="s">
        <v>74</v>
      </c>
      <c r="AY513" s="1" t="s">
        <v>74</v>
      </c>
      <c r="AZ513" s="1" t="s">
        <v>74</v>
      </c>
      <c r="BA513" s="1" t="s">
        <v>74</v>
      </c>
      <c r="BB513" s="1">
        <v>135.0</v>
      </c>
      <c r="BC513" s="1">
        <v>152.0</v>
      </c>
      <c r="BD513" s="1" t="s">
        <v>74</v>
      </c>
      <c r="BE513" s="1" t="s">
        <v>4758</v>
      </c>
      <c r="BF513" s="2" t="str">
        <f>HYPERLINK("http://dx.doi.org/10.1007/s41965-024-00172-x","http://dx.doi.org/10.1007/s41965-024-00172-x")</f>
        <v>http://dx.doi.org/10.1007/s41965-024-00172-x</v>
      </c>
      <c r="BG513" s="1" t="s">
        <v>74</v>
      </c>
      <c r="BH513" s="1" t="s">
        <v>2216</v>
      </c>
      <c r="BI513" s="1" t="s">
        <v>74</v>
      </c>
      <c r="BJ513" s="1" t="s">
        <v>74</v>
      </c>
      <c r="BK513" s="1" t="s">
        <v>74</v>
      </c>
      <c r="BL513" s="1" t="s">
        <v>174</v>
      </c>
      <c r="BM513" s="1" t="s">
        <v>74</v>
      </c>
      <c r="BN513" s="1" t="s">
        <v>74</v>
      </c>
      <c r="BO513" s="1" t="s">
        <v>74</v>
      </c>
      <c r="BP513" s="1" t="s">
        <v>74</v>
      </c>
      <c r="BQ513" s="1" t="s">
        <v>74</v>
      </c>
      <c r="BR513" s="1" t="s">
        <v>74</v>
      </c>
      <c r="BS513" s="1" t="s">
        <v>4759</v>
      </c>
      <c r="BT513" s="1" t="str">
        <f>HYPERLINK("https%3A%2F%2Fwww.webofscience.com%2Fwos%2Fwoscc%2Ffull-record%2FWOS:001352730700001","View Full Record in Web of Science")</f>
        <v>View Full Record in Web of Science</v>
      </c>
    </row>
    <row r="514" ht="12.75" customHeight="1">
      <c r="A514" s="1" t="s">
        <v>72</v>
      </c>
      <c r="B514" s="1" t="s">
        <v>4760</v>
      </c>
      <c r="C514" s="1" t="s">
        <v>74</v>
      </c>
      <c r="D514" s="1" t="s">
        <v>74</v>
      </c>
      <c r="E514" s="1" t="s">
        <v>74</v>
      </c>
      <c r="F514" s="1" t="s">
        <v>4761</v>
      </c>
      <c r="G514" s="1" t="s">
        <v>74</v>
      </c>
      <c r="H514" s="1" t="s">
        <v>74</v>
      </c>
      <c r="I514" s="1" t="s">
        <v>4762</v>
      </c>
      <c r="J514" s="1" t="s">
        <v>147</v>
      </c>
      <c r="K514" s="1" t="s">
        <v>74</v>
      </c>
      <c r="L514" s="1" t="s">
        <v>74</v>
      </c>
      <c r="M514" s="1" t="s">
        <v>74</v>
      </c>
      <c r="N514" s="1" t="s">
        <v>78</v>
      </c>
      <c r="O514" s="1" t="s">
        <v>74</v>
      </c>
      <c r="P514" s="1" t="s">
        <v>74</v>
      </c>
      <c r="Q514" s="1" t="s">
        <v>74</v>
      </c>
      <c r="R514" s="1" t="s">
        <v>74</v>
      </c>
      <c r="S514" s="1" t="s">
        <v>74</v>
      </c>
      <c r="T514" s="1" t="s">
        <v>4763</v>
      </c>
      <c r="U514" s="1" t="s">
        <v>4764</v>
      </c>
      <c r="V514" s="1" t="s">
        <v>4765</v>
      </c>
      <c r="W514" s="1" t="s">
        <v>74</v>
      </c>
      <c r="X514" s="1" t="s">
        <v>74</v>
      </c>
      <c r="Y514" s="1" t="s">
        <v>74</v>
      </c>
      <c r="Z514" s="1" t="s">
        <v>74</v>
      </c>
      <c r="AA514" s="1" t="s">
        <v>74</v>
      </c>
      <c r="AB514" s="1" t="s">
        <v>74</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150</v>
      </c>
      <c r="AP514" s="1" t="s">
        <v>74</v>
      </c>
      <c r="AQ514" s="1" t="s">
        <v>74</v>
      </c>
      <c r="AR514" s="1" t="s">
        <v>74</v>
      </c>
      <c r="AS514" s="1" t="s">
        <v>74</v>
      </c>
      <c r="AT514" s="1" t="s">
        <v>74</v>
      </c>
      <c r="AU514" s="1">
        <v>2024.0</v>
      </c>
      <c r="AV514" s="1">
        <v>12.0</v>
      </c>
      <c r="AW514" s="1" t="s">
        <v>74</v>
      </c>
      <c r="AX514" s="1" t="s">
        <v>74</v>
      </c>
      <c r="AY514" s="1" t="s">
        <v>74</v>
      </c>
      <c r="AZ514" s="1" t="s">
        <v>74</v>
      </c>
      <c r="BA514" s="1" t="s">
        <v>74</v>
      </c>
      <c r="BB514" s="1">
        <v>89479.0</v>
      </c>
      <c r="BC514" s="1">
        <v>89492.0</v>
      </c>
      <c r="BD514" s="1" t="s">
        <v>74</v>
      </c>
      <c r="BE514" s="1" t="s">
        <v>4766</v>
      </c>
      <c r="BF514" s="2" t="str">
        <f>HYPERLINK("http://dx.doi.org/10.1109/ACCESS.2024.3411015","http://dx.doi.org/10.1109/ACCESS.2024.3411015")</f>
        <v>http://dx.doi.org/10.1109/ACCESS.2024.3411015</v>
      </c>
      <c r="BG514" s="1" t="s">
        <v>74</v>
      </c>
      <c r="BH514" s="1" t="s">
        <v>74</v>
      </c>
      <c r="BI514" s="1" t="s">
        <v>74</v>
      </c>
      <c r="BJ514" s="1" t="s">
        <v>74</v>
      </c>
      <c r="BK514" s="1" t="s">
        <v>74</v>
      </c>
      <c r="BL514" s="1" t="s">
        <v>152</v>
      </c>
      <c r="BM514" s="1" t="s">
        <v>74</v>
      </c>
      <c r="BN514" s="1" t="s">
        <v>74</v>
      </c>
      <c r="BO514" s="1" t="s">
        <v>153</v>
      </c>
      <c r="BP514" s="1" t="s">
        <v>74</v>
      </c>
      <c r="BQ514" s="1" t="s">
        <v>74</v>
      </c>
      <c r="BR514" s="1" t="s">
        <v>74</v>
      </c>
      <c r="BS514" s="1" t="s">
        <v>4767</v>
      </c>
      <c r="BT514" s="1" t="str">
        <f>HYPERLINK("https%3A%2F%2Fwww.webofscience.com%2Fwos%2Fwoscc%2Ffull-record%2FWOS:001262677200001","View Full Record in Web of Science")</f>
        <v>View Full Record in Web of Science</v>
      </c>
    </row>
    <row r="515" ht="12.75" customHeight="1">
      <c r="A515" s="1" t="s">
        <v>72</v>
      </c>
      <c r="B515" s="1" t="s">
        <v>4768</v>
      </c>
      <c r="C515" s="1" t="s">
        <v>74</v>
      </c>
      <c r="D515" s="1" t="s">
        <v>74</v>
      </c>
      <c r="E515" s="1" t="s">
        <v>74</v>
      </c>
      <c r="F515" s="1" t="s">
        <v>4769</v>
      </c>
      <c r="G515" s="1" t="s">
        <v>74</v>
      </c>
      <c r="H515" s="1" t="s">
        <v>74</v>
      </c>
      <c r="I515" s="1" t="s">
        <v>4770</v>
      </c>
      <c r="J515" s="1" t="s">
        <v>4771</v>
      </c>
      <c r="K515" s="1" t="s">
        <v>74</v>
      </c>
      <c r="L515" s="1" t="s">
        <v>74</v>
      </c>
      <c r="M515" s="1" t="s">
        <v>74</v>
      </c>
      <c r="N515" s="1" t="s">
        <v>78</v>
      </c>
      <c r="O515" s="1" t="s">
        <v>74</v>
      </c>
      <c r="P515" s="1" t="s">
        <v>74</v>
      </c>
      <c r="Q515" s="1" t="s">
        <v>74</v>
      </c>
      <c r="R515" s="1" t="s">
        <v>74</v>
      </c>
      <c r="S515" s="1" t="s">
        <v>74</v>
      </c>
      <c r="T515" s="1" t="s">
        <v>4772</v>
      </c>
      <c r="U515" s="1" t="s">
        <v>74</v>
      </c>
      <c r="V515" s="1" t="s">
        <v>4773</v>
      </c>
      <c r="W515" s="1" t="s">
        <v>74</v>
      </c>
      <c r="X515" s="1" t="s">
        <v>74</v>
      </c>
      <c r="Y515" s="1" t="s">
        <v>74</v>
      </c>
      <c r="Z515" s="1" t="s">
        <v>74</v>
      </c>
      <c r="AA515" s="1" t="s">
        <v>74</v>
      </c>
      <c r="AB515" s="1" t="s">
        <v>74</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4774</v>
      </c>
      <c r="AP515" s="1" t="s">
        <v>4775</v>
      </c>
      <c r="AQ515" s="1" t="s">
        <v>74</v>
      </c>
      <c r="AR515" s="1" t="s">
        <v>74</v>
      </c>
      <c r="AS515" s="1" t="s">
        <v>74</v>
      </c>
      <c r="AT515" s="1" t="s">
        <v>736</v>
      </c>
      <c r="AU515" s="1">
        <v>2026.0</v>
      </c>
      <c r="AV515" s="1">
        <v>171.0</v>
      </c>
      <c r="AW515" s="1" t="s">
        <v>74</v>
      </c>
      <c r="AX515" s="1" t="s">
        <v>74</v>
      </c>
      <c r="AY515" s="1" t="s">
        <v>74</v>
      </c>
      <c r="AZ515" s="1" t="s">
        <v>74</v>
      </c>
      <c r="BA515" s="1" t="s">
        <v>74</v>
      </c>
      <c r="BB515" s="1" t="s">
        <v>74</v>
      </c>
      <c r="BC515" s="1" t="s">
        <v>74</v>
      </c>
      <c r="BD515" s="1">
        <v>103310.0</v>
      </c>
      <c r="BE515" s="1" t="s">
        <v>4776</v>
      </c>
      <c r="BF515" s="2" t="str">
        <f>HYPERLINK("http://dx.doi.org/10.1016/j.artmed.2025.103310","http://dx.doi.org/10.1016/j.artmed.2025.103310")</f>
        <v>http://dx.doi.org/10.1016/j.artmed.2025.103310</v>
      </c>
      <c r="BG515" s="1" t="s">
        <v>74</v>
      </c>
      <c r="BH515" s="1" t="s">
        <v>255</v>
      </c>
      <c r="BI515" s="1" t="s">
        <v>74</v>
      </c>
      <c r="BJ515" s="1" t="s">
        <v>74</v>
      </c>
      <c r="BK515" s="1" t="s">
        <v>74</v>
      </c>
      <c r="BL515" s="1" t="s">
        <v>4777</v>
      </c>
      <c r="BM515" s="1" t="s">
        <v>74</v>
      </c>
      <c r="BN515" s="1" t="s">
        <v>74</v>
      </c>
      <c r="BO515" s="1" t="s">
        <v>74</v>
      </c>
      <c r="BP515" s="1" t="s">
        <v>74</v>
      </c>
      <c r="BQ515" s="1" t="s">
        <v>74</v>
      </c>
      <c r="BR515" s="1" t="s">
        <v>74</v>
      </c>
      <c r="BS515" s="1" t="s">
        <v>4778</v>
      </c>
      <c r="BT515" s="1" t="str">
        <f>HYPERLINK("https%3A%2F%2Fwww.webofscience.com%2Fwos%2Fwoscc%2Ffull-record%2FWOS:001632406000001","View Full Record in Web of Science")</f>
        <v>View Full Record in Web of Science</v>
      </c>
    </row>
    <row r="516" ht="12.75" customHeight="1">
      <c r="A516" s="1" t="s">
        <v>72</v>
      </c>
      <c r="B516" s="1" t="s">
        <v>4779</v>
      </c>
      <c r="C516" s="1" t="s">
        <v>74</v>
      </c>
      <c r="D516" s="1" t="s">
        <v>74</v>
      </c>
      <c r="E516" s="1" t="s">
        <v>74</v>
      </c>
      <c r="F516" s="1" t="s">
        <v>4780</v>
      </c>
      <c r="G516" s="1" t="s">
        <v>74</v>
      </c>
      <c r="H516" s="1" t="s">
        <v>74</v>
      </c>
      <c r="I516" s="1" t="s">
        <v>4781</v>
      </c>
      <c r="J516" s="1" t="s">
        <v>2655</v>
      </c>
      <c r="K516" s="1" t="s">
        <v>74</v>
      </c>
      <c r="L516" s="1" t="s">
        <v>74</v>
      </c>
      <c r="M516" s="1" t="s">
        <v>74</v>
      </c>
      <c r="N516" s="1" t="s">
        <v>78</v>
      </c>
      <c r="O516" s="1" t="s">
        <v>74</v>
      </c>
      <c r="P516" s="1" t="s">
        <v>74</v>
      </c>
      <c r="Q516" s="1" t="s">
        <v>74</v>
      </c>
      <c r="R516" s="1" t="s">
        <v>74</v>
      </c>
      <c r="S516" s="1" t="s">
        <v>74</v>
      </c>
      <c r="T516" s="1" t="s">
        <v>4782</v>
      </c>
      <c r="U516" s="1" t="s">
        <v>4783</v>
      </c>
      <c r="V516" s="1" t="s">
        <v>4784</v>
      </c>
      <c r="W516" s="1" t="s">
        <v>74</v>
      </c>
      <c r="X516" s="1" t="s">
        <v>74</v>
      </c>
      <c r="Y516" s="1" t="s">
        <v>74</v>
      </c>
      <c r="Z516" s="1" t="s">
        <v>74</v>
      </c>
      <c r="AA516" s="1" t="s">
        <v>74</v>
      </c>
      <c r="AB516" s="1" t="s">
        <v>74</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2659</v>
      </c>
      <c r="AP516" s="1" t="s">
        <v>2660</v>
      </c>
      <c r="AQ516" s="1" t="s">
        <v>74</v>
      </c>
      <c r="AR516" s="1" t="s">
        <v>74</v>
      </c>
      <c r="AS516" s="1" t="s">
        <v>74</v>
      </c>
      <c r="AT516" s="1" t="s">
        <v>225</v>
      </c>
      <c r="AU516" s="1">
        <v>2025.0</v>
      </c>
      <c r="AV516" s="1">
        <v>199.0</v>
      </c>
      <c r="AW516" s="1" t="s">
        <v>74</v>
      </c>
      <c r="AX516" s="1" t="s">
        <v>74</v>
      </c>
      <c r="AY516" s="1" t="s">
        <v>74</v>
      </c>
      <c r="AZ516" s="1" t="s">
        <v>74</v>
      </c>
      <c r="BA516" s="1" t="s">
        <v>74</v>
      </c>
      <c r="BB516" s="1" t="s">
        <v>74</v>
      </c>
      <c r="BC516" s="1" t="s">
        <v>74</v>
      </c>
      <c r="BD516" s="1">
        <v>105898.0</v>
      </c>
      <c r="BE516" s="1" t="s">
        <v>4785</v>
      </c>
      <c r="BF516" s="2" t="str">
        <f>HYPERLINK("http://dx.doi.org/10.1016/j.ijmedinf.2025.105898","http://dx.doi.org/10.1016/j.ijmedinf.2025.105898")</f>
        <v>http://dx.doi.org/10.1016/j.ijmedinf.2025.105898</v>
      </c>
      <c r="BG516" s="1" t="s">
        <v>74</v>
      </c>
      <c r="BH516" s="1" t="s">
        <v>347</v>
      </c>
      <c r="BI516" s="1" t="s">
        <v>74</v>
      </c>
      <c r="BJ516" s="1" t="s">
        <v>74</v>
      </c>
      <c r="BK516" s="1" t="s">
        <v>74</v>
      </c>
      <c r="BL516" s="1" t="s">
        <v>1171</v>
      </c>
      <c r="BM516" s="1" t="s">
        <v>74</v>
      </c>
      <c r="BN516" s="1" t="s">
        <v>74</v>
      </c>
      <c r="BO516" s="1" t="s">
        <v>114</v>
      </c>
      <c r="BP516" s="1" t="s">
        <v>74</v>
      </c>
      <c r="BQ516" s="1" t="s">
        <v>74</v>
      </c>
      <c r="BR516" s="1" t="s">
        <v>74</v>
      </c>
      <c r="BS516" s="1" t="s">
        <v>4786</v>
      </c>
      <c r="BT516" s="1" t="str">
        <f>HYPERLINK("https%3A%2F%2Fwww.webofscience.com%2Fwos%2Fwoscc%2Ffull-record%2FWOS:001458155100001","View Full Record in Web of Science")</f>
        <v>View Full Record in Web of Science</v>
      </c>
    </row>
    <row r="517" ht="12.75" customHeight="1">
      <c r="A517" s="1" t="s">
        <v>72</v>
      </c>
      <c r="B517" s="1" t="s">
        <v>4787</v>
      </c>
      <c r="C517" s="1" t="s">
        <v>74</v>
      </c>
      <c r="D517" s="1" t="s">
        <v>74</v>
      </c>
      <c r="E517" s="1" t="s">
        <v>74</v>
      </c>
      <c r="F517" s="1" t="s">
        <v>4788</v>
      </c>
      <c r="G517" s="1" t="s">
        <v>74</v>
      </c>
      <c r="H517" s="1" t="s">
        <v>74</v>
      </c>
      <c r="I517" s="1" t="s">
        <v>4789</v>
      </c>
      <c r="J517" s="1" t="s">
        <v>4203</v>
      </c>
      <c r="K517" s="1" t="s">
        <v>74</v>
      </c>
      <c r="L517" s="1" t="s">
        <v>74</v>
      </c>
      <c r="M517" s="1" t="s">
        <v>74</v>
      </c>
      <c r="N517" s="1" t="s">
        <v>78</v>
      </c>
      <c r="O517" s="1" t="s">
        <v>74</v>
      </c>
      <c r="P517" s="1" t="s">
        <v>74</v>
      </c>
      <c r="Q517" s="1" t="s">
        <v>74</v>
      </c>
      <c r="R517" s="1" t="s">
        <v>74</v>
      </c>
      <c r="S517" s="1" t="s">
        <v>74</v>
      </c>
      <c r="T517" s="1" t="s">
        <v>4790</v>
      </c>
      <c r="U517" s="1" t="s">
        <v>4791</v>
      </c>
      <c r="V517" s="1" t="s">
        <v>4792</v>
      </c>
      <c r="W517" s="1" t="s">
        <v>74</v>
      </c>
      <c r="X517" s="1" t="s">
        <v>74</v>
      </c>
      <c r="Y517" s="1" t="s">
        <v>74</v>
      </c>
      <c r="Z517" s="1" t="s">
        <v>74</v>
      </c>
      <c r="AA517" s="1" t="s">
        <v>74</v>
      </c>
      <c r="AB517" s="1" t="s">
        <v>74</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4207</v>
      </c>
      <c r="AP517" s="1" t="s">
        <v>4208</v>
      </c>
      <c r="AQ517" s="1" t="s">
        <v>74</v>
      </c>
      <c r="AR517" s="1" t="s">
        <v>74</v>
      </c>
      <c r="AS517" s="1" t="s">
        <v>74</v>
      </c>
      <c r="AT517" s="1" t="s">
        <v>4793</v>
      </c>
      <c r="AU517" s="1">
        <v>2024.0</v>
      </c>
      <c r="AV517" s="1">
        <v>30.0</v>
      </c>
      <c r="AW517" s="1">
        <v>2.0</v>
      </c>
      <c r="AX517" s="1" t="s">
        <v>74</v>
      </c>
      <c r="AY517" s="1" t="s">
        <v>74</v>
      </c>
      <c r="AZ517" s="1" t="s">
        <v>74</v>
      </c>
      <c r="BA517" s="1" t="s">
        <v>74</v>
      </c>
      <c r="BB517" s="1" t="s">
        <v>74</v>
      </c>
      <c r="BC517" s="1" t="s">
        <v>74</v>
      </c>
      <c r="BD517" s="1">
        <v>45.0</v>
      </c>
      <c r="BE517" s="1" t="s">
        <v>4794</v>
      </c>
      <c r="BF517" s="2" t="str">
        <f>HYPERLINK("http://dx.doi.org/10.1007/s10664-024-10594-x","http://dx.doi.org/10.1007/s10664-024-10594-x")</f>
        <v>http://dx.doi.org/10.1007/s10664-024-10594-x</v>
      </c>
      <c r="BG517" s="1" t="s">
        <v>74</v>
      </c>
      <c r="BH517" s="1" t="s">
        <v>74</v>
      </c>
      <c r="BI517" s="1" t="s">
        <v>74</v>
      </c>
      <c r="BJ517" s="1" t="s">
        <v>74</v>
      </c>
      <c r="BK517" s="1" t="s">
        <v>74</v>
      </c>
      <c r="BL517" s="1" t="s">
        <v>174</v>
      </c>
      <c r="BM517" s="1" t="s">
        <v>74</v>
      </c>
      <c r="BN517" s="1" t="s">
        <v>74</v>
      </c>
      <c r="BO517" s="1" t="s">
        <v>114</v>
      </c>
      <c r="BP517" s="1" t="s">
        <v>74</v>
      </c>
      <c r="BQ517" s="1" t="s">
        <v>74</v>
      </c>
      <c r="BR517" s="1" t="s">
        <v>74</v>
      </c>
      <c r="BS517" s="1" t="s">
        <v>4795</v>
      </c>
      <c r="BT517" s="1" t="str">
        <f>HYPERLINK("https%3A%2F%2Fwww.webofscience.com%2Fwos%2Fwoscc%2Ffull-record%2FWOS:001379760800001","View Full Record in Web of Science")</f>
        <v>View Full Record in Web of Science</v>
      </c>
    </row>
    <row r="518" ht="12.75" customHeight="1">
      <c r="A518" s="1" t="s">
        <v>72</v>
      </c>
      <c r="B518" s="1" t="s">
        <v>4796</v>
      </c>
      <c r="C518" s="1" t="s">
        <v>74</v>
      </c>
      <c r="D518" s="1" t="s">
        <v>74</v>
      </c>
      <c r="E518" s="1" t="s">
        <v>74</v>
      </c>
      <c r="F518" s="1" t="s">
        <v>4797</v>
      </c>
      <c r="G518" s="1" t="s">
        <v>74</v>
      </c>
      <c r="H518" s="1" t="s">
        <v>74</v>
      </c>
      <c r="I518" s="1" t="s">
        <v>4798</v>
      </c>
      <c r="J518" s="1" t="s">
        <v>1720</v>
      </c>
      <c r="K518" s="1" t="s">
        <v>74</v>
      </c>
      <c r="L518" s="1" t="s">
        <v>74</v>
      </c>
      <c r="M518" s="1" t="s">
        <v>74</v>
      </c>
      <c r="N518" s="1" t="s">
        <v>78</v>
      </c>
      <c r="O518" s="1" t="s">
        <v>74</v>
      </c>
      <c r="P518" s="1" t="s">
        <v>74</v>
      </c>
      <c r="Q518" s="1" t="s">
        <v>74</v>
      </c>
      <c r="R518" s="1" t="s">
        <v>74</v>
      </c>
      <c r="S518" s="1" t="s">
        <v>74</v>
      </c>
      <c r="T518" s="1" t="s">
        <v>4799</v>
      </c>
      <c r="U518" s="1" t="s">
        <v>74</v>
      </c>
      <c r="V518" s="1" t="s">
        <v>4800</v>
      </c>
      <c r="W518" s="1" t="s">
        <v>74</v>
      </c>
      <c r="X518" s="1" t="s">
        <v>74</v>
      </c>
      <c r="Y518" s="1" t="s">
        <v>74</v>
      </c>
      <c r="Z518" s="1" t="s">
        <v>74</v>
      </c>
      <c r="AA518" s="1" t="s">
        <v>74</v>
      </c>
      <c r="AB518" s="1" t="s">
        <v>74</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74</v>
      </c>
      <c r="AP518" s="1" t="s">
        <v>1723</v>
      </c>
      <c r="AQ518" s="1" t="s">
        <v>74</v>
      </c>
      <c r="AR518" s="1" t="s">
        <v>74</v>
      </c>
      <c r="AS518" s="1" t="s">
        <v>74</v>
      </c>
      <c r="AT518" s="1" t="s">
        <v>124</v>
      </c>
      <c r="AU518" s="1">
        <v>2024.0</v>
      </c>
      <c r="AV518" s="1">
        <v>8.0</v>
      </c>
      <c r="AW518" s="1" t="s">
        <v>4801</v>
      </c>
      <c r="AX518" s="1" t="s">
        <v>74</v>
      </c>
      <c r="AY518" s="1" t="s">
        <v>4802</v>
      </c>
      <c r="AZ518" s="1" t="s">
        <v>74</v>
      </c>
      <c r="BA518" s="1" t="s">
        <v>74</v>
      </c>
      <c r="BB518" s="1" t="s">
        <v>74</v>
      </c>
      <c r="BC518" s="1" t="s">
        <v>74</v>
      </c>
      <c r="BD518" s="1">
        <v>180.0</v>
      </c>
      <c r="BE518" s="1" t="s">
        <v>4803</v>
      </c>
      <c r="BF518" s="2" t="str">
        <f>HYPERLINK("http://dx.doi.org/10.1145/3641019","http://dx.doi.org/10.1145/3641019")</f>
        <v>http://dx.doi.org/10.1145/3641019</v>
      </c>
      <c r="BG518" s="1" t="s">
        <v>74</v>
      </c>
      <c r="BH518" s="1" t="s">
        <v>74</v>
      </c>
      <c r="BI518" s="1" t="s">
        <v>74</v>
      </c>
      <c r="BJ518" s="1" t="s">
        <v>74</v>
      </c>
      <c r="BK518" s="1" t="s">
        <v>74</v>
      </c>
      <c r="BL518" s="1" t="s">
        <v>174</v>
      </c>
      <c r="BM518" s="1" t="s">
        <v>74</v>
      </c>
      <c r="BN518" s="1" t="s">
        <v>74</v>
      </c>
      <c r="BO518" s="1" t="s">
        <v>74</v>
      </c>
      <c r="BP518" s="1" t="s">
        <v>74</v>
      </c>
      <c r="BQ518" s="1" t="s">
        <v>74</v>
      </c>
      <c r="BR518" s="1" t="s">
        <v>74</v>
      </c>
      <c r="BS518" s="1" t="s">
        <v>4804</v>
      </c>
      <c r="BT518" s="1" t="str">
        <f>HYPERLINK("https%3A%2F%2Fwww.webofscience.com%2Fwos%2Fwoscc%2Ffull-record%2FWOS:001643150400001","View Full Record in Web of Science")</f>
        <v>View Full Record in Web of Science</v>
      </c>
    </row>
    <row r="519" ht="12.75" customHeight="1">
      <c r="A519" s="1" t="s">
        <v>72</v>
      </c>
      <c r="B519" s="1" t="s">
        <v>4805</v>
      </c>
      <c r="C519" s="1" t="s">
        <v>74</v>
      </c>
      <c r="D519" s="1" t="s">
        <v>74</v>
      </c>
      <c r="E519" s="1" t="s">
        <v>74</v>
      </c>
      <c r="F519" s="1" t="s">
        <v>4806</v>
      </c>
      <c r="G519" s="1" t="s">
        <v>74</v>
      </c>
      <c r="H519" s="1" t="s">
        <v>74</v>
      </c>
      <c r="I519" s="1" t="s">
        <v>4807</v>
      </c>
      <c r="J519" s="1" t="s">
        <v>239</v>
      </c>
      <c r="K519" s="1" t="s">
        <v>74</v>
      </c>
      <c r="L519" s="1" t="s">
        <v>74</v>
      </c>
      <c r="M519" s="1" t="s">
        <v>74</v>
      </c>
      <c r="N519" s="1" t="s">
        <v>78</v>
      </c>
      <c r="O519" s="1" t="s">
        <v>74</v>
      </c>
      <c r="P519" s="1" t="s">
        <v>74</v>
      </c>
      <c r="Q519" s="1" t="s">
        <v>74</v>
      </c>
      <c r="R519" s="1" t="s">
        <v>74</v>
      </c>
      <c r="S519" s="1" t="s">
        <v>74</v>
      </c>
      <c r="T519" s="1" t="s">
        <v>4808</v>
      </c>
      <c r="U519" s="1" t="s">
        <v>74</v>
      </c>
      <c r="V519" s="1" t="s">
        <v>4809</v>
      </c>
      <c r="W519" s="1" t="s">
        <v>74</v>
      </c>
      <c r="X519" s="1" t="s">
        <v>74</v>
      </c>
      <c r="Y519" s="1" t="s">
        <v>74</v>
      </c>
      <c r="Z519" s="1" t="s">
        <v>74</v>
      </c>
      <c r="AA519" s="1" t="s">
        <v>74</v>
      </c>
      <c r="AB519" s="1" t="s">
        <v>74</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242</v>
      </c>
      <c r="AP519" s="1" t="s">
        <v>74</v>
      </c>
      <c r="AQ519" s="1" t="s">
        <v>74</v>
      </c>
      <c r="AR519" s="1" t="s">
        <v>74</v>
      </c>
      <c r="AS519" s="1" t="s">
        <v>74</v>
      </c>
      <c r="AT519" s="1" t="s">
        <v>736</v>
      </c>
      <c r="AU519" s="1">
        <v>2025.0</v>
      </c>
      <c r="AV519" s="1">
        <v>14.0</v>
      </c>
      <c r="AW519" s="1">
        <v>2.0</v>
      </c>
      <c r="AX519" s="1" t="s">
        <v>74</v>
      </c>
      <c r="AY519" s="1" t="s">
        <v>74</v>
      </c>
      <c r="AZ519" s="1" t="s">
        <v>74</v>
      </c>
      <c r="BA519" s="1" t="s">
        <v>74</v>
      </c>
      <c r="BB519" s="1" t="s">
        <v>74</v>
      </c>
      <c r="BC519" s="1" t="s">
        <v>74</v>
      </c>
      <c r="BD519" s="1">
        <v>232.0</v>
      </c>
      <c r="BE519" s="1" t="s">
        <v>4810</v>
      </c>
      <c r="BF519" s="2" t="str">
        <f>HYPERLINK("http://dx.doi.org/10.3390/electronics14020232","http://dx.doi.org/10.3390/electronics14020232")</f>
        <v>http://dx.doi.org/10.3390/electronics14020232</v>
      </c>
      <c r="BG519" s="1" t="s">
        <v>74</v>
      </c>
      <c r="BH519" s="1" t="s">
        <v>74</v>
      </c>
      <c r="BI519" s="1" t="s">
        <v>74</v>
      </c>
      <c r="BJ519" s="1" t="s">
        <v>74</v>
      </c>
      <c r="BK519" s="1" t="s">
        <v>74</v>
      </c>
      <c r="BL519" s="1" t="s">
        <v>244</v>
      </c>
      <c r="BM519" s="1" t="s">
        <v>74</v>
      </c>
      <c r="BN519" s="1" t="s">
        <v>74</v>
      </c>
      <c r="BO519" s="1" t="s">
        <v>163</v>
      </c>
      <c r="BP519" s="1" t="s">
        <v>74</v>
      </c>
      <c r="BQ519" s="1" t="s">
        <v>74</v>
      </c>
      <c r="BR519" s="1" t="s">
        <v>74</v>
      </c>
      <c r="BS519" s="1" t="s">
        <v>4811</v>
      </c>
      <c r="BT519" s="1" t="str">
        <f>HYPERLINK("https%3A%2F%2Fwww.webofscience.com%2Fwos%2Fwoscc%2Ffull-record%2FWOS:001405302200001","View Full Record in Web of Science")</f>
        <v>View Full Record in Web of Science</v>
      </c>
    </row>
    <row r="520" ht="12.75" customHeight="1">
      <c r="A520" s="1" t="s">
        <v>72</v>
      </c>
      <c r="B520" s="1" t="s">
        <v>4812</v>
      </c>
      <c r="C520" s="1" t="s">
        <v>74</v>
      </c>
      <c r="D520" s="1" t="s">
        <v>74</v>
      </c>
      <c r="E520" s="1" t="s">
        <v>74</v>
      </c>
      <c r="F520" s="1" t="s">
        <v>4813</v>
      </c>
      <c r="G520" s="1" t="s">
        <v>74</v>
      </c>
      <c r="H520" s="1" t="s">
        <v>74</v>
      </c>
      <c r="I520" s="1" t="s">
        <v>4814</v>
      </c>
      <c r="J520" s="1" t="s">
        <v>2020</v>
      </c>
      <c r="K520" s="1" t="s">
        <v>74</v>
      </c>
      <c r="L520" s="1" t="s">
        <v>74</v>
      </c>
      <c r="M520" s="1" t="s">
        <v>74</v>
      </c>
      <c r="N520" s="1" t="s">
        <v>78</v>
      </c>
      <c r="O520" s="1" t="s">
        <v>74</v>
      </c>
      <c r="P520" s="1" t="s">
        <v>74</v>
      </c>
      <c r="Q520" s="1" t="s">
        <v>74</v>
      </c>
      <c r="R520" s="1" t="s">
        <v>74</v>
      </c>
      <c r="S520" s="1" t="s">
        <v>74</v>
      </c>
      <c r="T520" s="1" t="s">
        <v>4815</v>
      </c>
      <c r="U520" s="1" t="s">
        <v>74</v>
      </c>
      <c r="V520" s="1" t="s">
        <v>4816</v>
      </c>
      <c r="W520" s="1" t="s">
        <v>74</v>
      </c>
      <c r="X520" s="1" t="s">
        <v>74</v>
      </c>
      <c r="Y520" s="1" t="s">
        <v>74</v>
      </c>
      <c r="Z520" s="1" t="s">
        <v>74</v>
      </c>
      <c r="AA520" s="1" t="s">
        <v>74</v>
      </c>
      <c r="AB520" s="1" t="s">
        <v>74</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2023</v>
      </c>
      <c r="AP520" s="1" t="s">
        <v>2024</v>
      </c>
      <c r="AQ520" s="1" t="s">
        <v>74</v>
      </c>
      <c r="AR520" s="1" t="s">
        <v>74</v>
      </c>
      <c r="AS520" s="1" t="s">
        <v>74</v>
      </c>
      <c r="AT520" s="1" t="s">
        <v>4817</v>
      </c>
      <c r="AU520" s="1">
        <v>2025.0</v>
      </c>
      <c r="AV520" s="1">
        <v>15.0</v>
      </c>
      <c r="AW520" s="1">
        <v>4.0</v>
      </c>
      <c r="AX520" s="1" t="s">
        <v>74</v>
      </c>
      <c r="AY520" s="1" t="s">
        <v>74</v>
      </c>
      <c r="AZ520" s="1" t="s">
        <v>74</v>
      </c>
      <c r="BA520" s="1" t="s">
        <v>74</v>
      </c>
      <c r="BB520" s="1">
        <v>337.0</v>
      </c>
      <c r="BC520" s="1">
        <v>356.0</v>
      </c>
      <c r="BD520" s="1" t="s">
        <v>74</v>
      </c>
      <c r="BE520" s="1" t="s">
        <v>4818</v>
      </c>
      <c r="BF520" s="2" t="str">
        <f>HYPERLINK("http://dx.doi.org/10.2478/jaiscr-2025-0017","http://dx.doi.org/10.2478/jaiscr-2025-0017")</f>
        <v>http://dx.doi.org/10.2478/jaiscr-2025-0017</v>
      </c>
      <c r="BG520" s="1" t="s">
        <v>74</v>
      </c>
      <c r="BH520" s="1" t="s">
        <v>74</v>
      </c>
      <c r="BI520" s="1" t="s">
        <v>74</v>
      </c>
      <c r="BJ520" s="1" t="s">
        <v>74</v>
      </c>
      <c r="BK520" s="1" t="s">
        <v>74</v>
      </c>
      <c r="BL520" s="1" t="s">
        <v>174</v>
      </c>
      <c r="BM520" s="1" t="s">
        <v>74</v>
      </c>
      <c r="BN520" s="1" t="s">
        <v>74</v>
      </c>
      <c r="BO520" s="1" t="s">
        <v>163</v>
      </c>
      <c r="BP520" s="1" t="s">
        <v>74</v>
      </c>
      <c r="BQ520" s="1" t="s">
        <v>74</v>
      </c>
      <c r="BR520" s="1" t="s">
        <v>74</v>
      </c>
      <c r="BS520" s="1" t="s">
        <v>4819</v>
      </c>
      <c r="BT520" s="1" t="str">
        <f>HYPERLINK("https%3A%2F%2Fwww.webofscience.com%2Fwos%2Fwoscc%2Ffull-record%2FWOS:001527031400005","View Full Record in Web of Science")</f>
        <v>View Full Record in Web of Science</v>
      </c>
    </row>
    <row r="521" ht="12.75" customHeight="1">
      <c r="A521" s="1" t="s">
        <v>72</v>
      </c>
      <c r="B521" s="1" t="s">
        <v>4820</v>
      </c>
      <c r="C521" s="1" t="s">
        <v>74</v>
      </c>
      <c r="D521" s="1" t="s">
        <v>74</v>
      </c>
      <c r="E521" s="1" t="s">
        <v>74</v>
      </c>
      <c r="F521" s="1" t="s">
        <v>4821</v>
      </c>
      <c r="G521" s="1" t="s">
        <v>74</v>
      </c>
      <c r="H521" s="1" t="s">
        <v>74</v>
      </c>
      <c r="I521" s="1" t="s">
        <v>4822</v>
      </c>
      <c r="J521" s="1" t="s">
        <v>1208</v>
      </c>
      <c r="K521" s="1" t="s">
        <v>74</v>
      </c>
      <c r="L521" s="1" t="s">
        <v>74</v>
      </c>
      <c r="M521" s="1" t="s">
        <v>74</v>
      </c>
      <c r="N521" s="1" t="s">
        <v>78</v>
      </c>
      <c r="O521" s="1" t="s">
        <v>74</v>
      </c>
      <c r="P521" s="1" t="s">
        <v>74</v>
      </c>
      <c r="Q521" s="1" t="s">
        <v>74</v>
      </c>
      <c r="R521" s="1" t="s">
        <v>74</v>
      </c>
      <c r="S521" s="1" t="s">
        <v>74</v>
      </c>
      <c r="T521" s="1" t="s">
        <v>4823</v>
      </c>
      <c r="U521" s="1" t="s">
        <v>74</v>
      </c>
      <c r="V521" s="1" t="s">
        <v>4824</v>
      </c>
      <c r="W521" s="1" t="s">
        <v>74</v>
      </c>
      <c r="X521" s="1" t="s">
        <v>74</v>
      </c>
      <c r="Y521" s="1" t="s">
        <v>74</v>
      </c>
      <c r="Z521" s="1" t="s">
        <v>74</v>
      </c>
      <c r="AA521" s="1" t="s">
        <v>74</v>
      </c>
      <c r="AB521" s="1" t="s">
        <v>74</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1211</v>
      </c>
      <c r="AP521" s="1" t="s">
        <v>1212</v>
      </c>
      <c r="AQ521" s="1" t="s">
        <v>74</v>
      </c>
      <c r="AR521" s="1" t="s">
        <v>74</v>
      </c>
      <c r="AS521" s="1" t="s">
        <v>74</v>
      </c>
      <c r="AT521" s="1" t="s">
        <v>357</v>
      </c>
      <c r="AU521" s="1">
        <v>2025.0</v>
      </c>
      <c r="AV521" s="1">
        <v>162.0</v>
      </c>
      <c r="AW521" s="1" t="s">
        <v>74</v>
      </c>
      <c r="AX521" s="1" t="s">
        <v>74</v>
      </c>
      <c r="AY521" s="1" t="s">
        <v>74</v>
      </c>
      <c r="AZ521" s="1" t="s">
        <v>74</v>
      </c>
      <c r="BA521" s="1" t="s">
        <v>74</v>
      </c>
      <c r="BB521" s="1" t="s">
        <v>74</v>
      </c>
      <c r="BC521" s="1" t="s">
        <v>74</v>
      </c>
      <c r="BD521" s="1">
        <v>105666.0</v>
      </c>
      <c r="BE521" s="1" t="s">
        <v>4825</v>
      </c>
      <c r="BF521" s="2" t="str">
        <f>HYPERLINK("http://dx.doi.org/10.1016/j.imavis.2025.105666","http://dx.doi.org/10.1016/j.imavis.2025.105666")</f>
        <v>http://dx.doi.org/10.1016/j.imavis.2025.105666</v>
      </c>
      <c r="BG521" s="1" t="s">
        <v>74</v>
      </c>
      <c r="BH521" s="1" t="s">
        <v>973</v>
      </c>
      <c r="BI521" s="1" t="s">
        <v>74</v>
      </c>
      <c r="BJ521" s="1" t="s">
        <v>74</v>
      </c>
      <c r="BK521" s="1" t="s">
        <v>74</v>
      </c>
      <c r="BL521" s="1" t="s">
        <v>1214</v>
      </c>
      <c r="BM521" s="1" t="s">
        <v>74</v>
      </c>
      <c r="BN521" s="1" t="s">
        <v>74</v>
      </c>
      <c r="BO521" s="1" t="s">
        <v>74</v>
      </c>
      <c r="BP521" s="1" t="s">
        <v>74</v>
      </c>
      <c r="BQ521" s="1" t="s">
        <v>74</v>
      </c>
      <c r="BR521" s="1" t="s">
        <v>74</v>
      </c>
      <c r="BS521" s="1" t="s">
        <v>4826</v>
      </c>
      <c r="BT521" s="1" t="str">
        <f>HYPERLINK("https%3A%2F%2Fwww.webofscience.com%2Fwos%2Fwoscc%2Ffull-record%2FWOS:001539923900001","View Full Record in Web of Science")</f>
        <v>View Full Record in Web of Science</v>
      </c>
    </row>
    <row r="522" ht="12.75" customHeight="1">
      <c r="A522" s="1" t="s">
        <v>72</v>
      </c>
      <c r="B522" s="1" t="s">
        <v>4827</v>
      </c>
      <c r="C522" s="1" t="s">
        <v>74</v>
      </c>
      <c r="D522" s="1" t="s">
        <v>74</v>
      </c>
      <c r="E522" s="1" t="s">
        <v>74</v>
      </c>
      <c r="F522" s="1" t="s">
        <v>4828</v>
      </c>
      <c r="G522" s="1" t="s">
        <v>74</v>
      </c>
      <c r="H522" s="1" t="s">
        <v>74</v>
      </c>
      <c r="I522" s="1" t="s">
        <v>4829</v>
      </c>
      <c r="J522" s="1" t="s">
        <v>147</v>
      </c>
      <c r="K522" s="1" t="s">
        <v>74</v>
      </c>
      <c r="L522" s="1" t="s">
        <v>74</v>
      </c>
      <c r="M522" s="1" t="s">
        <v>74</v>
      </c>
      <c r="N522" s="1" t="s">
        <v>78</v>
      </c>
      <c r="O522" s="1" t="s">
        <v>74</v>
      </c>
      <c r="P522" s="1" t="s">
        <v>74</v>
      </c>
      <c r="Q522" s="1" t="s">
        <v>74</v>
      </c>
      <c r="R522" s="1" t="s">
        <v>74</v>
      </c>
      <c r="S522" s="1" t="s">
        <v>74</v>
      </c>
      <c r="T522" s="1" t="s">
        <v>4830</v>
      </c>
      <c r="U522" s="1" t="s">
        <v>74</v>
      </c>
      <c r="V522" s="1" t="s">
        <v>4831</v>
      </c>
      <c r="W522" s="1" t="s">
        <v>74</v>
      </c>
      <c r="X522" s="1" t="s">
        <v>74</v>
      </c>
      <c r="Y522" s="1" t="s">
        <v>74</v>
      </c>
      <c r="Z522" s="1" t="s">
        <v>74</v>
      </c>
      <c r="AA522" s="1" t="s">
        <v>74</v>
      </c>
      <c r="AB522" s="1" t="s">
        <v>74</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150</v>
      </c>
      <c r="AP522" s="1" t="s">
        <v>74</v>
      </c>
      <c r="AQ522" s="1" t="s">
        <v>74</v>
      </c>
      <c r="AR522" s="1" t="s">
        <v>74</v>
      </c>
      <c r="AS522" s="1" t="s">
        <v>74</v>
      </c>
      <c r="AT522" s="1" t="s">
        <v>74</v>
      </c>
      <c r="AU522" s="1">
        <v>2025.0</v>
      </c>
      <c r="AV522" s="1">
        <v>13.0</v>
      </c>
      <c r="AW522" s="1" t="s">
        <v>74</v>
      </c>
      <c r="AX522" s="1" t="s">
        <v>74</v>
      </c>
      <c r="AY522" s="1" t="s">
        <v>74</v>
      </c>
      <c r="AZ522" s="1" t="s">
        <v>74</v>
      </c>
      <c r="BA522" s="1" t="s">
        <v>74</v>
      </c>
      <c r="BB522" s="1">
        <v>93614.0</v>
      </c>
      <c r="BC522" s="1">
        <v>93628.0</v>
      </c>
      <c r="BD522" s="1" t="s">
        <v>74</v>
      </c>
      <c r="BE522" s="1" t="s">
        <v>4832</v>
      </c>
      <c r="BF522" s="2" t="str">
        <f>HYPERLINK("http://dx.doi.org/10.1109/ACCESS.2025.3574115","http://dx.doi.org/10.1109/ACCESS.2025.3574115")</f>
        <v>http://dx.doi.org/10.1109/ACCESS.2025.3574115</v>
      </c>
      <c r="BG522" s="1" t="s">
        <v>74</v>
      </c>
      <c r="BH522" s="1" t="s">
        <v>74</v>
      </c>
      <c r="BI522" s="1" t="s">
        <v>74</v>
      </c>
      <c r="BJ522" s="1" t="s">
        <v>74</v>
      </c>
      <c r="BK522" s="1" t="s">
        <v>74</v>
      </c>
      <c r="BL522" s="1" t="s">
        <v>152</v>
      </c>
      <c r="BM522" s="1" t="s">
        <v>74</v>
      </c>
      <c r="BN522" s="1" t="s">
        <v>74</v>
      </c>
      <c r="BO522" s="1" t="s">
        <v>153</v>
      </c>
      <c r="BP522" s="1" t="s">
        <v>74</v>
      </c>
      <c r="BQ522" s="1" t="s">
        <v>74</v>
      </c>
      <c r="BR522" s="1" t="s">
        <v>74</v>
      </c>
      <c r="BS522" s="1" t="s">
        <v>4833</v>
      </c>
      <c r="BT522" s="1" t="str">
        <f>HYPERLINK("https%3A%2F%2Fwww.webofscience.com%2Fwos%2Fwoscc%2Ffull-record%2FWOS:001502479100034","View Full Record in Web of Science")</f>
        <v>View Full Record in Web of Science</v>
      </c>
    </row>
    <row r="523" ht="12.75" customHeight="1">
      <c r="A523" s="1" t="s">
        <v>72</v>
      </c>
      <c r="B523" s="1" t="s">
        <v>4834</v>
      </c>
      <c r="C523" s="1" t="s">
        <v>74</v>
      </c>
      <c r="D523" s="1" t="s">
        <v>74</v>
      </c>
      <c r="E523" s="1" t="s">
        <v>74</v>
      </c>
      <c r="F523" s="1" t="s">
        <v>4835</v>
      </c>
      <c r="G523" s="1" t="s">
        <v>74</v>
      </c>
      <c r="H523" s="1" t="s">
        <v>74</v>
      </c>
      <c r="I523" s="1" t="s">
        <v>4836</v>
      </c>
      <c r="J523" s="1" t="s">
        <v>4837</v>
      </c>
      <c r="K523" s="1" t="s">
        <v>74</v>
      </c>
      <c r="L523" s="1" t="s">
        <v>74</v>
      </c>
      <c r="M523" s="1" t="s">
        <v>74</v>
      </c>
      <c r="N523" s="1" t="s">
        <v>78</v>
      </c>
      <c r="O523" s="1" t="s">
        <v>74</v>
      </c>
      <c r="P523" s="1" t="s">
        <v>74</v>
      </c>
      <c r="Q523" s="1" t="s">
        <v>74</v>
      </c>
      <c r="R523" s="1" t="s">
        <v>74</v>
      </c>
      <c r="S523" s="1" t="s">
        <v>74</v>
      </c>
      <c r="T523" s="1" t="s">
        <v>4838</v>
      </c>
      <c r="U523" s="1" t="s">
        <v>4839</v>
      </c>
      <c r="V523" s="1" t="s">
        <v>4840</v>
      </c>
      <c r="W523" s="1" t="s">
        <v>74</v>
      </c>
      <c r="X523" s="1" t="s">
        <v>74</v>
      </c>
      <c r="Y523" s="1" t="s">
        <v>74</v>
      </c>
      <c r="Z523" s="1" t="s">
        <v>74</v>
      </c>
      <c r="AA523" s="1" t="s">
        <v>74</v>
      </c>
      <c r="AB523" s="1" t="s">
        <v>74</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4841</v>
      </c>
      <c r="AP523" s="1" t="s">
        <v>4842</v>
      </c>
      <c r="AQ523" s="1" t="s">
        <v>74</v>
      </c>
      <c r="AR523" s="1" t="s">
        <v>74</v>
      </c>
      <c r="AS523" s="1" t="s">
        <v>74</v>
      </c>
      <c r="AT523" s="1" t="s">
        <v>335</v>
      </c>
      <c r="AU523" s="1">
        <v>2025.0</v>
      </c>
      <c r="AV523" s="1">
        <v>265.0</v>
      </c>
      <c r="AW523" s="1" t="s">
        <v>74</v>
      </c>
      <c r="AX523" s="1" t="s">
        <v>74</v>
      </c>
      <c r="AY523" s="1" t="s">
        <v>74</v>
      </c>
      <c r="AZ523" s="1" t="s">
        <v>74</v>
      </c>
      <c r="BA523" s="1" t="s">
        <v>74</v>
      </c>
      <c r="BB523" s="1" t="s">
        <v>74</v>
      </c>
      <c r="BC523" s="1" t="s">
        <v>74</v>
      </c>
      <c r="BD523" s="1">
        <v>108765.0</v>
      </c>
      <c r="BE523" s="1" t="s">
        <v>4843</v>
      </c>
      <c r="BF523" s="2" t="str">
        <f>HYPERLINK("http://dx.doi.org/10.1016/j.cmpb.2025.108765","http://dx.doi.org/10.1016/j.cmpb.2025.108765")</f>
        <v>http://dx.doi.org/10.1016/j.cmpb.2025.108765</v>
      </c>
      <c r="BG523" s="1" t="s">
        <v>74</v>
      </c>
      <c r="BH523" s="1" t="s">
        <v>526</v>
      </c>
      <c r="BI523" s="1" t="s">
        <v>74</v>
      </c>
      <c r="BJ523" s="1" t="s">
        <v>74</v>
      </c>
      <c r="BK523" s="1" t="s">
        <v>74</v>
      </c>
      <c r="BL523" s="1" t="s">
        <v>4777</v>
      </c>
      <c r="BM523" s="1" t="s">
        <v>74</v>
      </c>
      <c r="BN523" s="1" t="s">
        <v>74</v>
      </c>
      <c r="BO523" s="1" t="s">
        <v>74</v>
      </c>
      <c r="BP523" s="1" t="s">
        <v>74</v>
      </c>
      <c r="BQ523" s="1" t="s">
        <v>74</v>
      </c>
      <c r="BR523" s="1" t="s">
        <v>74</v>
      </c>
      <c r="BS523" s="1" t="s">
        <v>4844</v>
      </c>
      <c r="BT523" s="1" t="str">
        <f>HYPERLINK("https%3A%2F%2Fwww.webofscience.com%2Fwos%2Fwoscc%2Ffull-record%2FWOS:001466026900001","View Full Record in Web of Science")</f>
        <v>View Full Record in Web of Science</v>
      </c>
    </row>
    <row r="524" ht="12.75" customHeight="1">
      <c r="A524" s="1" t="s">
        <v>72</v>
      </c>
      <c r="B524" s="1" t="s">
        <v>4845</v>
      </c>
      <c r="C524" s="1" t="s">
        <v>74</v>
      </c>
      <c r="D524" s="1" t="s">
        <v>74</v>
      </c>
      <c r="E524" s="1" t="s">
        <v>74</v>
      </c>
      <c r="F524" s="1" t="s">
        <v>4846</v>
      </c>
      <c r="G524" s="1" t="s">
        <v>74</v>
      </c>
      <c r="H524" s="1" t="s">
        <v>74</v>
      </c>
      <c r="I524" s="1" t="s">
        <v>4847</v>
      </c>
      <c r="J524" s="1" t="s">
        <v>1376</v>
      </c>
      <c r="K524" s="1" t="s">
        <v>74</v>
      </c>
      <c r="L524" s="1" t="s">
        <v>74</v>
      </c>
      <c r="M524" s="1" t="s">
        <v>74</v>
      </c>
      <c r="N524" s="1" t="s">
        <v>78</v>
      </c>
      <c r="O524" s="1" t="s">
        <v>74</v>
      </c>
      <c r="P524" s="1" t="s">
        <v>74</v>
      </c>
      <c r="Q524" s="1" t="s">
        <v>74</v>
      </c>
      <c r="R524" s="1" t="s">
        <v>74</v>
      </c>
      <c r="S524" s="1" t="s">
        <v>74</v>
      </c>
      <c r="T524" s="1" t="s">
        <v>4848</v>
      </c>
      <c r="U524" s="1" t="s">
        <v>74</v>
      </c>
      <c r="V524" s="1" t="s">
        <v>4849</v>
      </c>
      <c r="W524" s="1" t="s">
        <v>74</v>
      </c>
      <c r="X524" s="1" t="s">
        <v>74</v>
      </c>
      <c r="Y524" s="1" t="s">
        <v>74</v>
      </c>
      <c r="Z524" s="1" t="s">
        <v>74</v>
      </c>
      <c r="AA524" s="1" t="s">
        <v>74</v>
      </c>
      <c r="AB524" s="1" t="s">
        <v>74</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74</v>
      </c>
      <c r="AP524" s="1" t="s">
        <v>2256</v>
      </c>
      <c r="AQ524" s="1" t="s">
        <v>74</v>
      </c>
      <c r="AR524" s="1" t="s">
        <v>74</v>
      </c>
      <c r="AS524" s="1" t="s">
        <v>74</v>
      </c>
      <c r="AT524" s="1" t="s">
        <v>736</v>
      </c>
      <c r="AU524" s="1">
        <v>2025.0</v>
      </c>
      <c r="AV524" s="1">
        <v>6.0</v>
      </c>
      <c r="AW524" s="1">
        <v>1.0</v>
      </c>
      <c r="AX524" s="1" t="s">
        <v>74</v>
      </c>
      <c r="AY524" s="1" t="s">
        <v>74</v>
      </c>
      <c r="AZ524" s="1" t="s">
        <v>74</v>
      </c>
      <c r="BA524" s="1" t="s">
        <v>74</v>
      </c>
      <c r="BB524" s="1" t="s">
        <v>74</v>
      </c>
      <c r="BC524" s="1" t="s">
        <v>74</v>
      </c>
      <c r="BD524" s="1">
        <v>12.0</v>
      </c>
      <c r="BE524" s="1" t="s">
        <v>4850</v>
      </c>
      <c r="BF524" s="2" t="str">
        <f>HYPERLINK("http://dx.doi.org/10.3390/ai6010012","http://dx.doi.org/10.3390/ai6010012")</f>
        <v>http://dx.doi.org/10.3390/ai6010012</v>
      </c>
      <c r="BG524" s="1" t="s">
        <v>74</v>
      </c>
      <c r="BH524" s="1" t="s">
        <v>74</v>
      </c>
      <c r="BI524" s="1" t="s">
        <v>74</v>
      </c>
      <c r="BJ524" s="1" t="s">
        <v>74</v>
      </c>
      <c r="BK524" s="1" t="s">
        <v>74</v>
      </c>
      <c r="BL524" s="1" t="s">
        <v>174</v>
      </c>
      <c r="BM524" s="1" t="s">
        <v>74</v>
      </c>
      <c r="BN524" s="1" t="s">
        <v>74</v>
      </c>
      <c r="BO524" s="1" t="s">
        <v>153</v>
      </c>
      <c r="BP524" s="1" t="s">
        <v>74</v>
      </c>
      <c r="BQ524" s="1" t="s">
        <v>74</v>
      </c>
      <c r="BR524" s="1" t="s">
        <v>74</v>
      </c>
      <c r="BS524" s="1" t="s">
        <v>4851</v>
      </c>
      <c r="BT524" s="1" t="str">
        <f>HYPERLINK("https%3A%2F%2Fwww.webofscience.com%2Fwos%2Fwoscc%2Ffull-record%2FWOS:001404045400001","View Full Record in Web of Science")</f>
        <v>View Full Record in Web of Science</v>
      </c>
    </row>
    <row r="525" ht="12.75" customHeight="1">
      <c r="A525" s="1" t="s">
        <v>72</v>
      </c>
      <c r="B525" s="1" t="s">
        <v>4852</v>
      </c>
      <c r="C525" s="1" t="s">
        <v>74</v>
      </c>
      <c r="D525" s="1" t="s">
        <v>74</v>
      </c>
      <c r="E525" s="1" t="s">
        <v>74</v>
      </c>
      <c r="F525" s="1" t="s">
        <v>4853</v>
      </c>
      <c r="G525" s="1" t="s">
        <v>74</v>
      </c>
      <c r="H525" s="1" t="s">
        <v>74</v>
      </c>
      <c r="I525" s="1" t="s">
        <v>4854</v>
      </c>
      <c r="J525" s="1" t="s">
        <v>966</v>
      </c>
      <c r="K525" s="1" t="s">
        <v>74</v>
      </c>
      <c r="L525" s="1" t="s">
        <v>74</v>
      </c>
      <c r="M525" s="1" t="s">
        <v>74</v>
      </c>
      <c r="N525" s="1" t="s">
        <v>78</v>
      </c>
      <c r="O525" s="1" t="s">
        <v>74</v>
      </c>
      <c r="P525" s="1" t="s">
        <v>74</v>
      </c>
      <c r="Q525" s="1" t="s">
        <v>74</v>
      </c>
      <c r="R525" s="1" t="s">
        <v>74</v>
      </c>
      <c r="S525" s="1" t="s">
        <v>74</v>
      </c>
      <c r="T525" s="1" t="s">
        <v>4855</v>
      </c>
      <c r="U525" s="1" t="s">
        <v>4856</v>
      </c>
      <c r="V525" s="1" t="s">
        <v>4857</v>
      </c>
      <c r="W525" s="1" t="s">
        <v>74</v>
      </c>
      <c r="X525" s="1" t="s">
        <v>74</v>
      </c>
      <c r="Y525" s="1" t="s">
        <v>74</v>
      </c>
      <c r="Z525" s="1" t="s">
        <v>74</v>
      </c>
      <c r="AA525" s="1" t="s">
        <v>74</v>
      </c>
      <c r="AB525" s="1" t="s">
        <v>74</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969</v>
      </c>
      <c r="AP525" s="1" t="s">
        <v>970</v>
      </c>
      <c r="AQ525" s="1" t="s">
        <v>74</v>
      </c>
      <c r="AR525" s="1" t="s">
        <v>74</v>
      </c>
      <c r="AS525" s="1" t="s">
        <v>74</v>
      </c>
      <c r="AT525" s="1" t="s">
        <v>971</v>
      </c>
      <c r="AU525" s="1">
        <v>2025.0</v>
      </c>
      <c r="AV525" s="1">
        <v>326.0</v>
      </c>
      <c r="AW525" s="1" t="s">
        <v>74</v>
      </c>
      <c r="AX525" s="1" t="s">
        <v>74</v>
      </c>
      <c r="AY525" s="1" t="s">
        <v>74</v>
      </c>
      <c r="AZ525" s="1" t="s">
        <v>74</v>
      </c>
      <c r="BA525" s="1" t="s">
        <v>74</v>
      </c>
      <c r="BB525" s="1" t="s">
        <v>74</v>
      </c>
      <c r="BC525" s="1" t="s">
        <v>74</v>
      </c>
      <c r="BD525" s="1">
        <v>113975.0</v>
      </c>
      <c r="BE525" s="1" t="s">
        <v>4858</v>
      </c>
      <c r="BF525" s="2" t="str">
        <f>HYPERLINK("http://dx.doi.org/10.1016/j.knosys.2025.113975","http://dx.doi.org/10.1016/j.knosys.2025.113975")</f>
        <v>http://dx.doi.org/10.1016/j.knosys.2025.113975</v>
      </c>
      <c r="BG525" s="1" t="s">
        <v>74</v>
      </c>
      <c r="BH525" s="1" t="s">
        <v>738</v>
      </c>
      <c r="BI525" s="1" t="s">
        <v>74</v>
      </c>
      <c r="BJ525" s="1" t="s">
        <v>74</v>
      </c>
      <c r="BK525" s="1" t="s">
        <v>74</v>
      </c>
      <c r="BL525" s="1" t="s">
        <v>174</v>
      </c>
      <c r="BM525" s="1" t="s">
        <v>74</v>
      </c>
      <c r="BN525" s="1" t="s">
        <v>74</v>
      </c>
      <c r="BO525" s="1" t="s">
        <v>114</v>
      </c>
      <c r="BP525" s="1" t="s">
        <v>74</v>
      </c>
      <c r="BQ525" s="1" t="s">
        <v>74</v>
      </c>
      <c r="BR525" s="1" t="s">
        <v>74</v>
      </c>
      <c r="BS525" s="1" t="s">
        <v>4859</v>
      </c>
      <c r="BT525" s="1" t="str">
        <f>HYPERLINK("https%3A%2F%2Fwww.webofscience.com%2Fwos%2Fwoscc%2Ffull-record%2FWOS:001533372600003","View Full Record in Web of Science")</f>
        <v>View Full Record in Web of Science</v>
      </c>
    </row>
    <row r="526" ht="12.75" customHeight="1">
      <c r="A526" s="1" t="s">
        <v>72</v>
      </c>
      <c r="B526" s="1" t="s">
        <v>4860</v>
      </c>
      <c r="C526" s="1" t="s">
        <v>74</v>
      </c>
      <c r="D526" s="1" t="s">
        <v>74</v>
      </c>
      <c r="E526" s="1" t="s">
        <v>74</v>
      </c>
      <c r="F526" s="1" t="s">
        <v>4861</v>
      </c>
      <c r="G526" s="1" t="s">
        <v>74</v>
      </c>
      <c r="H526" s="1" t="s">
        <v>74</v>
      </c>
      <c r="I526" s="1" t="s">
        <v>4862</v>
      </c>
      <c r="J526" s="1" t="s">
        <v>147</v>
      </c>
      <c r="K526" s="1" t="s">
        <v>74</v>
      </c>
      <c r="L526" s="1" t="s">
        <v>74</v>
      </c>
      <c r="M526" s="1" t="s">
        <v>74</v>
      </c>
      <c r="N526" s="1" t="s">
        <v>158</v>
      </c>
      <c r="O526" s="1" t="s">
        <v>74</v>
      </c>
      <c r="P526" s="1" t="s">
        <v>74</v>
      </c>
      <c r="Q526" s="1" t="s">
        <v>74</v>
      </c>
      <c r="R526" s="1" t="s">
        <v>74</v>
      </c>
      <c r="S526" s="1" t="s">
        <v>74</v>
      </c>
      <c r="T526" s="1" t="s">
        <v>4863</v>
      </c>
      <c r="U526" s="1" t="s">
        <v>4864</v>
      </c>
      <c r="V526" s="1" t="s">
        <v>4865</v>
      </c>
      <c r="W526" s="1" t="s">
        <v>74</v>
      </c>
      <c r="X526" s="1" t="s">
        <v>74</v>
      </c>
      <c r="Y526" s="1" t="s">
        <v>74</v>
      </c>
      <c r="Z526" s="1" t="s">
        <v>74</v>
      </c>
      <c r="AA526" s="1" t="s">
        <v>74</v>
      </c>
      <c r="AB526" s="1" t="s">
        <v>74</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150</v>
      </c>
      <c r="AP526" s="1" t="s">
        <v>74</v>
      </c>
      <c r="AQ526" s="1" t="s">
        <v>74</v>
      </c>
      <c r="AR526" s="1" t="s">
        <v>74</v>
      </c>
      <c r="AS526" s="1" t="s">
        <v>74</v>
      </c>
      <c r="AT526" s="1" t="s">
        <v>74</v>
      </c>
      <c r="AU526" s="1">
        <v>2025.0</v>
      </c>
      <c r="AV526" s="1">
        <v>13.0</v>
      </c>
      <c r="AW526" s="1" t="s">
        <v>74</v>
      </c>
      <c r="AX526" s="1" t="s">
        <v>74</v>
      </c>
      <c r="AY526" s="1" t="s">
        <v>74</v>
      </c>
      <c r="AZ526" s="1" t="s">
        <v>74</v>
      </c>
      <c r="BA526" s="1" t="s">
        <v>74</v>
      </c>
      <c r="BB526" s="1">
        <v>163162.0</v>
      </c>
      <c r="BC526" s="1">
        <v>163188.0</v>
      </c>
      <c r="BD526" s="1" t="s">
        <v>74</v>
      </c>
      <c r="BE526" s="1" t="s">
        <v>4866</v>
      </c>
      <c r="BF526" s="2" t="str">
        <f>HYPERLINK("http://dx.doi.org/10.1109/ACCESS.2025.3610994","http://dx.doi.org/10.1109/ACCESS.2025.3610994")</f>
        <v>http://dx.doi.org/10.1109/ACCESS.2025.3610994</v>
      </c>
      <c r="BG526" s="1" t="s">
        <v>74</v>
      </c>
      <c r="BH526" s="1" t="s">
        <v>74</v>
      </c>
      <c r="BI526" s="1" t="s">
        <v>74</v>
      </c>
      <c r="BJ526" s="1" t="s">
        <v>74</v>
      </c>
      <c r="BK526" s="1" t="s">
        <v>74</v>
      </c>
      <c r="BL526" s="1" t="s">
        <v>152</v>
      </c>
      <c r="BM526" s="1" t="s">
        <v>74</v>
      </c>
      <c r="BN526" s="1" t="s">
        <v>74</v>
      </c>
      <c r="BO526" s="1" t="s">
        <v>4867</v>
      </c>
      <c r="BP526" s="1" t="s">
        <v>74</v>
      </c>
      <c r="BQ526" s="1" t="s">
        <v>74</v>
      </c>
      <c r="BR526" s="1" t="s">
        <v>74</v>
      </c>
      <c r="BS526" s="1" t="s">
        <v>4868</v>
      </c>
      <c r="BT526" s="1" t="str">
        <f>HYPERLINK("https%3A%2F%2Fwww.webofscience.com%2Fwos%2Fwoscc%2Ffull-record%2FWOS:001579050200018","View Full Record in Web of Science")</f>
        <v>View Full Record in Web of Science</v>
      </c>
    </row>
    <row r="527" ht="12.75" customHeight="1">
      <c r="A527" s="1" t="s">
        <v>72</v>
      </c>
      <c r="B527" s="1" t="s">
        <v>4869</v>
      </c>
      <c r="C527" s="1" t="s">
        <v>74</v>
      </c>
      <c r="D527" s="1" t="s">
        <v>74</v>
      </c>
      <c r="E527" s="1" t="s">
        <v>74</v>
      </c>
      <c r="F527" s="1" t="s">
        <v>4870</v>
      </c>
      <c r="G527" s="1" t="s">
        <v>74</v>
      </c>
      <c r="H527" s="1" t="s">
        <v>74</v>
      </c>
      <c r="I527" s="1" t="s">
        <v>4871</v>
      </c>
      <c r="J527" s="1" t="s">
        <v>239</v>
      </c>
      <c r="K527" s="1" t="s">
        <v>74</v>
      </c>
      <c r="L527" s="1" t="s">
        <v>74</v>
      </c>
      <c r="M527" s="1" t="s">
        <v>74</v>
      </c>
      <c r="N527" s="1" t="s">
        <v>78</v>
      </c>
      <c r="O527" s="1" t="s">
        <v>74</v>
      </c>
      <c r="P527" s="1" t="s">
        <v>74</v>
      </c>
      <c r="Q527" s="1" t="s">
        <v>74</v>
      </c>
      <c r="R527" s="1" t="s">
        <v>74</v>
      </c>
      <c r="S527" s="1" t="s">
        <v>74</v>
      </c>
      <c r="T527" s="1" t="s">
        <v>4872</v>
      </c>
      <c r="U527" s="1" t="s">
        <v>74</v>
      </c>
      <c r="V527" s="1" t="s">
        <v>4873</v>
      </c>
      <c r="W527" s="1" t="s">
        <v>74</v>
      </c>
      <c r="X527" s="1" t="s">
        <v>74</v>
      </c>
      <c r="Y527" s="1" t="s">
        <v>74</v>
      </c>
      <c r="Z527" s="1" t="s">
        <v>74</v>
      </c>
      <c r="AA527" s="1" t="s">
        <v>74</v>
      </c>
      <c r="AB527" s="1" t="s">
        <v>74</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242</v>
      </c>
      <c r="AP527" s="1" t="s">
        <v>74</v>
      </c>
      <c r="AQ527" s="1" t="s">
        <v>74</v>
      </c>
      <c r="AR527" s="1" t="s">
        <v>74</v>
      </c>
      <c r="AS527" s="1" t="s">
        <v>74</v>
      </c>
      <c r="AT527" s="1" t="s">
        <v>2257</v>
      </c>
      <c r="AU527" s="1">
        <v>2025.0</v>
      </c>
      <c r="AV527" s="1">
        <v>14.0</v>
      </c>
      <c r="AW527" s="1">
        <v>22.0</v>
      </c>
      <c r="AX527" s="1" t="s">
        <v>74</v>
      </c>
      <c r="AY527" s="1" t="s">
        <v>74</v>
      </c>
      <c r="AZ527" s="1" t="s">
        <v>74</v>
      </c>
      <c r="BA527" s="1" t="s">
        <v>74</v>
      </c>
      <c r="BB527" s="1" t="s">
        <v>74</v>
      </c>
      <c r="BC527" s="1" t="s">
        <v>74</v>
      </c>
      <c r="BD527" s="1">
        <v>4537.0</v>
      </c>
      <c r="BE527" s="1" t="s">
        <v>4874</v>
      </c>
      <c r="BF527" s="2" t="str">
        <f>HYPERLINK("http://dx.doi.org/10.3390/electronics14224537","http://dx.doi.org/10.3390/electronics14224537")</f>
        <v>http://dx.doi.org/10.3390/electronics14224537</v>
      </c>
      <c r="BG527" s="1" t="s">
        <v>74</v>
      </c>
      <c r="BH527" s="1" t="s">
        <v>74</v>
      </c>
      <c r="BI527" s="1" t="s">
        <v>74</v>
      </c>
      <c r="BJ527" s="1" t="s">
        <v>74</v>
      </c>
      <c r="BK527" s="1" t="s">
        <v>74</v>
      </c>
      <c r="BL527" s="1" t="s">
        <v>244</v>
      </c>
      <c r="BM527" s="1" t="s">
        <v>74</v>
      </c>
      <c r="BN527" s="1" t="s">
        <v>74</v>
      </c>
      <c r="BO527" s="1" t="s">
        <v>163</v>
      </c>
      <c r="BP527" s="1" t="s">
        <v>74</v>
      </c>
      <c r="BQ527" s="1" t="s">
        <v>74</v>
      </c>
      <c r="BR527" s="1" t="s">
        <v>74</v>
      </c>
      <c r="BS527" s="1" t="s">
        <v>4875</v>
      </c>
      <c r="BT527" s="1" t="str">
        <f>HYPERLINK("https%3A%2F%2Fwww.webofscience.com%2Fwos%2Fwoscc%2Ffull-record%2FWOS:001623733900001","View Full Record in Web of Science")</f>
        <v>View Full Record in Web of Science</v>
      </c>
    </row>
    <row r="528" ht="12.75" customHeight="1">
      <c r="A528" s="1" t="s">
        <v>72</v>
      </c>
      <c r="B528" s="1" t="s">
        <v>4876</v>
      </c>
      <c r="C528" s="1" t="s">
        <v>74</v>
      </c>
      <c r="D528" s="1" t="s">
        <v>74</v>
      </c>
      <c r="E528" s="1" t="s">
        <v>74</v>
      </c>
      <c r="F528" s="1" t="s">
        <v>4877</v>
      </c>
      <c r="G528" s="1" t="s">
        <v>74</v>
      </c>
      <c r="H528" s="1" t="s">
        <v>74</v>
      </c>
      <c r="I528" s="1" t="s">
        <v>4878</v>
      </c>
      <c r="J528" s="1" t="s">
        <v>239</v>
      </c>
      <c r="K528" s="1" t="s">
        <v>74</v>
      </c>
      <c r="L528" s="1" t="s">
        <v>74</v>
      </c>
      <c r="M528" s="1" t="s">
        <v>74</v>
      </c>
      <c r="N528" s="1" t="s">
        <v>78</v>
      </c>
      <c r="O528" s="1" t="s">
        <v>74</v>
      </c>
      <c r="P528" s="1" t="s">
        <v>74</v>
      </c>
      <c r="Q528" s="1" t="s">
        <v>74</v>
      </c>
      <c r="R528" s="1" t="s">
        <v>74</v>
      </c>
      <c r="S528" s="1" t="s">
        <v>74</v>
      </c>
      <c r="T528" s="1" t="s">
        <v>4879</v>
      </c>
      <c r="U528" s="1" t="s">
        <v>74</v>
      </c>
      <c r="V528" s="1" t="s">
        <v>4880</v>
      </c>
      <c r="W528" s="1" t="s">
        <v>74</v>
      </c>
      <c r="X528" s="1" t="s">
        <v>74</v>
      </c>
      <c r="Y528" s="1" t="s">
        <v>74</v>
      </c>
      <c r="Z528" s="1" t="s">
        <v>74</v>
      </c>
      <c r="AA528" s="1" t="s">
        <v>74</v>
      </c>
      <c r="AB528" s="1" t="s">
        <v>74</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242</v>
      </c>
      <c r="AP528" s="1" t="s">
        <v>74</v>
      </c>
      <c r="AQ528" s="1" t="s">
        <v>74</v>
      </c>
      <c r="AR528" s="1" t="s">
        <v>74</v>
      </c>
      <c r="AS528" s="1" t="s">
        <v>74</v>
      </c>
      <c r="AT528" s="1" t="s">
        <v>1013</v>
      </c>
      <c r="AU528" s="1">
        <v>2026.0</v>
      </c>
      <c r="AV528" s="1">
        <v>15.0</v>
      </c>
      <c r="AW528" s="1">
        <v>1.0</v>
      </c>
      <c r="AX528" s="1" t="s">
        <v>74</v>
      </c>
      <c r="AY528" s="1" t="s">
        <v>74</v>
      </c>
      <c r="AZ528" s="1" t="s">
        <v>74</v>
      </c>
      <c r="BA528" s="1" t="s">
        <v>74</v>
      </c>
      <c r="BB528" s="1" t="s">
        <v>74</v>
      </c>
      <c r="BC528" s="1" t="s">
        <v>74</v>
      </c>
      <c r="BD528" s="1">
        <v>217.0</v>
      </c>
      <c r="BE528" s="1" t="s">
        <v>4881</v>
      </c>
      <c r="BF528" s="2" t="str">
        <f>HYPERLINK("http://dx.doi.org/10.3390/electronics15010217","http://dx.doi.org/10.3390/electronics15010217")</f>
        <v>http://dx.doi.org/10.3390/electronics15010217</v>
      </c>
      <c r="BG528" s="1" t="s">
        <v>74</v>
      </c>
      <c r="BH528" s="1" t="s">
        <v>74</v>
      </c>
      <c r="BI528" s="1" t="s">
        <v>74</v>
      </c>
      <c r="BJ528" s="1" t="s">
        <v>74</v>
      </c>
      <c r="BK528" s="1" t="s">
        <v>74</v>
      </c>
      <c r="BL528" s="1" t="s">
        <v>244</v>
      </c>
      <c r="BM528" s="1" t="s">
        <v>74</v>
      </c>
      <c r="BN528" s="1" t="s">
        <v>74</v>
      </c>
      <c r="BO528" s="1" t="s">
        <v>163</v>
      </c>
      <c r="BP528" s="1" t="s">
        <v>74</v>
      </c>
      <c r="BQ528" s="1" t="s">
        <v>74</v>
      </c>
      <c r="BR528" s="1" t="s">
        <v>74</v>
      </c>
      <c r="BS528" s="1" t="s">
        <v>4882</v>
      </c>
      <c r="BT528" s="1" t="str">
        <f>HYPERLINK("https%3A%2F%2Fwww.webofscience.com%2Fwos%2Fwoscc%2Ffull-record%2FWOS:001657258700001","View Full Record in Web of Science")</f>
        <v>View Full Record in Web of Science</v>
      </c>
    </row>
    <row r="529" ht="12.75" customHeight="1">
      <c r="A529" s="1" t="s">
        <v>72</v>
      </c>
      <c r="B529" s="1" t="s">
        <v>4883</v>
      </c>
      <c r="C529" s="1" t="s">
        <v>74</v>
      </c>
      <c r="D529" s="1" t="s">
        <v>74</v>
      </c>
      <c r="E529" s="1" t="s">
        <v>74</v>
      </c>
      <c r="F529" s="1" t="s">
        <v>4884</v>
      </c>
      <c r="G529" s="1" t="s">
        <v>74</v>
      </c>
      <c r="H529" s="1" t="s">
        <v>74</v>
      </c>
      <c r="I529" s="1" t="s">
        <v>4885</v>
      </c>
      <c r="J529" s="1" t="s">
        <v>4886</v>
      </c>
      <c r="K529" s="1" t="s">
        <v>74</v>
      </c>
      <c r="L529" s="1" t="s">
        <v>74</v>
      </c>
      <c r="M529" s="1" t="s">
        <v>74</v>
      </c>
      <c r="N529" s="1" t="s">
        <v>78</v>
      </c>
      <c r="O529" s="1" t="s">
        <v>74</v>
      </c>
      <c r="P529" s="1" t="s">
        <v>74</v>
      </c>
      <c r="Q529" s="1" t="s">
        <v>74</v>
      </c>
      <c r="R529" s="1" t="s">
        <v>74</v>
      </c>
      <c r="S529" s="1" t="s">
        <v>74</v>
      </c>
      <c r="T529" s="1" t="s">
        <v>4887</v>
      </c>
      <c r="U529" s="1" t="s">
        <v>74</v>
      </c>
      <c r="V529" s="1" t="s">
        <v>4888</v>
      </c>
      <c r="W529" s="1" t="s">
        <v>74</v>
      </c>
      <c r="X529" s="1" t="s">
        <v>74</v>
      </c>
      <c r="Y529" s="1" t="s">
        <v>74</v>
      </c>
      <c r="Z529" s="1" t="s">
        <v>74</v>
      </c>
      <c r="AA529" s="1" t="s">
        <v>74</v>
      </c>
      <c r="AB529" s="1" t="s">
        <v>74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4889</v>
      </c>
      <c r="AP529" s="1" t="s">
        <v>4890</v>
      </c>
      <c r="AQ529" s="1" t="s">
        <v>74</v>
      </c>
      <c r="AR529" s="1" t="s">
        <v>74</v>
      </c>
      <c r="AS529" s="1" t="s">
        <v>74</v>
      </c>
      <c r="AT529" s="1" t="s">
        <v>688</v>
      </c>
      <c r="AU529" s="1">
        <v>2025.0</v>
      </c>
      <c r="AV529" s="1">
        <v>62.0</v>
      </c>
      <c r="AW529" s="1">
        <v>2.0</v>
      </c>
      <c r="AX529" s="1" t="s">
        <v>74</v>
      </c>
      <c r="AY529" s="1" t="s">
        <v>74</v>
      </c>
      <c r="AZ529" s="1" t="s">
        <v>74</v>
      </c>
      <c r="BA529" s="1" t="s">
        <v>74</v>
      </c>
      <c r="BB529" s="1" t="s">
        <v>74</v>
      </c>
      <c r="BC529" s="1" t="s">
        <v>74</v>
      </c>
      <c r="BD529" s="1">
        <v>104103.0</v>
      </c>
      <c r="BE529" s="1" t="s">
        <v>4891</v>
      </c>
      <c r="BF529" s="2" t="str">
        <f>HYPERLINK("http://dx.doi.org/10.1016/j.im.2025.104103","http://dx.doi.org/10.1016/j.im.2025.104103")</f>
        <v>http://dx.doi.org/10.1016/j.im.2025.104103</v>
      </c>
      <c r="BG529" s="1" t="s">
        <v>74</v>
      </c>
      <c r="BH529" s="1" t="s">
        <v>141</v>
      </c>
      <c r="BI529" s="1" t="s">
        <v>74</v>
      </c>
      <c r="BJ529" s="1" t="s">
        <v>74</v>
      </c>
      <c r="BK529" s="1" t="s">
        <v>74</v>
      </c>
      <c r="BL529" s="1" t="s">
        <v>834</v>
      </c>
      <c r="BM529" s="1" t="s">
        <v>74</v>
      </c>
      <c r="BN529" s="1" t="s">
        <v>74</v>
      </c>
      <c r="BO529" s="1" t="s">
        <v>127</v>
      </c>
      <c r="BP529" s="1" t="s">
        <v>74</v>
      </c>
      <c r="BQ529" s="1" t="s">
        <v>74</v>
      </c>
      <c r="BR529" s="1" t="s">
        <v>74</v>
      </c>
      <c r="BS529" s="1" t="s">
        <v>4892</v>
      </c>
      <c r="BT529" s="1" t="str">
        <f>HYPERLINK("https%3A%2F%2Fwww.webofscience.com%2Fwos%2Fwoscc%2Ffull-record%2FWOS:001414261800001","View Full Record in Web of Science")</f>
        <v>View Full Record in Web of Science</v>
      </c>
    </row>
    <row r="530" ht="12.75" customHeight="1">
      <c r="A530" s="1" t="s">
        <v>72</v>
      </c>
      <c r="B530" s="1" t="s">
        <v>4893</v>
      </c>
      <c r="C530" s="1" t="s">
        <v>74</v>
      </c>
      <c r="D530" s="1" t="s">
        <v>74</v>
      </c>
      <c r="E530" s="1" t="s">
        <v>74</v>
      </c>
      <c r="F530" s="1" t="s">
        <v>4894</v>
      </c>
      <c r="G530" s="1" t="s">
        <v>74</v>
      </c>
      <c r="H530" s="1" t="s">
        <v>74</v>
      </c>
      <c r="I530" s="1" t="s">
        <v>4895</v>
      </c>
      <c r="J530" s="1" t="s">
        <v>281</v>
      </c>
      <c r="K530" s="1" t="s">
        <v>74</v>
      </c>
      <c r="L530" s="1" t="s">
        <v>74</v>
      </c>
      <c r="M530" s="1" t="s">
        <v>74</v>
      </c>
      <c r="N530" s="1" t="s">
        <v>78</v>
      </c>
      <c r="O530" s="1" t="s">
        <v>74</v>
      </c>
      <c r="P530" s="1" t="s">
        <v>74</v>
      </c>
      <c r="Q530" s="1" t="s">
        <v>74</v>
      </c>
      <c r="R530" s="1" t="s">
        <v>74</v>
      </c>
      <c r="S530" s="1" t="s">
        <v>74</v>
      </c>
      <c r="T530" s="1" t="s">
        <v>4896</v>
      </c>
      <c r="U530" s="1" t="s">
        <v>74</v>
      </c>
      <c r="V530" s="1" t="s">
        <v>4897</v>
      </c>
      <c r="W530" s="1" t="s">
        <v>74</v>
      </c>
      <c r="X530" s="1" t="s">
        <v>74</v>
      </c>
      <c r="Y530" s="1" t="s">
        <v>74</v>
      </c>
      <c r="Z530" s="1" t="s">
        <v>74</v>
      </c>
      <c r="AA530" s="1" t="s">
        <v>74</v>
      </c>
      <c r="AB530" s="1" t="s">
        <v>74</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285</v>
      </c>
      <c r="AP530" s="1" t="s">
        <v>286</v>
      </c>
      <c r="AQ530" s="1" t="s">
        <v>74</v>
      </c>
      <c r="AR530" s="1" t="s">
        <v>74</v>
      </c>
      <c r="AS530" s="1" t="s">
        <v>74</v>
      </c>
      <c r="AT530" s="1" t="s">
        <v>4898</v>
      </c>
      <c r="AU530" s="1">
        <v>2024.0</v>
      </c>
      <c r="AV530" s="1">
        <v>31.0</v>
      </c>
      <c r="AW530" s="1">
        <v>9.0</v>
      </c>
      <c r="AX530" s="1" t="s">
        <v>74</v>
      </c>
      <c r="AY530" s="1" t="s">
        <v>74</v>
      </c>
      <c r="AZ530" s="1" t="s">
        <v>74</v>
      </c>
      <c r="BA530" s="1" t="s">
        <v>74</v>
      </c>
      <c r="BB530" s="1">
        <v>1884.0</v>
      </c>
      <c r="BC530" s="1">
        <v>1891.0</v>
      </c>
      <c r="BD530" s="1" t="s">
        <v>74</v>
      </c>
      <c r="BE530" s="1" t="s">
        <v>4899</v>
      </c>
      <c r="BF530" s="2" t="str">
        <f>HYPERLINK("http://dx.doi.org/10.1093/jamia/ocae184","http://dx.doi.org/10.1093/jamia/ocae184")</f>
        <v>http://dx.doi.org/10.1093/jamia/ocae184</v>
      </c>
      <c r="BG530" s="1" t="s">
        <v>74</v>
      </c>
      <c r="BH530" s="1" t="s">
        <v>545</v>
      </c>
      <c r="BI530" s="1" t="s">
        <v>74</v>
      </c>
      <c r="BJ530" s="1" t="s">
        <v>74</v>
      </c>
      <c r="BK530" s="1" t="s">
        <v>74</v>
      </c>
      <c r="BL530" s="1" t="s">
        <v>291</v>
      </c>
      <c r="BM530" s="1" t="s">
        <v>74</v>
      </c>
      <c r="BN530" s="1" t="s">
        <v>74</v>
      </c>
      <c r="BO530" s="1" t="s">
        <v>127</v>
      </c>
      <c r="BP530" s="1" t="s">
        <v>74</v>
      </c>
      <c r="BQ530" s="1" t="s">
        <v>74</v>
      </c>
      <c r="BR530" s="1" t="s">
        <v>74</v>
      </c>
      <c r="BS530" s="1" t="s">
        <v>4900</v>
      </c>
      <c r="BT530" s="1" t="str">
        <f>HYPERLINK("https%3A%2F%2Fwww.webofscience.com%2Fwos%2Fwoscc%2Ffull-record%2FWOS:001269939400001","View Full Record in Web of Science")</f>
        <v>View Full Record in Web of Science</v>
      </c>
    </row>
    <row r="531" ht="12.75" customHeight="1">
      <c r="A531" s="1" t="s">
        <v>72</v>
      </c>
      <c r="B531" s="1" t="s">
        <v>4901</v>
      </c>
      <c r="C531" s="1" t="s">
        <v>74</v>
      </c>
      <c r="D531" s="1" t="s">
        <v>74</v>
      </c>
      <c r="E531" s="1" t="s">
        <v>74</v>
      </c>
      <c r="F531" s="1" t="s">
        <v>4902</v>
      </c>
      <c r="G531" s="1" t="s">
        <v>74</v>
      </c>
      <c r="H531" s="1" t="s">
        <v>74</v>
      </c>
      <c r="I531" s="1" t="s">
        <v>4903</v>
      </c>
      <c r="J531" s="1" t="s">
        <v>239</v>
      </c>
      <c r="K531" s="1" t="s">
        <v>74</v>
      </c>
      <c r="L531" s="1" t="s">
        <v>74</v>
      </c>
      <c r="M531" s="1" t="s">
        <v>74</v>
      </c>
      <c r="N531" s="1" t="s">
        <v>78</v>
      </c>
      <c r="O531" s="1" t="s">
        <v>74</v>
      </c>
      <c r="P531" s="1" t="s">
        <v>74</v>
      </c>
      <c r="Q531" s="1" t="s">
        <v>74</v>
      </c>
      <c r="R531" s="1" t="s">
        <v>74</v>
      </c>
      <c r="S531" s="1" t="s">
        <v>74</v>
      </c>
      <c r="T531" s="1" t="s">
        <v>4904</v>
      </c>
      <c r="U531" s="1" t="s">
        <v>4905</v>
      </c>
      <c r="V531" s="1" t="s">
        <v>4906</v>
      </c>
      <c r="W531" s="1" t="s">
        <v>74</v>
      </c>
      <c r="X531" s="1" t="s">
        <v>74</v>
      </c>
      <c r="Y531" s="1" t="s">
        <v>74</v>
      </c>
      <c r="Z531" s="1" t="s">
        <v>74</v>
      </c>
      <c r="AA531" s="1" t="s">
        <v>74</v>
      </c>
      <c r="AB531" s="1" t="s">
        <v>74</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242</v>
      </c>
      <c r="AP531" s="1" t="s">
        <v>74</v>
      </c>
      <c r="AQ531" s="1" t="s">
        <v>74</v>
      </c>
      <c r="AR531" s="1" t="s">
        <v>74</v>
      </c>
      <c r="AS531" s="1" t="s">
        <v>74</v>
      </c>
      <c r="AT531" s="1" t="s">
        <v>4907</v>
      </c>
      <c r="AU531" s="1">
        <v>2025.0</v>
      </c>
      <c r="AV531" s="1">
        <v>14.0</v>
      </c>
      <c r="AW531" s="1">
        <v>13.0</v>
      </c>
      <c r="AX531" s="1" t="s">
        <v>74</v>
      </c>
      <c r="AY531" s="1" t="s">
        <v>74</v>
      </c>
      <c r="AZ531" s="1" t="s">
        <v>74</v>
      </c>
      <c r="BA531" s="1" t="s">
        <v>74</v>
      </c>
      <c r="BB531" s="1" t="s">
        <v>74</v>
      </c>
      <c r="BC531" s="1" t="s">
        <v>74</v>
      </c>
      <c r="BD531" s="1">
        <v>2548.0</v>
      </c>
      <c r="BE531" s="1" t="s">
        <v>4908</v>
      </c>
      <c r="BF531" s="2" t="str">
        <f>HYPERLINK("http://dx.doi.org/10.3390/electronics14132548","http://dx.doi.org/10.3390/electronics14132548")</f>
        <v>http://dx.doi.org/10.3390/electronics14132548</v>
      </c>
      <c r="BG531" s="1" t="s">
        <v>74</v>
      </c>
      <c r="BH531" s="1" t="s">
        <v>74</v>
      </c>
      <c r="BI531" s="1" t="s">
        <v>74</v>
      </c>
      <c r="BJ531" s="1" t="s">
        <v>74</v>
      </c>
      <c r="BK531" s="1" t="s">
        <v>74</v>
      </c>
      <c r="BL531" s="1" t="s">
        <v>244</v>
      </c>
      <c r="BM531" s="1" t="s">
        <v>74</v>
      </c>
      <c r="BN531" s="1" t="s">
        <v>74</v>
      </c>
      <c r="BO531" s="1" t="s">
        <v>163</v>
      </c>
      <c r="BP531" s="1" t="s">
        <v>74</v>
      </c>
      <c r="BQ531" s="1" t="s">
        <v>74</v>
      </c>
      <c r="BR531" s="1" t="s">
        <v>74</v>
      </c>
      <c r="BS531" s="1" t="s">
        <v>4909</v>
      </c>
      <c r="BT531" s="1" t="str">
        <f>HYPERLINK("https%3A%2F%2Fwww.webofscience.com%2Fwos%2Fwoscc%2Ffull-record%2FWOS:001527602000001","View Full Record in Web of Science")</f>
        <v>View Full Record in Web of Science</v>
      </c>
    </row>
    <row r="532" ht="12.75" customHeight="1">
      <c r="A532" s="1" t="s">
        <v>72</v>
      </c>
      <c r="B532" s="1" t="s">
        <v>4910</v>
      </c>
      <c r="C532" s="1" t="s">
        <v>74</v>
      </c>
      <c r="D532" s="1" t="s">
        <v>74</v>
      </c>
      <c r="E532" s="1" t="s">
        <v>74</v>
      </c>
      <c r="F532" s="1" t="s">
        <v>4911</v>
      </c>
      <c r="G532" s="1" t="s">
        <v>74</v>
      </c>
      <c r="H532" s="1" t="s">
        <v>74</v>
      </c>
      <c r="I532" s="1" t="s">
        <v>4912</v>
      </c>
      <c r="J532" s="1" t="s">
        <v>1720</v>
      </c>
      <c r="K532" s="1" t="s">
        <v>74</v>
      </c>
      <c r="L532" s="1" t="s">
        <v>74</v>
      </c>
      <c r="M532" s="1" t="s">
        <v>74</v>
      </c>
      <c r="N532" s="1" t="s">
        <v>78</v>
      </c>
      <c r="O532" s="1" t="s">
        <v>74</v>
      </c>
      <c r="P532" s="1" t="s">
        <v>74</v>
      </c>
      <c r="Q532" s="1" t="s">
        <v>74</v>
      </c>
      <c r="R532" s="1" t="s">
        <v>74</v>
      </c>
      <c r="S532" s="1" t="s">
        <v>74</v>
      </c>
      <c r="T532" s="1" t="s">
        <v>4913</v>
      </c>
      <c r="U532" s="1" t="s">
        <v>4914</v>
      </c>
      <c r="V532" s="1" t="s">
        <v>4915</v>
      </c>
      <c r="W532" s="1" t="s">
        <v>74</v>
      </c>
      <c r="X532" s="1" t="s">
        <v>74</v>
      </c>
      <c r="Y532" s="1" t="s">
        <v>74</v>
      </c>
      <c r="Z532" s="1" t="s">
        <v>74</v>
      </c>
      <c r="AA532" s="1" t="s">
        <v>74</v>
      </c>
      <c r="AB532" s="1" t="s">
        <v>74</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74</v>
      </c>
      <c r="AP532" s="1" t="s">
        <v>1723</v>
      </c>
      <c r="AQ532" s="1" t="s">
        <v>74</v>
      </c>
      <c r="AR532" s="1" t="s">
        <v>74</v>
      </c>
      <c r="AS532" s="1" t="s">
        <v>74</v>
      </c>
      <c r="AT532" s="1" t="s">
        <v>84</v>
      </c>
      <c r="AU532" s="1">
        <v>2025.0</v>
      </c>
      <c r="AV532" s="1">
        <v>9.0</v>
      </c>
      <c r="AW532" s="1">
        <v>2.0</v>
      </c>
      <c r="AX532" s="1" t="s">
        <v>74</v>
      </c>
      <c r="AY532" s="1" t="s">
        <v>74</v>
      </c>
      <c r="AZ532" s="1" t="s">
        <v>74</v>
      </c>
      <c r="BA532" s="1" t="s">
        <v>74</v>
      </c>
      <c r="BB532" s="1" t="s">
        <v>74</v>
      </c>
      <c r="BC532" s="1" t="s">
        <v>74</v>
      </c>
      <c r="BD532" s="1" t="s">
        <v>4916</v>
      </c>
      <c r="BE532" s="1" t="s">
        <v>4917</v>
      </c>
      <c r="BF532" s="2" t="str">
        <f>HYPERLINK("http://dx.doi.org/10.1145/3711066","http://dx.doi.org/10.1145/3711066")</f>
        <v>http://dx.doi.org/10.1145/3711066</v>
      </c>
      <c r="BG532" s="1" t="s">
        <v>74</v>
      </c>
      <c r="BH532" s="1" t="s">
        <v>74</v>
      </c>
      <c r="BI532" s="1" t="s">
        <v>74</v>
      </c>
      <c r="BJ532" s="1" t="s">
        <v>74</v>
      </c>
      <c r="BK532" s="1" t="s">
        <v>74</v>
      </c>
      <c r="BL532" s="1" t="s">
        <v>174</v>
      </c>
      <c r="BM532" s="1" t="s">
        <v>74</v>
      </c>
      <c r="BN532" s="1" t="s">
        <v>74</v>
      </c>
      <c r="BO532" s="1" t="s">
        <v>127</v>
      </c>
      <c r="BP532" s="1" t="s">
        <v>74</v>
      </c>
      <c r="BQ532" s="1" t="s">
        <v>74</v>
      </c>
      <c r="BR532" s="1" t="s">
        <v>74</v>
      </c>
      <c r="BS532" s="1" t="s">
        <v>4918</v>
      </c>
      <c r="BT532" s="1" t="str">
        <f>HYPERLINK("https%3A%2F%2Fwww.webofscience.com%2Fwos%2Fwoscc%2Ffull-record%2FWOS:001549269700007","View Full Record in Web of Science")</f>
        <v>View Full Record in Web of Science</v>
      </c>
    </row>
    <row r="533" ht="12.75" customHeight="1">
      <c r="A533" s="1" t="s">
        <v>72</v>
      </c>
      <c r="B533" s="1" t="s">
        <v>4919</v>
      </c>
      <c r="C533" s="1" t="s">
        <v>74</v>
      </c>
      <c r="D533" s="1" t="s">
        <v>74</v>
      </c>
      <c r="E533" s="1" t="s">
        <v>74</v>
      </c>
      <c r="F533" s="1" t="s">
        <v>4920</v>
      </c>
      <c r="G533" s="1" t="s">
        <v>74</v>
      </c>
      <c r="H533" s="1" t="s">
        <v>74</v>
      </c>
      <c r="I533" s="1" t="s">
        <v>4921</v>
      </c>
      <c r="J533" s="1" t="s">
        <v>2655</v>
      </c>
      <c r="K533" s="1" t="s">
        <v>74</v>
      </c>
      <c r="L533" s="1" t="s">
        <v>74</v>
      </c>
      <c r="M533" s="1" t="s">
        <v>74</v>
      </c>
      <c r="N533" s="1" t="s">
        <v>78</v>
      </c>
      <c r="O533" s="1" t="s">
        <v>74</v>
      </c>
      <c r="P533" s="1" t="s">
        <v>74</v>
      </c>
      <c r="Q533" s="1" t="s">
        <v>74</v>
      </c>
      <c r="R533" s="1" t="s">
        <v>74</v>
      </c>
      <c r="S533" s="1" t="s">
        <v>74</v>
      </c>
      <c r="T533" s="1" t="s">
        <v>4922</v>
      </c>
      <c r="U533" s="1" t="s">
        <v>74</v>
      </c>
      <c r="V533" s="1" t="s">
        <v>4923</v>
      </c>
      <c r="W533" s="1" t="s">
        <v>74</v>
      </c>
      <c r="X533" s="1" t="s">
        <v>74</v>
      </c>
      <c r="Y533" s="1" t="s">
        <v>74</v>
      </c>
      <c r="Z533" s="1" t="s">
        <v>74</v>
      </c>
      <c r="AA533" s="1" t="s">
        <v>74</v>
      </c>
      <c r="AB533" s="1" t="s">
        <v>74</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2659</v>
      </c>
      <c r="AP533" s="1" t="s">
        <v>2660</v>
      </c>
      <c r="AQ533" s="1" t="s">
        <v>74</v>
      </c>
      <c r="AR533" s="1" t="s">
        <v>74</v>
      </c>
      <c r="AS533" s="1" t="s">
        <v>74</v>
      </c>
      <c r="AT533" s="1" t="s">
        <v>172</v>
      </c>
      <c r="AU533" s="1">
        <v>2025.0</v>
      </c>
      <c r="AV533" s="1">
        <v>203.0</v>
      </c>
      <c r="AW533" s="1" t="s">
        <v>74</v>
      </c>
      <c r="AX533" s="1" t="s">
        <v>74</v>
      </c>
      <c r="AY533" s="1" t="s">
        <v>74</v>
      </c>
      <c r="AZ533" s="1" t="s">
        <v>74</v>
      </c>
      <c r="BA533" s="1" t="s">
        <v>74</v>
      </c>
      <c r="BB533" s="1" t="s">
        <v>74</v>
      </c>
      <c r="BC533" s="1" t="s">
        <v>74</v>
      </c>
      <c r="BD533" s="1">
        <v>106013.0</v>
      </c>
      <c r="BE533" s="1" t="s">
        <v>4924</v>
      </c>
      <c r="BF533" s="2" t="str">
        <f>HYPERLINK("http://dx.doi.org/10.1016/j.ijmedinf.2025.106013","http://dx.doi.org/10.1016/j.ijmedinf.2025.106013")</f>
        <v>http://dx.doi.org/10.1016/j.ijmedinf.2025.106013</v>
      </c>
      <c r="BG533" s="1" t="s">
        <v>74</v>
      </c>
      <c r="BH533" s="1" t="s">
        <v>112</v>
      </c>
      <c r="BI533" s="1" t="s">
        <v>74</v>
      </c>
      <c r="BJ533" s="1" t="s">
        <v>74</v>
      </c>
      <c r="BK533" s="1" t="s">
        <v>74</v>
      </c>
      <c r="BL533" s="1" t="s">
        <v>1171</v>
      </c>
      <c r="BM533" s="1" t="s">
        <v>74</v>
      </c>
      <c r="BN533" s="1" t="s">
        <v>74</v>
      </c>
      <c r="BO533" s="1" t="s">
        <v>114</v>
      </c>
      <c r="BP533" s="1" t="s">
        <v>74</v>
      </c>
      <c r="BQ533" s="1" t="s">
        <v>74</v>
      </c>
      <c r="BR533" s="1" t="s">
        <v>74</v>
      </c>
      <c r="BS533" s="1" t="s">
        <v>4925</v>
      </c>
      <c r="BT533" s="1" t="str">
        <f>HYPERLINK("https%3A%2F%2Fwww.webofscience.com%2Fwos%2Fwoscc%2Ffull-record%2FWOS:001517191300002","View Full Record in Web of Science")</f>
        <v>View Full Record in Web of Science</v>
      </c>
    </row>
    <row r="534" ht="12.75" customHeight="1">
      <c r="A534" s="1" t="s">
        <v>72</v>
      </c>
      <c r="B534" s="1" t="s">
        <v>4926</v>
      </c>
      <c r="C534" s="1" t="s">
        <v>74</v>
      </c>
      <c r="D534" s="1" t="s">
        <v>74</v>
      </c>
      <c r="E534" s="1" t="s">
        <v>74</v>
      </c>
      <c r="F534" s="1" t="s">
        <v>4927</v>
      </c>
      <c r="G534" s="1" t="s">
        <v>74</v>
      </c>
      <c r="H534" s="1" t="s">
        <v>74</v>
      </c>
      <c r="I534" s="1" t="s">
        <v>4928</v>
      </c>
      <c r="J534" s="1" t="s">
        <v>1580</v>
      </c>
      <c r="K534" s="1" t="s">
        <v>74</v>
      </c>
      <c r="L534" s="1" t="s">
        <v>74</v>
      </c>
      <c r="M534" s="1" t="s">
        <v>74</v>
      </c>
      <c r="N534" s="1" t="s">
        <v>78</v>
      </c>
      <c r="O534" s="1" t="s">
        <v>74</v>
      </c>
      <c r="P534" s="1" t="s">
        <v>74</v>
      </c>
      <c r="Q534" s="1" t="s">
        <v>74</v>
      </c>
      <c r="R534" s="1" t="s">
        <v>74</v>
      </c>
      <c r="S534" s="1" t="s">
        <v>74</v>
      </c>
      <c r="T534" s="1" t="s">
        <v>4929</v>
      </c>
      <c r="U534" s="1" t="s">
        <v>74</v>
      </c>
      <c r="V534" s="1" t="s">
        <v>4930</v>
      </c>
      <c r="W534" s="1" t="s">
        <v>74</v>
      </c>
      <c r="X534" s="1" t="s">
        <v>74</v>
      </c>
      <c r="Y534" s="1" t="s">
        <v>74</v>
      </c>
      <c r="Z534" s="1" t="s">
        <v>74</v>
      </c>
      <c r="AA534" s="1" t="s">
        <v>74</v>
      </c>
      <c r="AB534" s="1" t="s">
        <v>74</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1583</v>
      </c>
      <c r="AP534" s="1" t="s">
        <v>1584</v>
      </c>
      <c r="AQ534" s="1" t="s">
        <v>74</v>
      </c>
      <c r="AR534" s="1" t="s">
        <v>74</v>
      </c>
      <c r="AS534" s="1" t="s">
        <v>74</v>
      </c>
      <c r="AT534" s="1" t="s">
        <v>84</v>
      </c>
      <c r="AU534" s="1">
        <v>2025.0</v>
      </c>
      <c r="AV534" s="1">
        <v>176.0</v>
      </c>
      <c r="AW534" s="1" t="s">
        <v>74</v>
      </c>
      <c r="AX534" s="1" t="s">
        <v>74</v>
      </c>
      <c r="AY534" s="1" t="s">
        <v>74</v>
      </c>
      <c r="AZ534" s="1" t="s">
        <v>74</v>
      </c>
      <c r="BA534" s="1" t="s">
        <v>74</v>
      </c>
      <c r="BB534" s="1" t="s">
        <v>74</v>
      </c>
      <c r="BC534" s="1" t="s">
        <v>74</v>
      </c>
      <c r="BD534" s="1">
        <v>113147.0</v>
      </c>
      <c r="BE534" s="1" t="s">
        <v>4931</v>
      </c>
      <c r="BF534" s="2" t="str">
        <f>HYPERLINK("http://dx.doi.org/10.1016/j.asoc.2025.113147","http://dx.doi.org/10.1016/j.asoc.2025.113147")</f>
        <v>http://dx.doi.org/10.1016/j.asoc.2025.113147</v>
      </c>
      <c r="BG534" s="1" t="s">
        <v>74</v>
      </c>
      <c r="BH534" s="1" t="s">
        <v>526</v>
      </c>
      <c r="BI534" s="1" t="s">
        <v>74</v>
      </c>
      <c r="BJ534" s="1" t="s">
        <v>74</v>
      </c>
      <c r="BK534" s="1" t="s">
        <v>74</v>
      </c>
      <c r="BL534" s="1" t="s">
        <v>174</v>
      </c>
      <c r="BM534" s="1" t="s">
        <v>74</v>
      </c>
      <c r="BN534" s="1" t="s">
        <v>74</v>
      </c>
      <c r="BO534" s="1" t="s">
        <v>74</v>
      </c>
      <c r="BP534" s="1" t="s">
        <v>74</v>
      </c>
      <c r="BQ534" s="1" t="s">
        <v>74</v>
      </c>
      <c r="BR534" s="1" t="s">
        <v>74</v>
      </c>
      <c r="BS534" s="1" t="s">
        <v>4932</v>
      </c>
      <c r="BT534" s="1" t="str">
        <f>HYPERLINK("https%3A%2F%2Fwww.webofscience.com%2Fwos%2Fwoscc%2Ffull-record%2FWOS:001477779600001","View Full Record in Web of Science")</f>
        <v>View Full Record in Web of Science</v>
      </c>
    </row>
    <row r="535" ht="12.75" customHeight="1">
      <c r="A535" s="1" t="s">
        <v>72</v>
      </c>
      <c r="B535" s="1" t="s">
        <v>4933</v>
      </c>
      <c r="C535" s="1" t="s">
        <v>74</v>
      </c>
      <c r="D535" s="1" t="s">
        <v>74</v>
      </c>
      <c r="E535" s="1" t="s">
        <v>74</v>
      </c>
      <c r="F535" s="1" t="s">
        <v>4934</v>
      </c>
      <c r="G535" s="1" t="s">
        <v>74</v>
      </c>
      <c r="H535" s="1" t="s">
        <v>74</v>
      </c>
      <c r="I535" s="1" t="s">
        <v>4935</v>
      </c>
      <c r="J535" s="1" t="s">
        <v>4936</v>
      </c>
      <c r="K535" s="1" t="s">
        <v>74</v>
      </c>
      <c r="L535" s="1" t="s">
        <v>74</v>
      </c>
      <c r="M535" s="1" t="s">
        <v>74</v>
      </c>
      <c r="N535" s="1" t="s">
        <v>78</v>
      </c>
      <c r="O535" s="1" t="s">
        <v>74</v>
      </c>
      <c r="P535" s="1" t="s">
        <v>74</v>
      </c>
      <c r="Q535" s="1" t="s">
        <v>74</v>
      </c>
      <c r="R535" s="1" t="s">
        <v>74</v>
      </c>
      <c r="S535" s="1" t="s">
        <v>74</v>
      </c>
      <c r="T535" s="1" t="s">
        <v>74</v>
      </c>
      <c r="U535" s="1" t="s">
        <v>74</v>
      </c>
      <c r="V535" s="1" t="s">
        <v>4937</v>
      </c>
      <c r="W535" s="1" t="s">
        <v>74</v>
      </c>
      <c r="X535" s="1" t="s">
        <v>74</v>
      </c>
      <c r="Y535" s="1" t="s">
        <v>74</v>
      </c>
      <c r="Z535" s="1" t="s">
        <v>74</v>
      </c>
      <c r="AA535" s="1" t="s">
        <v>74</v>
      </c>
      <c r="AB535" s="1" t="s">
        <v>74</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4938</v>
      </c>
      <c r="AP535" s="1" t="s">
        <v>4939</v>
      </c>
      <c r="AQ535" s="1" t="s">
        <v>74</v>
      </c>
      <c r="AR535" s="1" t="s">
        <v>74</v>
      </c>
      <c r="AS535" s="1" t="s">
        <v>74</v>
      </c>
      <c r="AT535" s="1" t="s">
        <v>84</v>
      </c>
      <c r="AU535" s="1">
        <v>2024.0</v>
      </c>
      <c r="AV535" s="1">
        <v>75.0</v>
      </c>
      <c r="AW535" s="1">
        <v>5.0</v>
      </c>
      <c r="AX535" s="1" t="s">
        <v>74</v>
      </c>
      <c r="AY535" s="1" t="s">
        <v>74</v>
      </c>
      <c r="AZ535" s="1" t="s">
        <v>707</v>
      </c>
      <c r="BA535" s="1" t="s">
        <v>74</v>
      </c>
      <c r="BB535" s="1">
        <v>512.0</v>
      </c>
      <c r="BC535" s="1">
        <v>520.0</v>
      </c>
      <c r="BD535" s="1" t="s">
        <v>74</v>
      </c>
      <c r="BE535" s="1" t="s">
        <v>4940</v>
      </c>
      <c r="BF535" s="2" t="str">
        <f>HYPERLINK("http://dx.doi.org/10.1002/asi.24818","http://dx.doi.org/10.1002/asi.24818")</f>
        <v>http://dx.doi.org/10.1002/asi.24818</v>
      </c>
      <c r="BG535" s="1" t="s">
        <v>74</v>
      </c>
      <c r="BH535" s="1" t="s">
        <v>1602</v>
      </c>
      <c r="BI535" s="1" t="s">
        <v>74</v>
      </c>
      <c r="BJ535" s="1" t="s">
        <v>74</v>
      </c>
      <c r="BK535" s="1" t="s">
        <v>74</v>
      </c>
      <c r="BL535" s="1" t="s">
        <v>2874</v>
      </c>
      <c r="BM535" s="1" t="s">
        <v>74</v>
      </c>
      <c r="BN535" s="1" t="s">
        <v>74</v>
      </c>
      <c r="BO535" s="1" t="s">
        <v>576</v>
      </c>
      <c r="BP535" s="1" t="s">
        <v>74</v>
      </c>
      <c r="BQ535" s="1" t="s">
        <v>74</v>
      </c>
      <c r="BR535" s="1" t="s">
        <v>74</v>
      </c>
      <c r="BS535" s="1" t="s">
        <v>4941</v>
      </c>
      <c r="BT535" s="1" t="str">
        <f>HYPERLINK("https%3A%2F%2Fwww.webofscience.com%2Fwos%2Fwoscc%2Ffull-record%2FWOS:001043677800001","View Full Record in Web of Science")</f>
        <v>View Full Record in Web of Science</v>
      </c>
    </row>
    <row r="536" ht="12.75" customHeight="1">
      <c r="A536" s="1" t="s">
        <v>72</v>
      </c>
      <c r="B536" s="1" t="s">
        <v>4942</v>
      </c>
      <c r="C536" s="1" t="s">
        <v>74</v>
      </c>
      <c r="D536" s="1" t="s">
        <v>74</v>
      </c>
      <c r="E536" s="1" t="s">
        <v>74</v>
      </c>
      <c r="F536" s="1" t="s">
        <v>4943</v>
      </c>
      <c r="G536" s="1" t="s">
        <v>74</v>
      </c>
      <c r="H536" s="1" t="s">
        <v>74</v>
      </c>
      <c r="I536" s="1" t="s">
        <v>4944</v>
      </c>
      <c r="J536" s="1" t="s">
        <v>4945</v>
      </c>
      <c r="K536" s="1" t="s">
        <v>74</v>
      </c>
      <c r="L536" s="1" t="s">
        <v>74</v>
      </c>
      <c r="M536" s="1" t="s">
        <v>74</v>
      </c>
      <c r="N536" s="1" t="s">
        <v>78</v>
      </c>
      <c r="O536" s="1" t="s">
        <v>74</v>
      </c>
      <c r="P536" s="1" t="s">
        <v>74</v>
      </c>
      <c r="Q536" s="1" t="s">
        <v>74</v>
      </c>
      <c r="R536" s="1" t="s">
        <v>74</v>
      </c>
      <c r="S536" s="1" t="s">
        <v>74</v>
      </c>
      <c r="T536" s="1" t="s">
        <v>74</v>
      </c>
      <c r="U536" s="1" t="s">
        <v>4946</v>
      </c>
      <c r="V536" s="1" t="s">
        <v>4947</v>
      </c>
      <c r="W536" s="1" t="s">
        <v>74</v>
      </c>
      <c r="X536" s="1" t="s">
        <v>74</v>
      </c>
      <c r="Y536" s="1" t="s">
        <v>74</v>
      </c>
      <c r="Z536" s="1" t="s">
        <v>74</v>
      </c>
      <c r="AA536" s="1" t="s">
        <v>74</v>
      </c>
      <c r="AB536" s="1" t="s">
        <v>74</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4948</v>
      </c>
      <c r="AP536" s="1" t="s">
        <v>4949</v>
      </c>
      <c r="AQ536" s="1" t="s">
        <v>74</v>
      </c>
      <c r="AR536" s="1" t="s">
        <v>74</v>
      </c>
      <c r="AS536" s="1" t="s">
        <v>74</v>
      </c>
      <c r="AT536" s="1" t="s">
        <v>736</v>
      </c>
      <c r="AU536" s="1">
        <v>2024.0</v>
      </c>
      <c r="AV536" s="1">
        <v>40.0</v>
      </c>
      <c r="AW536" s="1">
        <v>1.0</v>
      </c>
      <c r="AX536" s="1" t="s">
        <v>74</v>
      </c>
      <c r="AY536" s="1" t="s">
        <v>74</v>
      </c>
      <c r="AZ536" s="1" t="s">
        <v>74</v>
      </c>
      <c r="BA536" s="1" t="s">
        <v>74</v>
      </c>
      <c r="BB536" s="1" t="s">
        <v>74</v>
      </c>
      <c r="BC536" s="1" t="s">
        <v>74</v>
      </c>
      <c r="BD536" s="1" t="s">
        <v>74</v>
      </c>
      <c r="BE536" s="1" t="s">
        <v>4950</v>
      </c>
      <c r="BF536" s="2" t="str">
        <f>HYPERLINK("http://dx.doi.org/10.1002/sdr.1761","http://dx.doi.org/10.1002/sdr.1761")</f>
        <v>http://dx.doi.org/10.1002/sdr.1761</v>
      </c>
      <c r="BG536" s="1" t="s">
        <v>74</v>
      </c>
      <c r="BH536" s="1" t="s">
        <v>937</v>
      </c>
      <c r="BI536" s="1" t="s">
        <v>74</v>
      </c>
      <c r="BJ536" s="1" t="s">
        <v>74</v>
      </c>
      <c r="BK536" s="1" t="s">
        <v>74</v>
      </c>
      <c r="BL536" s="1" t="s">
        <v>4951</v>
      </c>
      <c r="BM536" s="1" t="s">
        <v>74</v>
      </c>
      <c r="BN536" s="1" t="s">
        <v>74</v>
      </c>
      <c r="BO536" s="1" t="s">
        <v>4952</v>
      </c>
      <c r="BP536" s="1" t="s">
        <v>74</v>
      </c>
      <c r="BQ536" s="1" t="s">
        <v>74</v>
      </c>
      <c r="BR536" s="1" t="s">
        <v>74</v>
      </c>
      <c r="BS536" s="1" t="s">
        <v>4953</v>
      </c>
      <c r="BT536" s="1" t="str">
        <f>HYPERLINK("https%3A%2F%2Fwww.webofscience.com%2Fwos%2Fwoscc%2Ffull-record%2FWOS:001139789000001","View Full Record in Web of Science")</f>
        <v>View Full Record in Web of Science</v>
      </c>
    </row>
    <row r="537" ht="12.75" customHeight="1">
      <c r="A537" s="1" t="s">
        <v>72</v>
      </c>
      <c r="B537" s="1" t="s">
        <v>4954</v>
      </c>
      <c r="C537" s="1" t="s">
        <v>74</v>
      </c>
      <c r="D537" s="1" t="s">
        <v>74</v>
      </c>
      <c r="E537" s="1" t="s">
        <v>74</v>
      </c>
      <c r="F537" s="1" t="s">
        <v>4955</v>
      </c>
      <c r="G537" s="1" t="s">
        <v>74</v>
      </c>
      <c r="H537" s="1" t="s">
        <v>74</v>
      </c>
      <c r="I537" s="1" t="s">
        <v>4956</v>
      </c>
      <c r="J537" s="1" t="s">
        <v>2479</v>
      </c>
      <c r="K537" s="1" t="s">
        <v>74</v>
      </c>
      <c r="L537" s="1" t="s">
        <v>74</v>
      </c>
      <c r="M537" s="1" t="s">
        <v>74</v>
      </c>
      <c r="N537" s="1" t="s">
        <v>78</v>
      </c>
      <c r="O537" s="1" t="s">
        <v>74</v>
      </c>
      <c r="P537" s="1" t="s">
        <v>74</v>
      </c>
      <c r="Q537" s="1" t="s">
        <v>74</v>
      </c>
      <c r="R537" s="1" t="s">
        <v>74</v>
      </c>
      <c r="S537" s="1" t="s">
        <v>74</v>
      </c>
      <c r="T537" s="1" t="s">
        <v>4957</v>
      </c>
      <c r="U537" s="1" t="s">
        <v>2144</v>
      </c>
      <c r="V537" s="1" t="s">
        <v>4958</v>
      </c>
      <c r="W537" s="1" t="s">
        <v>74</v>
      </c>
      <c r="X537" s="1" t="s">
        <v>74</v>
      </c>
      <c r="Y537" s="1" t="s">
        <v>74</v>
      </c>
      <c r="Z537" s="1" t="s">
        <v>74</v>
      </c>
      <c r="AA537" s="1" t="s">
        <v>74</v>
      </c>
      <c r="AB537" s="1" t="s">
        <v>74</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2483</v>
      </c>
      <c r="AP537" s="1" t="s">
        <v>2484</v>
      </c>
      <c r="AQ537" s="1" t="s">
        <v>74</v>
      </c>
      <c r="AR537" s="1" t="s">
        <v>74</v>
      </c>
      <c r="AS537" s="1" t="s">
        <v>74</v>
      </c>
      <c r="AT537" s="1" t="s">
        <v>262</v>
      </c>
      <c r="AU537" s="1">
        <v>2025.0</v>
      </c>
      <c r="AV537" s="1">
        <v>43.0</v>
      </c>
      <c r="AW537" s="1">
        <v>5.0</v>
      </c>
      <c r="AX537" s="1" t="s">
        <v>74</v>
      </c>
      <c r="AY537" s="1" t="s">
        <v>74</v>
      </c>
      <c r="AZ537" s="1" t="s">
        <v>707</v>
      </c>
      <c r="BA537" s="1" t="s">
        <v>74</v>
      </c>
      <c r="BB537" s="1" t="s">
        <v>74</v>
      </c>
      <c r="BC537" s="1" t="s">
        <v>74</v>
      </c>
      <c r="BD537" s="1">
        <v>120.0</v>
      </c>
      <c r="BE537" s="1" t="s">
        <v>4959</v>
      </c>
      <c r="BF537" s="2" t="str">
        <f>HYPERLINK("http://dx.doi.org/10.1145/3715099","http://dx.doi.org/10.1145/3715099")</f>
        <v>http://dx.doi.org/10.1145/3715099</v>
      </c>
      <c r="BG537" s="1" t="s">
        <v>74</v>
      </c>
      <c r="BH537" s="1" t="s">
        <v>74</v>
      </c>
      <c r="BI537" s="1" t="s">
        <v>74</v>
      </c>
      <c r="BJ537" s="1" t="s">
        <v>74</v>
      </c>
      <c r="BK537" s="1" t="s">
        <v>74</v>
      </c>
      <c r="BL537" s="1" t="s">
        <v>174</v>
      </c>
      <c r="BM537" s="1" t="s">
        <v>74</v>
      </c>
      <c r="BN537" s="1" t="s">
        <v>74</v>
      </c>
      <c r="BO537" s="1" t="s">
        <v>74</v>
      </c>
      <c r="BP537" s="1" t="s">
        <v>74</v>
      </c>
      <c r="BQ537" s="1" t="s">
        <v>74</v>
      </c>
      <c r="BR537" s="1" t="s">
        <v>74</v>
      </c>
      <c r="BS537" s="1" t="s">
        <v>4960</v>
      </c>
      <c r="BT537" s="1" t="str">
        <f>HYPERLINK("https%3A%2F%2Fwww.webofscience.com%2Fwos%2Fwoscc%2Ffull-record%2FWOS:001552837700001","View Full Record in Web of Science")</f>
        <v>View Full Record in Web of Science</v>
      </c>
    </row>
    <row r="538" ht="12.75" customHeight="1">
      <c r="A538" s="1" t="s">
        <v>72</v>
      </c>
      <c r="B538" s="1" t="s">
        <v>4961</v>
      </c>
      <c r="C538" s="1" t="s">
        <v>74</v>
      </c>
      <c r="D538" s="1" t="s">
        <v>74</v>
      </c>
      <c r="E538" s="1" t="s">
        <v>74</v>
      </c>
      <c r="F538" s="1" t="s">
        <v>4962</v>
      </c>
      <c r="G538" s="1" t="s">
        <v>74</v>
      </c>
      <c r="H538" s="1" t="s">
        <v>74</v>
      </c>
      <c r="I538" s="1" t="s">
        <v>4963</v>
      </c>
      <c r="J538" s="1" t="s">
        <v>2868</v>
      </c>
      <c r="K538" s="1" t="s">
        <v>74</v>
      </c>
      <c r="L538" s="1" t="s">
        <v>74</v>
      </c>
      <c r="M538" s="1" t="s">
        <v>74</v>
      </c>
      <c r="N538" s="1" t="s">
        <v>78</v>
      </c>
      <c r="O538" s="1" t="s">
        <v>74</v>
      </c>
      <c r="P538" s="1" t="s">
        <v>74</v>
      </c>
      <c r="Q538" s="1" t="s">
        <v>74</v>
      </c>
      <c r="R538" s="1" t="s">
        <v>74</v>
      </c>
      <c r="S538" s="1" t="s">
        <v>74</v>
      </c>
      <c r="T538" s="1" t="s">
        <v>4964</v>
      </c>
      <c r="U538" s="1" t="s">
        <v>74</v>
      </c>
      <c r="V538" s="1" t="s">
        <v>4965</v>
      </c>
      <c r="W538" s="1" t="s">
        <v>74</v>
      </c>
      <c r="X538" s="1" t="s">
        <v>74</v>
      </c>
      <c r="Y538" s="1" t="s">
        <v>74</v>
      </c>
      <c r="Z538" s="1" t="s">
        <v>74</v>
      </c>
      <c r="AA538" s="1" t="s">
        <v>74</v>
      </c>
      <c r="AB538" s="1" t="s">
        <v>74</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2871</v>
      </c>
      <c r="AP538" s="1" t="s">
        <v>2872</v>
      </c>
      <c r="AQ538" s="1" t="s">
        <v>74</v>
      </c>
      <c r="AR538" s="1" t="s">
        <v>74</v>
      </c>
      <c r="AS538" s="1" t="s">
        <v>74</v>
      </c>
      <c r="AT538" s="1" t="s">
        <v>262</v>
      </c>
      <c r="AU538" s="1">
        <v>2025.0</v>
      </c>
      <c r="AV538" s="1">
        <v>62.0</v>
      </c>
      <c r="AW538" s="1">
        <v>5.0</v>
      </c>
      <c r="AX538" s="1" t="s">
        <v>74</v>
      </c>
      <c r="AY538" s="1" t="s">
        <v>74</v>
      </c>
      <c r="AZ538" s="1" t="s">
        <v>74</v>
      </c>
      <c r="BA538" s="1" t="s">
        <v>74</v>
      </c>
      <c r="BB538" s="1" t="s">
        <v>74</v>
      </c>
      <c r="BC538" s="1" t="s">
        <v>74</v>
      </c>
      <c r="BD538" s="1">
        <v>104136.0</v>
      </c>
      <c r="BE538" s="1" t="s">
        <v>4966</v>
      </c>
      <c r="BF538" s="2" t="str">
        <f>HYPERLINK("http://dx.doi.org/10.1016/j.ipm.2025.104136","http://dx.doi.org/10.1016/j.ipm.2025.104136")</f>
        <v>http://dx.doi.org/10.1016/j.ipm.2025.104136</v>
      </c>
      <c r="BG538" s="1" t="s">
        <v>74</v>
      </c>
      <c r="BH538" s="1" t="s">
        <v>526</v>
      </c>
      <c r="BI538" s="1" t="s">
        <v>74</v>
      </c>
      <c r="BJ538" s="1" t="s">
        <v>74</v>
      </c>
      <c r="BK538" s="1" t="s">
        <v>74</v>
      </c>
      <c r="BL538" s="1" t="s">
        <v>2874</v>
      </c>
      <c r="BM538" s="1" t="s">
        <v>74</v>
      </c>
      <c r="BN538" s="1" t="s">
        <v>74</v>
      </c>
      <c r="BO538" s="1" t="s">
        <v>576</v>
      </c>
      <c r="BP538" s="1" t="s">
        <v>74</v>
      </c>
      <c r="BQ538" s="1" t="s">
        <v>74</v>
      </c>
      <c r="BR538" s="1" t="s">
        <v>74</v>
      </c>
      <c r="BS538" s="1" t="s">
        <v>4967</v>
      </c>
      <c r="BT538" s="1" t="str">
        <f>HYPERLINK("https%3A%2F%2Fwww.webofscience.com%2Fwos%2Fwoscc%2Ffull-record%2FWOS:001483062700001","View Full Record in Web of Science")</f>
        <v>View Full Record in Web of Science</v>
      </c>
    </row>
    <row r="539" ht="12.75" customHeight="1">
      <c r="A539" s="1" t="s">
        <v>72</v>
      </c>
      <c r="B539" s="1" t="s">
        <v>4968</v>
      </c>
      <c r="C539" s="1" t="s">
        <v>74</v>
      </c>
      <c r="D539" s="1" t="s">
        <v>74</v>
      </c>
      <c r="E539" s="1" t="s">
        <v>74</v>
      </c>
      <c r="F539" s="1" t="s">
        <v>4969</v>
      </c>
      <c r="G539" s="1" t="s">
        <v>74</v>
      </c>
      <c r="H539" s="1" t="s">
        <v>74</v>
      </c>
      <c r="I539" s="1" t="s">
        <v>4970</v>
      </c>
      <c r="J539" s="1" t="s">
        <v>881</v>
      </c>
      <c r="K539" s="1" t="s">
        <v>74</v>
      </c>
      <c r="L539" s="1" t="s">
        <v>74</v>
      </c>
      <c r="M539" s="1" t="s">
        <v>74</v>
      </c>
      <c r="N539" s="1" t="s">
        <v>78</v>
      </c>
      <c r="O539" s="1" t="s">
        <v>74</v>
      </c>
      <c r="P539" s="1" t="s">
        <v>74</v>
      </c>
      <c r="Q539" s="1" t="s">
        <v>74</v>
      </c>
      <c r="R539" s="1" t="s">
        <v>74</v>
      </c>
      <c r="S539" s="1" t="s">
        <v>74</v>
      </c>
      <c r="T539" s="1" t="s">
        <v>4971</v>
      </c>
      <c r="U539" s="1" t="s">
        <v>74</v>
      </c>
      <c r="V539" s="1" t="s">
        <v>4972</v>
      </c>
      <c r="W539" s="1" t="s">
        <v>74</v>
      </c>
      <c r="X539" s="1" t="s">
        <v>74</v>
      </c>
      <c r="Y539" s="1" t="s">
        <v>74</v>
      </c>
      <c r="Z539" s="1" t="s">
        <v>74</v>
      </c>
      <c r="AA539" s="1" t="s">
        <v>74</v>
      </c>
      <c r="AB539" s="1" t="s">
        <v>74</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74</v>
      </c>
      <c r="AP539" s="1" t="s">
        <v>884</v>
      </c>
      <c r="AQ539" s="1" t="s">
        <v>74</v>
      </c>
      <c r="AR539" s="1" t="s">
        <v>74</v>
      </c>
      <c r="AS539" s="1" t="s">
        <v>74</v>
      </c>
      <c r="AT539" s="1" t="s">
        <v>4973</v>
      </c>
      <c r="AU539" s="1">
        <v>2025.0</v>
      </c>
      <c r="AV539" s="1">
        <v>16.0</v>
      </c>
      <c r="AW539" s="1">
        <v>4.0</v>
      </c>
      <c r="AX539" s="1" t="s">
        <v>74</v>
      </c>
      <c r="AY539" s="1" t="s">
        <v>74</v>
      </c>
      <c r="AZ539" s="1" t="s">
        <v>74</v>
      </c>
      <c r="BA539" s="1" t="s">
        <v>74</v>
      </c>
      <c r="BB539" s="1" t="s">
        <v>74</v>
      </c>
      <c r="BC539" s="1" t="s">
        <v>74</v>
      </c>
      <c r="BD539" s="1">
        <v>329.0</v>
      </c>
      <c r="BE539" s="1" t="s">
        <v>4974</v>
      </c>
      <c r="BF539" s="2" t="str">
        <f>HYPERLINK("http://dx.doi.org/10.3390/info16040329","http://dx.doi.org/10.3390/info16040329")</f>
        <v>http://dx.doi.org/10.3390/info16040329</v>
      </c>
      <c r="BG539" s="1" t="s">
        <v>74</v>
      </c>
      <c r="BH539" s="1" t="s">
        <v>74</v>
      </c>
      <c r="BI539" s="1" t="s">
        <v>74</v>
      </c>
      <c r="BJ539" s="1" t="s">
        <v>74</v>
      </c>
      <c r="BK539" s="1" t="s">
        <v>74</v>
      </c>
      <c r="BL539" s="1" t="s">
        <v>174</v>
      </c>
      <c r="BM539" s="1" t="s">
        <v>74</v>
      </c>
      <c r="BN539" s="1" t="s">
        <v>74</v>
      </c>
      <c r="BO539" s="1" t="s">
        <v>163</v>
      </c>
      <c r="BP539" s="1" t="s">
        <v>74</v>
      </c>
      <c r="BQ539" s="1" t="s">
        <v>74</v>
      </c>
      <c r="BR539" s="1" t="s">
        <v>74</v>
      </c>
      <c r="BS539" s="1" t="s">
        <v>4975</v>
      </c>
      <c r="BT539" s="1" t="str">
        <f>HYPERLINK("https%3A%2F%2Fwww.webofscience.com%2Fwos%2Fwoscc%2Ffull-record%2FWOS:001475421500001","View Full Record in Web of Science")</f>
        <v>View Full Record in Web of Science</v>
      </c>
    </row>
    <row r="540" ht="12.75" customHeight="1">
      <c r="A540" s="1" t="s">
        <v>72</v>
      </c>
      <c r="B540" s="1" t="s">
        <v>4976</v>
      </c>
      <c r="C540" s="1" t="s">
        <v>74</v>
      </c>
      <c r="D540" s="1" t="s">
        <v>74</v>
      </c>
      <c r="E540" s="1" t="s">
        <v>74</v>
      </c>
      <c r="F540" s="1" t="s">
        <v>4977</v>
      </c>
      <c r="G540" s="1" t="s">
        <v>74</v>
      </c>
      <c r="H540" s="1" t="s">
        <v>74</v>
      </c>
      <c r="I540" s="1" t="s">
        <v>4978</v>
      </c>
      <c r="J540" s="1" t="s">
        <v>4979</v>
      </c>
      <c r="K540" s="1" t="s">
        <v>74</v>
      </c>
      <c r="L540" s="1" t="s">
        <v>74</v>
      </c>
      <c r="M540" s="1" t="s">
        <v>74</v>
      </c>
      <c r="N540" s="1" t="s">
        <v>78</v>
      </c>
      <c r="O540" s="1" t="s">
        <v>74</v>
      </c>
      <c r="P540" s="1" t="s">
        <v>74</v>
      </c>
      <c r="Q540" s="1" t="s">
        <v>74</v>
      </c>
      <c r="R540" s="1" t="s">
        <v>74</v>
      </c>
      <c r="S540" s="1" t="s">
        <v>74</v>
      </c>
      <c r="T540" s="1" t="s">
        <v>4980</v>
      </c>
      <c r="U540" s="1" t="s">
        <v>74</v>
      </c>
      <c r="V540" s="1" t="s">
        <v>4981</v>
      </c>
      <c r="W540" s="1" t="s">
        <v>74</v>
      </c>
      <c r="X540" s="1" t="s">
        <v>74</v>
      </c>
      <c r="Y540" s="1" t="s">
        <v>74</v>
      </c>
      <c r="Z540" s="1" t="s">
        <v>74</v>
      </c>
      <c r="AA540" s="1" t="s">
        <v>74</v>
      </c>
      <c r="AB540" s="1" t="s">
        <v>74</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4982</v>
      </c>
      <c r="AP540" s="1" t="s">
        <v>4983</v>
      </c>
      <c r="AQ540" s="1" t="s">
        <v>74</v>
      </c>
      <c r="AR540" s="1" t="s">
        <v>74</v>
      </c>
      <c r="AS540" s="1" t="s">
        <v>74</v>
      </c>
      <c r="AT540" s="1" t="s">
        <v>74</v>
      </c>
      <c r="AU540" s="1">
        <v>2025.0</v>
      </c>
      <c r="AV540" s="1">
        <v>76.0</v>
      </c>
      <c r="AW540" s="1" t="s">
        <v>4984</v>
      </c>
      <c r="AX540" s="1" t="s">
        <v>74</v>
      </c>
      <c r="AY540" s="1" t="s">
        <v>74</v>
      </c>
      <c r="AZ540" s="1" t="s">
        <v>74</v>
      </c>
      <c r="BA540" s="1" t="s">
        <v>74</v>
      </c>
      <c r="BB540" s="1" t="s">
        <v>74</v>
      </c>
      <c r="BC540" s="1" t="s">
        <v>74</v>
      </c>
      <c r="BD540" s="1" t="s">
        <v>74</v>
      </c>
      <c r="BE540" s="1" t="s">
        <v>4985</v>
      </c>
      <c r="BF540" s="2" t="str">
        <f>HYPERLINK("http://dx.doi.org/10.1504/IJCAT.2025.148142","http://dx.doi.org/10.1504/IJCAT.2025.148142")</f>
        <v>http://dx.doi.org/10.1504/IJCAT.2025.148142</v>
      </c>
      <c r="BG540" s="1" t="s">
        <v>74</v>
      </c>
      <c r="BH540" s="1" t="s">
        <v>74</v>
      </c>
      <c r="BI540" s="1" t="s">
        <v>74</v>
      </c>
      <c r="BJ540" s="1" t="s">
        <v>74</v>
      </c>
      <c r="BK540" s="1" t="s">
        <v>74</v>
      </c>
      <c r="BL540" s="1" t="s">
        <v>174</v>
      </c>
      <c r="BM540" s="1" t="s">
        <v>74</v>
      </c>
      <c r="BN540" s="1" t="s">
        <v>74</v>
      </c>
      <c r="BO540" s="1" t="s">
        <v>74</v>
      </c>
      <c r="BP540" s="1" t="s">
        <v>74</v>
      </c>
      <c r="BQ540" s="1" t="s">
        <v>74</v>
      </c>
      <c r="BR540" s="1" t="s">
        <v>74</v>
      </c>
      <c r="BS540" s="1" t="s">
        <v>4986</v>
      </c>
      <c r="BT540" s="1" t="str">
        <f>HYPERLINK("https%3A%2F%2Fwww.webofscience.com%2Fwos%2Fwoscc%2Ffull-record%2FWOS:001560656600004","View Full Record in Web of Science")</f>
        <v>View Full Record in Web of Science</v>
      </c>
    </row>
    <row r="541" ht="12.75" customHeight="1">
      <c r="A541" s="1" t="s">
        <v>72</v>
      </c>
      <c r="B541" s="1" t="s">
        <v>4987</v>
      </c>
      <c r="C541" s="1" t="s">
        <v>74</v>
      </c>
      <c r="D541" s="1" t="s">
        <v>74</v>
      </c>
      <c r="E541" s="1" t="s">
        <v>74</v>
      </c>
      <c r="F541" s="1" t="s">
        <v>4988</v>
      </c>
      <c r="G541" s="1" t="s">
        <v>74</v>
      </c>
      <c r="H541" s="1" t="s">
        <v>74</v>
      </c>
      <c r="I541" s="1" t="s">
        <v>4989</v>
      </c>
      <c r="J541" s="1" t="s">
        <v>147</v>
      </c>
      <c r="K541" s="1" t="s">
        <v>74</v>
      </c>
      <c r="L541" s="1" t="s">
        <v>74</v>
      </c>
      <c r="M541" s="1" t="s">
        <v>74</v>
      </c>
      <c r="N541" s="1" t="s">
        <v>78</v>
      </c>
      <c r="O541" s="1" t="s">
        <v>74</v>
      </c>
      <c r="P541" s="1" t="s">
        <v>74</v>
      </c>
      <c r="Q541" s="1" t="s">
        <v>74</v>
      </c>
      <c r="R541" s="1" t="s">
        <v>74</v>
      </c>
      <c r="S541" s="1" t="s">
        <v>74</v>
      </c>
      <c r="T541" s="1" t="s">
        <v>4990</v>
      </c>
      <c r="U541" s="1" t="s">
        <v>74</v>
      </c>
      <c r="V541" s="1" t="s">
        <v>4991</v>
      </c>
      <c r="W541" s="1" t="s">
        <v>74</v>
      </c>
      <c r="X541" s="1" t="s">
        <v>74</v>
      </c>
      <c r="Y541" s="1" t="s">
        <v>74</v>
      </c>
      <c r="Z541" s="1" t="s">
        <v>74</v>
      </c>
      <c r="AA541" s="1" t="s">
        <v>74</v>
      </c>
      <c r="AB541" s="1" t="s">
        <v>74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150</v>
      </c>
      <c r="AP541" s="1" t="s">
        <v>74</v>
      </c>
      <c r="AQ541" s="1" t="s">
        <v>74</v>
      </c>
      <c r="AR541" s="1" t="s">
        <v>74</v>
      </c>
      <c r="AS541" s="1" t="s">
        <v>74</v>
      </c>
      <c r="AT541" s="1" t="s">
        <v>74</v>
      </c>
      <c r="AU541" s="1">
        <v>2025.0</v>
      </c>
      <c r="AV541" s="1">
        <v>13.0</v>
      </c>
      <c r="AW541" s="1" t="s">
        <v>74</v>
      </c>
      <c r="AX541" s="1" t="s">
        <v>74</v>
      </c>
      <c r="AY541" s="1" t="s">
        <v>74</v>
      </c>
      <c r="AZ541" s="1" t="s">
        <v>74</v>
      </c>
      <c r="BA541" s="1" t="s">
        <v>74</v>
      </c>
      <c r="BB541" s="1">
        <v>147741.0</v>
      </c>
      <c r="BC541" s="1">
        <v>147756.0</v>
      </c>
      <c r="BD541" s="1" t="s">
        <v>74</v>
      </c>
      <c r="BE541" s="1" t="s">
        <v>4992</v>
      </c>
      <c r="BF541" s="2" t="str">
        <f>HYPERLINK("http://dx.doi.org/10.1109/ACCESS.2025.3601448","http://dx.doi.org/10.1109/ACCESS.2025.3601448")</f>
        <v>http://dx.doi.org/10.1109/ACCESS.2025.3601448</v>
      </c>
      <c r="BG541" s="1" t="s">
        <v>74</v>
      </c>
      <c r="BH541" s="1" t="s">
        <v>74</v>
      </c>
      <c r="BI541" s="1" t="s">
        <v>74</v>
      </c>
      <c r="BJ541" s="1" t="s">
        <v>74</v>
      </c>
      <c r="BK541" s="1" t="s">
        <v>74</v>
      </c>
      <c r="BL541" s="1" t="s">
        <v>152</v>
      </c>
      <c r="BM541" s="1" t="s">
        <v>74</v>
      </c>
      <c r="BN541" s="1" t="s">
        <v>74</v>
      </c>
      <c r="BO541" s="1" t="s">
        <v>153</v>
      </c>
      <c r="BP541" s="1" t="s">
        <v>74</v>
      </c>
      <c r="BQ541" s="1" t="s">
        <v>74</v>
      </c>
      <c r="BR541" s="1" t="s">
        <v>74</v>
      </c>
      <c r="BS541" s="1" t="s">
        <v>4993</v>
      </c>
      <c r="BT541" s="1" t="str">
        <f>HYPERLINK("https%3A%2F%2Fwww.webofscience.com%2Fwos%2Fwoscc%2Ffull-record%2FWOS:001560412000006","View Full Record in Web of Science")</f>
        <v>View Full Record in Web of Science</v>
      </c>
    </row>
    <row r="542" ht="12.75" customHeight="1">
      <c r="A542" s="1" t="s">
        <v>72</v>
      </c>
      <c r="B542" s="1" t="s">
        <v>4994</v>
      </c>
      <c r="C542" s="1" t="s">
        <v>74</v>
      </c>
      <c r="D542" s="1" t="s">
        <v>74</v>
      </c>
      <c r="E542" s="1" t="s">
        <v>74</v>
      </c>
      <c r="F542" s="1" t="s">
        <v>4995</v>
      </c>
      <c r="G542" s="1" t="s">
        <v>74</v>
      </c>
      <c r="H542" s="1" t="s">
        <v>74</v>
      </c>
      <c r="I542" s="1" t="s">
        <v>4996</v>
      </c>
      <c r="J542" s="1" t="s">
        <v>147</v>
      </c>
      <c r="K542" s="1" t="s">
        <v>74</v>
      </c>
      <c r="L542" s="1" t="s">
        <v>74</v>
      </c>
      <c r="M542" s="1" t="s">
        <v>74</v>
      </c>
      <c r="N542" s="1" t="s">
        <v>78</v>
      </c>
      <c r="O542" s="1" t="s">
        <v>74</v>
      </c>
      <c r="P542" s="1" t="s">
        <v>74</v>
      </c>
      <c r="Q542" s="1" t="s">
        <v>74</v>
      </c>
      <c r="R542" s="1" t="s">
        <v>74</v>
      </c>
      <c r="S542" s="1" t="s">
        <v>74</v>
      </c>
      <c r="T542" s="1" t="s">
        <v>4997</v>
      </c>
      <c r="U542" s="1" t="s">
        <v>74</v>
      </c>
      <c r="V542" s="1" t="s">
        <v>4998</v>
      </c>
      <c r="W542" s="1" t="s">
        <v>74</v>
      </c>
      <c r="X542" s="1" t="s">
        <v>74</v>
      </c>
      <c r="Y542" s="1" t="s">
        <v>74</v>
      </c>
      <c r="Z542" s="1" t="s">
        <v>74</v>
      </c>
      <c r="AA542" s="1" t="s">
        <v>74</v>
      </c>
      <c r="AB542" s="1" t="s">
        <v>74</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150</v>
      </c>
      <c r="AP542" s="1" t="s">
        <v>74</v>
      </c>
      <c r="AQ542" s="1" t="s">
        <v>74</v>
      </c>
      <c r="AR542" s="1" t="s">
        <v>74</v>
      </c>
      <c r="AS542" s="1" t="s">
        <v>74</v>
      </c>
      <c r="AT542" s="1" t="s">
        <v>74</v>
      </c>
      <c r="AU542" s="1">
        <v>2025.0</v>
      </c>
      <c r="AV542" s="1">
        <v>13.0</v>
      </c>
      <c r="AW542" s="1" t="s">
        <v>74</v>
      </c>
      <c r="AX542" s="1" t="s">
        <v>74</v>
      </c>
      <c r="AY542" s="1" t="s">
        <v>74</v>
      </c>
      <c r="AZ542" s="1" t="s">
        <v>74</v>
      </c>
      <c r="BA542" s="1" t="s">
        <v>74</v>
      </c>
      <c r="BB542" s="1">
        <v>217846.0</v>
      </c>
      <c r="BC542" s="1">
        <v>217865.0</v>
      </c>
      <c r="BD542" s="1" t="s">
        <v>74</v>
      </c>
      <c r="BE542" s="1" t="s">
        <v>4999</v>
      </c>
      <c r="BF542" s="2" t="str">
        <f>HYPERLINK("http://dx.doi.org/10.1109/ACCESS.2025.3648842","http://dx.doi.org/10.1109/ACCESS.2025.3648842")</f>
        <v>http://dx.doi.org/10.1109/ACCESS.2025.3648842</v>
      </c>
      <c r="BG542" s="1" t="s">
        <v>74</v>
      </c>
      <c r="BH542" s="1" t="s">
        <v>74</v>
      </c>
      <c r="BI542" s="1" t="s">
        <v>74</v>
      </c>
      <c r="BJ542" s="1" t="s">
        <v>74</v>
      </c>
      <c r="BK542" s="1" t="s">
        <v>74</v>
      </c>
      <c r="BL542" s="1" t="s">
        <v>152</v>
      </c>
      <c r="BM542" s="1" t="s">
        <v>74</v>
      </c>
      <c r="BN542" s="1" t="s">
        <v>74</v>
      </c>
      <c r="BO542" s="1" t="s">
        <v>163</v>
      </c>
      <c r="BP542" s="1" t="s">
        <v>74</v>
      </c>
      <c r="BQ542" s="1" t="s">
        <v>74</v>
      </c>
      <c r="BR542" s="1" t="s">
        <v>74</v>
      </c>
      <c r="BS542" s="1" t="s">
        <v>5000</v>
      </c>
      <c r="BT542" s="1" t="str">
        <f>HYPERLINK("https%3A%2F%2Fwww.webofscience.com%2Fwos%2Fwoscc%2Ffull-record%2FWOS:001652569200009","View Full Record in Web of Science")</f>
        <v>View Full Record in Web of Science</v>
      </c>
    </row>
    <row r="543" ht="12.75" customHeight="1">
      <c r="A543" s="1" t="s">
        <v>72</v>
      </c>
      <c r="B543" s="1" t="s">
        <v>5001</v>
      </c>
      <c r="C543" s="1" t="s">
        <v>74</v>
      </c>
      <c r="D543" s="1" t="s">
        <v>74</v>
      </c>
      <c r="E543" s="1" t="s">
        <v>74</v>
      </c>
      <c r="F543" s="1" t="s">
        <v>5002</v>
      </c>
      <c r="G543" s="1" t="s">
        <v>74</v>
      </c>
      <c r="H543" s="1" t="s">
        <v>74</v>
      </c>
      <c r="I543" s="1" t="s">
        <v>5003</v>
      </c>
      <c r="J543" s="1" t="s">
        <v>92</v>
      </c>
      <c r="K543" s="1" t="s">
        <v>74</v>
      </c>
      <c r="L543" s="1" t="s">
        <v>74</v>
      </c>
      <c r="M543" s="1" t="s">
        <v>74</v>
      </c>
      <c r="N543" s="1" t="s">
        <v>78</v>
      </c>
      <c r="O543" s="1" t="s">
        <v>74</v>
      </c>
      <c r="P543" s="1" t="s">
        <v>74</v>
      </c>
      <c r="Q543" s="1" t="s">
        <v>74</v>
      </c>
      <c r="R543" s="1" t="s">
        <v>74</v>
      </c>
      <c r="S543" s="1" t="s">
        <v>74</v>
      </c>
      <c r="T543" s="1" t="s">
        <v>5004</v>
      </c>
      <c r="U543" s="1" t="s">
        <v>2481</v>
      </c>
      <c r="V543" s="1" t="s">
        <v>5005</v>
      </c>
      <c r="W543" s="1" t="s">
        <v>74</v>
      </c>
      <c r="X543" s="1" t="s">
        <v>74</v>
      </c>
      <c r="Y543" s="1" t="s">
        <v>74</v>
      </c>
      <c r="Z543" s="1" t="s">
        <v>74</v>
      </c>
      <c r="AA543" s="1" t="s">
        <v>74</v>
      </c>
      <c r="AB543" s="1" t="s">
        <v>74</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95</v>
      </c>
      <c r="AP543" s="1" t="s">
        <v>96</v>
      </c>
      <c r="AQ543" s="1" t="s">
        <v>74</v>
      </c>
      <c r="AR543" s="1" t="s">
        <v>74</v>
      </c>
      <c r="AS543" s="1" t="s">
        <v>74</v>
      </c>
      <c r="AT543" s="1" t="s">
        <v>335</v>
      </c>
      <c r="AU543" s="1">
        <v>2025.0</v>
      </c>
      <c r="AV543" s="1">
        <v>37.0</v>
      </c>
      <c r="AW543" s="1">
        <v>6.0</v>
      </c>
      <c r="AX543" s="1" t="s">
        <v>74</v>
      </c>
      <c r="AY543" s="1" t="s">
        <v>74</v>
      </c>
      <c r="AZ543" s="1" t="s">
        <v>74</v>
      </c>
      <c r="BA543" s="1" t="s">
        <v>74</v>
      </c>
      <c r="BB543" s="1">
        <v>3153.0</v>
      </c>
      <c r="BC543" s="1">
        <v>3172.0</v>
      </c>
      <c r="BD543" s="1" t="s">
        <v>74</v>
      </c>
      <c r="BE543" s="1" t="s">
        <v>5006</v>
      </c>
      <c r="BF543" s="2" t="str">
        <f>HYPERLINK("http://dx.doi.org/10.1109/TKDE.2025.3551292","http://dx.doi.org/10.1109/TKDE.2025.3551292")</f>
        <v>http://dx.doi.org/10.1109/TKDE.2025.3551292</v>
      </c>
      <c r="BG543" s="1" t="s">
        <v>74</v>
      </c>
      <c r="BH543" s="1" t="s">
        <v>74</v>
      </c>
      <c r="BI543" s="1" t="s">
        <v>74</v>
      </c>
      <c r="BJ543" s="1" t="s">
        <v>74</v>
      </c>
      <c r="BK543" s="1" t="s">
        <v>74</v>
      </c>
      <c r="BL543" s="1" t="s">
        <v>98</v>
      </c>
      <c r="BM543" s="1" t="s">
        <v>74</v>
      </c>
      <c r="BN543" s="1" t="s">
        <v>74</v>
      </c>
      <c r="BO543" s="1" t="s">
        <v>74</v>
      </c>
      <c r="BP543" s="1" t="s">
        <v>74</v>
      </c>
      <c r="BQ543" s="1" t="s">
        <v>74</v>
      </c>
      <c r="BR543" s="1" t="s">
        <v>74</v>
      </c>
      <c r="BS543" s="1" t="s">
        <v>5007</v>
      </c>
      <c r="BT543" s="1" t="str">
        <f>HYPERLINK("https%3A%2F%2Fwww.webofscience.com%2Fwos%2Fwoscc%2Ffull-record%2FWOS:001480467000022","View Full Record in Web of Science")</f>
        <v>View Full Record in Web of Science</v>
      </c>
    </row>
    <row r="544" ht="12.75" customHeight="1">
      <c r="A544" s="1" t="s">
        <v>72</v>
      </c>
      <c r="B544" s="1" t="s">
        <v>5008</v>
      </c>
      <c r="C544" s="1" t="s">
        <v>74</v>
      </c>
      <c r="D544" s="1" t="s">
        <v>74</v>
      </c>
      <c r="E544" s="1" t="s">
        <v>74</v>
      </c>
      <c r="F544" s="1" t="s">
        <v>5009</v>
      </c>
      <c r="G544" s="1" t="s">
        <v>74</v>
      </c>
      <c r="H544" s="1" t="s">
        <v>74</v>
      </c>
      <c r="I544" s="1" t="s">
        <v>5010</v>
      </c>
      <c r="J544" s="1" t="s">
        <v>103</v>
      </c>
      <c r="K544" s="1" t="s">
        <v>74</v>
      </c>
      <c r="L544" s="1" t="s">
        <v>74</v>
      </c>
      <c r="M544" s="1" t="s">
        <v>74</v>
      </c>
      <c r="N544" s="1" t="s">
        <v>78</v>
      </c>
      <c r="O544" s="1" t="s">
        <v>74</v>
      </c>
      <c r="P544" s="1" t="s">
        <v>74</v>
      </c>
      <c r="Q544" s="1" t="s">
        <v>74</v>
      </c>
      <c r="R544" s="1" t="s">
        <v>74</v>
      </c>
      <c r="S544" s="1" t="s">
        <v>74</v>
      </c>
      <c r="T544" s="1" t="s">
        <v>5011</v>
      </c>
      <c r="U544" s="1" t="s">
        <v>5012</v>
      </c>
      <c r="V544" s="1" t="s">
        <v>5013</v>
      </c>
      <c r="W544" s="1" t="s">
        <v>74</v>
      </c>
      <c r="X544" s="1" t="s">
        <v>74</v>
      </c>
      <c r="Y544" s="1" t="s">
        <v>74</v>
      </c>
      <c r="Z544" s="1" t="s">
        <v>74</v>
      </c>
      <c r="AA544" s="1" t="s">
        <v>74</v>
      </c>
      <c r="AB544" s="1" t="s">
        <v>74</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107</v>
      </c>
      <c r="AP544" s="1" t="s">
        <v>108</v>
      </c>
      <c r="AQ544" s="1" t="s">
        <v>74</v>
      </c>
      <c r="AR544" s="1" t="s">
        <v>74</v>
      </c>
      <c r="AS544" s="1" t="s">
        <v>74</v>
      </c>
      <c r="AT544" s="1" t="s">
        <v>464</v>
      </c>
      <c r="AU544" s="1">
        <v>2023.0</v>
      </c>
      <c r="AV544" s="1">
        <v>123.0</v>
      </c>
      <c r="AW544" s="1" t="s">
        <v>74</v>
      </c>
      <c r="AX544" s="1" t="s">
        <v>1409</v>
      </c>
      <c r="AY544" s="1" t="s">
        <v>74</v>
      </c>
      <c r="AZ544" s="1" t="s">
        <v>74</v>
      </c>
      <c r="BA544" s="1" t="s">
        <v>74</v>
      </c>
      <c r="BB544" s="1" t="s">
        <v>74</v>
      </c>
      <c r="BC544" s="1" t="s">
        <v>74</v>
      </c>
      <c r="BD544" s="1">
        <v>106214.0</v>
      </c>
      <c r="BE544" s="1" t="s">
        <v>5014</v>
      </c>
      <c r="BF544" s="2" t="str">
        <f>HYPERLINK("http://dx.doi.org/10.1016/j.engappai.2023.106214","http://dx.doi.org/10.1016/j.engappai.2023.106214")</f>
        <v>http://dx.doi.org/10.1016/j.engappai.2023.106214</v>
      </c>
      <c r="BG544" s="1" t="s">
        <v>74</v>
      </c>
      <c r="BH544" s="1" t="s">
        <v>5015</v>
      </c>
      <c r="BI544" s="1" t="s">
        <v>74</v>
      </c>
      <c r="BJ544" s="1" t="s">
        <v>74</v>
      </c>
      <c r="BK544" s="1" t="s">
        <v>74</v>
      </c>
      <c r="BL544" s="1" t="s">
        <v>113</v>
      </c>
      <c r="BM544" s="1" t="s">
        <v>74</v>
      </c>
      <c r="BN544" s="1" t="s">
        <v>74</v>
      </c>
      <c r="BO544" s="1" t="s">
        <v>74</v>
      </c>
      <c r="BP544" s="1" t="s">
        <v>74</v>
      </c>
      <c r="BQ544" s="1" t="s">
        <v>74</v>
      </c>
      <c r="BR544" s="1" t="s">
        <v>74</v>
      </c>
      <c r="BS544" s="1" t="s">
        <v>5016</v>
      </c>
      <c r="BT544" s="1" t="str">
        <f>HYPERLINK("https%3A%2F%2Fwww.webofscience.com%2Fwos%2Fwoscc%2Ffull-record%2FWOS:000982640100001","View Full Record in Web of Science")</f>
        <v>View Full Record in Web of Science</v>
      </c>
    </row>
    <row r="545" ht="12.75" customHeight="1">
      <c r="A545" s="1" t="s">
        <v>72</v>
      </c>
      <c r="B545" s="1" t="s">
        <v>5017</v>
      </c>
      <c r="C545" s="1" t="s">
        <v>74</v>
      </c>
      <c r="D545" s="1" t="s">
        <v>74</v>
      </c>
      <c r="E545" s="1" t="s">
        <v>74</v>
      </c>
      <c r="F545" s="1" t="s">
        <v>5018</v>
      </c>
      <c r="G545" s="1" t="s">
        <v>74</v>
      </c>
      <c r="H545" s="1" t="s">
        <v>74</v>
      </c>
      <c r="I545" s="1" t="s">
        <v>5019</v>
      </c>
      <c r="J545" s="1" t="s">
        <v>5020</v>
      </c>
      <c r="K545" s="1" t="s">
        <v>74</v>
      </c>
      <c r="L545" s="1" t="s">
        <v>74</v>
      </c>
      <c r="M545" s="1" t="s">
        <v>74</v>
      </c>
      <c r="N545" s="1" t="s">
        <v>953</v>
      </c>
      <c r="O545" s="1" t="s">
        <v>74</v>
      </c>
      <c r="P545" s="1" t="s">
        <v>74</v>
      </c>
      <c r="Q545" s="1" t="s">
        <v>74</v>
      </c>
      <c r="R545" s="1" t="s">
        <v>74</v>
      </c>
      <c r="S545" s="1" t="s">
        <v>74</v>
      </c>
      <c r="T545" s="1" t="s">
        <v>5021</v>
      </c>
      <c r="U545" s="1" t="s">
        <v>74</v>
      </c>
      <c r="V545" s="1" t="s">
        <v>5022</v>
      </c>
      <c r="W545" s="1" t="s">
        <v>74</v>
      </c>
      <c r="X545" s="1" t="s">
        <v>74</v>
      </c>
      <c r="Y545" s="1" t="s">
        <v>74</v>
      </c>
      <c r="Z545" s="1" t="s">
        <v>74</v>
      </c>
      <c r="AA545" s="1" t="s">
        <v>74</v>
      </c>
      <c r="AB545" s="1" t="s">
        <v>74</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5023</v>
      </c>
      <c r="AP545" s="1" t="s">
        <v>5024</v>
      </c>
      <c r="AQ545" s="1" t="s">
        <v>74</v>
      </c>
      <c r="AR545" s="1" t="s">
        <v>74</v>
      </c>
      <c r="AS545" s="1" t="s">
        <v>74</v>
      </c>
      <c r="AT545" s="1" t="s">
        <v>5025</v>
      </c>
      <c r="AU545" s="1">
        <v>2025.0</v>
      </c>
      <c r="AV545" s="1" t="s">
        <v>74</v>
      </c>
      <c r="AW545" s="1" t="s">
        <v>74</v>
      </c>
      <c r="AX545" s="1" t="s">
        <v>74</v>
      </c>
      <c r="AY545" s="1" t="s">
        <v>74</v>
      </c>
      <c r="AZ545" s="1" t="s">
        <v>74</v>
      </c>
      <c r="BA545" s="1" t="s">
        <v>74</v>
      </c>
      <c r="BB545" s="1" t="s">
        <v>74</v>
      </c>
      <c r="BC545" s="1" t="s">
        <v>74</v>
      </c>
      <c r="BD545" s="1" t="s">
        <v>74</v>
      </c>
      <c r="BE545" s="1" t="s">
        <v>5026</v>
      </c>
      <c r="BF545" s="2" t="str">
        <f>HYPERLINK("http://dx.doi.org/10.1111/puar.70048","http://dx.doi.org/10.1111/puar.70048")</f>
        <v>http://dx.doi.org/10.1111/puar.70048</v>
      </c>
      <c r="BG545" s="1" t="s">
        <v>74</v>
      </c>
      <c r="BH545" s="1" t="s">
        <v>811</v>
      </c>
      <c r="BI545" s="1" t="s">
        <v>74</v>
      </c>
      <c r="BJ545" s="1" t="s">
        <v>74</v>
      </c>
      <c r="BK545" s="1" t="s">
        <v>74</v>
      </c>
      <c r="BL545" s="1" t="s">
        <v>5027</v>
      </c>
      <c r="BM545" s="1" t="s">
        <v>74</v>
      </c>
      <c r="BN545" s="1" t="s">
        <v>74</v>
      </c>
      <c r="BO545" s="1" t="s">
        <v>74</v>
      </c>
      <c r="BP545" s="1" t="s">
        <v>74</v>
      </c>
      <c r="BQ545" s="1" t="s">
        <v>74</v>
      </c>
      <c r="BR545" s="1" t="s">
        <v>74</v>
      </c>
      <c r="BS545" s="1" t="s">
        <v>5028</v>
      </c>
      <c r="BT545" s="1" t="str">
        <f>HYPERLINK("https%3A%2F%2Fwww.webofscience.com%2Fwos%2Fwoscc%2Ffull-record%2FWOS:001598211700001","View Full Record in Web of Science")</f>
        <v>View Full Record in Web of Science</v>
      </c>
    </row>
    <row r="546" ht="12.75" customHeight="1">
      <c r="A546" s="1" t="s">
        <v>72</v>
      </c>
      <c r="B546" s="1" t="s">
        <v>5029</v>
      </c>
      <c r="C546" s="1" t="s">
        <v>74</v>
      </c>
      <c r="D546" s="1" t="s">
        <v>74</v>
      </c>
      <c r="E546" s="1" t="s">
        <v>74</v>
      </c>
      <c r="F546" s="1" t="s">
        <v>5030</v>
      </c>
      <c r="G546" s="1" t="s">
        <v>74</v>
      </c>
      <c r="H546" s="1" t="s">
        <v>74</v>
      </c>
      <c r="I546" s="1" t="s">
        <v>5031</v>
      </c>
      <c r="J546" s="1" t="s">
        <v>5032</v>
      </c>
      <c r="K546" s="1" t="s">
        <v>74</v>
      </c>
      <c r="L546" s="1" t="s">
        <v>74</v>
      </c>
      <c r="M546" s="1" t="s">
        <v>74</v>
      </c>
      <c r="N546" s="1" t="s">
        <v>78</v>
      </c>
      <c r="O546" s="1" t="s">
        <v>74</v>
      </c>
      <c r="P546" s="1" t="s">
        <v>74</v>
      </c>
      <c r="Q546" s="1" t="s">
        <v>74</v>
      </c>
      <c r="R546" s="1" t="s">
        <v>74</v>
      </c>
      <c r="S546" s="1" t="s">
        <v>74</v>
      </c>
      <c r="T546" s="1" t="s">
        <v>5033</v>
      </c>
      <c r="U546" s="1" t="s">
        <v>74</v>
      </c>
      <c r="V546" s="1" t="s">
        <v>5034</v>
      </c>
      <c r="W546" s="1" t="s">
        <v>74</v>
      </c>
      <c r="X546" s="1" t="s">
        <v>74</v>
      </c>
      <c r="Y546" s="1" t="s">
        <v>74</v>
      </c>
      <c r="Z546" s="1" t="s">
        <v>74</v>
      </c>
      <c r="AA546" s="1" t="s">
        <v>74</v>
      </c>
      <c r="AB546" s="1" t="s">
        <v>74</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5035</v>
      </c>
      <c r="AP546" s="1" t="s">
        <v>5036</v>
      </c>
      <c r="AQ546" s="1" t="s">
        <v>74</v>
      </c>
      <c r="AR546" s="1" t="s">
        <v>74</v>
      </c>
      <c r="AS546" s="1" t="s">
        <v>74</v>
      </c>
      <c r="AT546" s="1" t="s">
        <v>74</v>
      </c>
      <c r="AU546" s="1">
        <v>2025.0</v>
      </c>
      <c r="AV546" s="1">
        <v>20.0</v>
      </c>
      <c r="AW546" s="1" t="s">
        <v>74</v>
      </c>
      <c r="AX546" s="1" t="s">
        <v>74</v>
      </c>
      <c r="AY546" s="1" t="s">
        <v>74</v>
      </c>
      <c r="AZ546" s="1" t="s">
        <v>74</v>
      </c>
      <c r="BA546" s="1" t="s">
        <v>74</v>
      </c>
      <c r="BB546" s="1">
        <v>10864.0</v>
      </c>
      <c r="BC546" s="1">
        <v>10878.0</v>
      </c>
      <c r="BD546" s="1" t="s">
        <v>74</v>
      </c>
      <c r="BE546" s="1" t="s">
        <v>5037</v>
      </c>
      <c r="BF546" s="2" t="str">
        <f>HYPERLINK("http://dx.doi.org/10.1109/TIFS.2025.3618407","http://dx.doi.org/10.1109/TIFS.2025.3618407")</f>
        <v>http://dx.doi.org/10.1109/TIFS.2025.3618407</v>
      </c>
      <c r="BG546" s="1" t="s">
        <v>74</v>
      </c>
      <c r="BH546" s="1" t="s">
        <v>74</v>
      </c>
      <c r="BI546" s="1" t="s">
        <v>74</v>
      </c>
      <c r="BJ546" s="1" t="s">
        <v>74</v>
      </c>
      <c r="BK546" s="1" t="s">
        <v>74</v>
      </c>
      <c r="BL546" s="1" t="s">
        <v>98</v>
      </c>
      <c r="BM546" s="1" t="s">
        <v>74</v>
      </c>
      <c r="BN546" s="1" t="s">
        <v>74</v>
      </c>
      <c r="BO546" s="1" t="s">
        <v>74</v>
      </c>
      <c r="BP546" s="1" t="s">
        <v>74</v>
      </c>
      <c r="BQ546" s="1" t="s">
        <v>74</v>
      </c>
      <c r="BR546" s="1" t="s">
        <v>74</v>
      </c>
      <c r="BS546" s="1" t="s">
        <v>5038</v>
      </c>
      <c r="BT546" s="1" t="str">
        <f>HYPERLINK("https%3A%2F%2Fwww.webofscience.com%2Fwos%2Fwoscc%2Ffull-record%2FWOS:001600727900019","View Full Record in Web of Science")</f>
        <v>View Full Record in Web of Science</v>
      </c>
    </row>
    <row r="547" ht="12.75" customHeight="1">
      <c r="A547" s="1" t="s">
        <v>72</v>
      </c>
      <c r="B547" s="1" t="s">
        <v>5039</v>
      </c>
      <c r="C547" s="1" t="s">
        <v>74</v>
      </c>
      <c r="D547" s="1" t="s">
        <v>74</v>
      </c>
      <c r="E547" s="1" t="s">
        <v>74</v>
      </c>
      <c r="F547" s="1" t="s">
        <v>5040</v>
      </c>
      <c r="G547" s="1" t="s">
        <v>74</v>
      </c>
      <c r="H547" s="1" t="s">
        <v>74</v>
      </c>
      <c r="I547" s="1" t="s">
        <v>5041</v>
      </c>
      <c r="J547" s="1" t="s">
        <v>239</v>
      </c>
      <c r="K547" s="1" t="s">
        <v>74</v>
      </c>
      <c r="L547" s="1" t="s">
        <v>74</v>
      </c>
      <c r="M547" s="1" t="s">
        <v>74</v>
      </c>
      <c r="N547" s="1" t="s">
        <v>78</v>
      </c>
      <c r="O547" s="1" t="s">
        <v>74</v>
      </c>
      <c r="P547" s="1" t="s">
        <v>74</v>
      </c>
      <c r="Q547" s="1" t="s">
        <v>74</v>
      </c>
      <c r="R547" s="1" t="s">
        <v>74</v>
      </c>
      <c r="S547" s="1" t="s">
        <v>74</v>
      </c>
      <c r="T547" s="1" t="s">
        <v>5042</v>
      </c>
      <c r="U547" s="1" t="s">
        <v>74</v>
      </c>
      <c r="V547" s="1" t="s">
        <v>5043</v>
      </c>
      <c r="W547" s="1" t="s">
        <v>74</v>
      </c>
      <c r="X547" s="1" t="s">
        <v>74</v>
      </c>
      <c r="Y547" s="1" t="s">
        <v>74</v>
      </c>
      <c r="Z547" s="1" t="s">
        <v>74</v>
      </c>
      <c r="AA547" s="1" t="s">
        <v>74</v>
      </c>
      <c r="AB547" s="1" t="s">
        <v>74</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74</v>
      </c>
      <c r="AP547" s="1" t="s">
        <v>242</v>
      </c>
      <c r="AQ547" s="1" t="s">
        <v>74</v>
      </c>
      <c r="AR547" s="1" t="s">
        <v>74</v>
      </c>
      <c r="AS547" s="1" t="s">
        <v>74</v>
      </c>
      <c r="AT547" s="1" t="s">
        <v>124</v>
      </c>
      <c r="AU547" s="1">
        <v>2024.0</v>
      </c>
      <c r="AV547" s="1">
        <v>13.0</v>
      </c>
      <c r="AW547" s="1">
        <v>8.0</v>
      </c>
      <c r="AX547" s="1" t="s">
        <v>74</v>
      </c>
      <c r="AY547" s="1" t="s">
        <v>74</v>
      </c>
      <c r="AZ547" s="1" t="s">
        <v>74</v>
      </c>
      <c r="BA547" s="1" t="s">
        <v>74</v>
      </c>
      <c r="BB547" s="1" t="s">
        <v>74</v>
      </c>
      <c r="BC547" s="1" t="s">
        <v>74</v>
      </c>
      <c r="BD547" s="1">
        <v>1532.0</v>
      </c>
      <c r="BE547" s="1" t="s">
        <v>5044</v>
      </c>
      <c r="BF547" s="2" t="str">
        <f>HYPERLINK("http://dx.doi.org/10.3390/electronics13081532","http://dx.doi.org/10.3390/electronics13081532")</f>
        <v>http://dx.doi.org/10.3390/electronics13081532</v>
      </c>
      <c r="BG547" s="1" t="s">
        <v>74</v>
      </c>
      <c r="BH547" s="1" t="s">
        <v>74</v>
      </c>
      <c r="BI547" s="1" t="s">
        <v>74</v>
      </c>
      <c r="BJ547" s="1" t="s">
        <v>74</v>
      </c>
      <c r="BK547" s="1" t="s">
        <v>74</v>
      </c>
      <c r="BL547" s="1" t="s">
        <v>244</v>
      </c>
      <c r="BM547" s="1" t="s">
        <v>74</v>
      </c>
      <c r="BN547" s="1" t="s">
        <v>74</v>
      </c>
      <c r="BO547" s="1" t="s">
        <v>163</v>
      </c>
      <c r="BP547" s="1" t="s">
        <v>74</v>
      </c>
      <c r="BQ547" s="1" t="s">
        <v>74</v>
      </c>
      <c r="BR547" s="1" t="s">
        <v>74</v>
      </c>
      <c r="BS547" s="1" t="s">
        <v>5045</v>
      </c>
      <c r="BT547" s="1" t="str">
        <f>HYPERLINK("https%3A%2F%2Fwww.webofscience.com%2Fwos%2Fwoscc%2Ffull-record%2FWOS:001210471900001","View Full Record in Web of Science")</f>
        <v>View Full Record in Web of Science</v>
      </c>
    </row>
    <row r="548" ht="12.75" customHeight="1">
      <c r="A548" s="1" t="s">
        <v>72</v>
      </c>
      <c r="B548" s="1" t="s">
        <v>5046</v>
      </c>
      <c r="C548" s="1" t="s">
        <v>74</v>
      </c>
      <c r="D548" s="1" t="s">
        <v>74</v>
      </c>
      <c r="E548" s="1" t="s">
        <v>74</v>
      </c>
      <c r="F548" s="1" t="s">
        <v>5047</v>
      </c>
      <c r="G548" s="1" t="s">
        <v>74</v>
      </c>
      <c r="H548" s="1" t="s">
        <v>74</v>
      </c>
      <c r="I548" s="1" t="s">
        <v>5048</v>
      </c>
      <c r="J548" s="1" t="s">
        <v>2441</v>
      </c>
      <c r="K548" s="1" t="s">
        <v>74</v>
      </c>
      <c r="L548" s="1" t="s">
        <v>74</v>
      </c>
      <c r="M548" s="1" t="s">
        <v>74</v>
      </c>
      <c r="N548" s="1" t="s">
        <v>78</v>
      </c>
      <c r="O548" s="1" t="s">
        <v>74</v>
      </c>
      <c r="P548" s="1" t="s">
        <v>74</v>
      </c>
      <c r="Q548" s="1" t="s">
        <v>74</v>
      </c>
      <c r="R548" s="1" t="s">
        <v>74</v>
      </c>
      <c r="S548" s="1" t="s">
        <v>74</v>
      </c>
      <c r="T548" s="1" t="s">
        <v>5049</v>
      </c>
      <c r="U548" s="1" t="s">
        <v>74</v>
      </c>
      <c r="V548" s="1" t="s">
        <v>5050</v>
      </c>
      <c r="W548" s="1" t="s">
        <v>74</v>
      </c>
      <c r="X548" s="1" t="s">
        <v>74</v>
      </c>
      <c r="Y548" s="1" t="s">
        <v>74</v>
      </c>
      <c r="Z548" s="1" t="s">
        <v>74</v>
      </c>
      <c r="AA548" s="1" t="s">
        <v>74</v>
      </c>
      <c r="AB548" s="1" t="s">
        <v>74</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74</v>
      </c>
      <c r="AP548" s="1" t="s">
        <v>2445</v>
      </c>
      <c r="AQ548" s="1" t="s">
        <v>74</v>
      </c>
      <c r="AR548" s="1" t="s">
        <v>74</v>
      </c>
      <c r="AS548" s="1" t="s">
        <v>74</v>
      </c>
      <c r="AT548" s="1" t="s">
        <v>200</v>
      </c>
      <c r="AU548" s="1">
        <v>2025.0</v>
      </c>
      <c r="AV548" s="1">
        <v>9.0</v>
      </c>
      <c r="AW548" s="1">
        <v>4.0</v>
      </c>
      <c r="AX548" s="1" t="s">
        <v>74</v>
      </c>
      <c r="AY548" s="1" t="s">
        <v>74</v>
      </c>
      <c r="AZ548" s="1" t="s">
        <v>74</v>
      </c>
      <c r="BA548" s="1" t="s">
        <v>74</v>
      </c>
      <c r="BB548" s="1" t="s">
        <v>74</v>
      </c>
      <c r="BC548" s="1" t="s">
        <v>74</v>
      </c>
      <c r="BD548" s="1">
        <v>234.0</v>
      </c>
      <c r="BE548" s="1" t="s">
        <v>5051</v>
      </c>
      <c r="BF548" s="2" t="str">
        <f>HYPERLINK("http://dx.doi.org/10.1145/3770697","http://dx.doi.org/10.1145/3770697")</f>
        <v>http://dx.doi.org/10.1145/3770697</v>
      </c>
      <c r="BG548" s="1" t="s">
        <v>74</v>
      </c>
      <c r="BH548" s="1" t="s">
        <v>74</v>
      </c>
      <c r="BI548" s="1" t="s">
        <v>74</v>
      </c>
      <c r="BJ548" s="1" t="s">
        <v>74</v>
      </c>
      <c r="BK548" s="1" t="s">
        <v>74</v>
      </c>
      <c r="BL548" s="1" t="s">
        <v>152</v>
      </c>
      <c r="BM548" s="1" t="s">
        <v>74</v>
      </c>
      <c r="BN548" s="1" t="s">
        <v>74</v>
      </c>
      <c r="BO548" s="1" t="s">
        <v>74</v>
      </c>
      <c r="BP548" s="1" t="s">
        <v>74</v>
      </c>
      <c r="BQ548" s="1" t="s">
        <v>74</v>
      </c>
      <c r="BR548" s="1" t="s">
        <v>74</v>
      </c>
      <c r="BS548" s="1" t="s">
        <v>5052</v>
      </c>
      <c r="BT548" s="1" t="str">
        <f>HYPERLINK("https%3A%2F%2Fwww.webofscience.com%2Fwos%2Fwoscc%2Ffull-record%2FWOS:001650448200001","View Full Record in Web of Science")</f>
        <v>View Full Record in Web of Science</v>
      </c>
    </row>
    <row r="549" ht="12.75" customHeight="1">
      <c r="A549" s="1" t="s">
        <v>72</v>
      </c>
      <c r="B549" s="1" t="s">
        <v>5053</v>
      </c>
      <c r="C549" s="1" t="s">
        <v>74</v>
      </c>
      <c r="D549" s="1" t="s">
        <v>74</v>
      </c>
      <c r="E549" s="1" t="s">
        <v>74</v>
      </c>
      <c r="F549" s="1" t="s">
        <v>5054</v>
      </c>
      <c r="G549" s="1" t="s">
        <v>74</v>
      </c>
      <c r="H549" s="1" t="s">
        <v>74</v>
      </c>
      <c r="I549" s="1" t="s">
        <v>5055</v>
      </c>
      <c r="J549" s="1" t="s">
        <v>2655</v>
      </c>
      <c r="K549" s="1" t="s">
        <v>74</v>
      </c>
      <c r="L549" s="1" t="s">
        <v>74</v>
      </c>
      <c r="M549" s="1" t="s">
        <v>74</v>
      </c>
      <c r="N549" s="1" t="s">
        <v>78</v>
      </c>
      <c r="O549" s="1" t="s">
        <v>74</v>
      </c>
      <c r="P549" s="1" t="s">
        <v>74</v>
      </c>
      <c r="Q549" s="1" t="s">
        <v>74</v>
      </c>
      <c r="R549" s="1" t="s">
        <v>74</v>
      </c>
      <c r="S549" s="1" t="s">
        <v>74</v>
      </c>
      <c r="T549" s="1" t="s">
        <v>5056</v>
      </c>
      <c r="U549" s="1" t="s">
        <v>74</v>
      </c>
      <c r="V549" s="1" t="s">
        <v>5057</v>
      </c>
      <c r="W549" s="1" t="s">
        <v>74</v>
      </c>
      <c r="X549" s="1" t="s">
        <v>74</v>
      </c>
      <c r="Y549" s="1" t="s">
        <v>74</v>
      </c>
      <c r="Z549" s="1" t="s">
        <v>74</v>
      </c>
      <c r="AA549" s="1" t="s">
        <v>74</v>
      </c>
      <c r="AB549" s="1" t="s">
        <v>74</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2659</v>
      </c>
      <c r="AP549" s="1" t="s">
        <v>2660</v>
      </c>
      <c r="AQ549" s="1" t="s">
        <v>74</v>
      </c>
      <c r="AR549" s="1" t="s">
        <v>74</v>
      </c>
      <c r="AS549" s="1" t="s">
        <v>74</v>
      </c>
      <c r="AT549" s="1" t="s">
        <v>172</v>
      </c>
      <c r="AU549" s="1">
        <v>2025.0</v>
      </c>
      <c r="AV549" s="1">
        <v>203.0</v>
      </c>
      <c r="AW549" s="1" t="s">
        <v>74</v>
      </c>
      <c r="AX549" s="1" t="s">
        <v>74</v>
      </c>
      <c r="AY549" s="1" t="s">
        <v>74</v>
      </c>
      <c r="AZ549" s="1" t="s">
        <v>74</v>
      </c>
      <c r="BA549" s="1" t="s">
        <v>74</v>
      </c>
      <c r="BB549" s="1" t="s">
        <v>74</v>
      </c>
      <c r="BC549" s="1" t="s">
        <v>74</v>
      </c>
      <c r="BD549" s="1">
        <v>106027.0</v>
      </c>
      <c r="BE549" s="1" t="s">
        <v>5058</v>
      </c>
      <c r="BF549" s="2" t="str">
        <f>HYPERLINK("http://dx.doi.org/10.1016/j.ijmedinf.2025.106027","http://dx.doi.org/10.1016/j.ijmedinf.2025.106027")</f>
        <v>http://dx.doi.org/10.1016/j.ijmedinf.2025.106027</v>
      </c>
      <c r="BG549" s="1" t="s">
        <v>74</v>
      </c>
      <c r="BH549" s="1" t="s">
        <v>112</v>
      </c>
      <c r="BI549" s="1" t="s">
        <v>74</v>
      </c>
      <c r="BJ549" s="1" t="s">
        <v>74</v>
      </c>
      <c r="BK549" s="1" t="s">
        <v>74</v>
      </c>
      <c r="BL549" s="1" t="s">
        <v>1171</v>
      </c>
      <c r="BM549" s="1" t="s">
        <v>74</v>
      </c>
      <c r="BN549" s="1" t="s">
        <v>74</v>
      </c>
      <c r="BO549" s="1" t="s">
        <v>114</v>
      </c>
      <c r="BP549" s="1" t="s">
        <v>74</v>
      </c>
      <c r="BQ549" s="1" t="s">
        <v>74</v>
      </c>
      <c r="BR549" s="1" t="s">
        <v>74</v>
      </c>
      <c r="BS549" s="1" t="s">
        <v>5059</v>
      </c>
      <c r="BT549" s="1" t="str">
        <f>HYPERLINK("https%3A%2F%2Fwww.webofscience.com%2Fwos%2Fwoscc%2Ffull-record%2FWOS:001520075800002","View Full Record in Web of Science")</f>
        <v>View Full Record in Web of Science</v>
      </c>
    </row>
    <row r="550" ht="12.75" customHeight="1">
      <c r="A550" s="1" t="s">
        <v>72</v>
      </c>
      <c r="B550" s="1" t="s">
        <v>5060</v>
      </c>
      <c r="C550" s="1" t="s">
        <v>74</v>
      </c>
      <c r="D550" s="1" t="s">
        <v>74</v>
      </c>
      <c r="E550" s="1" t="s">
        <v>74</v>
      </c>
      <c r="F550" s="1" t="s">
        <v>5061</v>
      </c>
      <c r="G550" s="1" t="s">
        <v>74</v>
      </c>
      <c r="H550" s="1" t="s">
        <v>74</v>
      </c>
      <c r="I550" s="1" t="s">
        <v>5062</v>
      </c>
      <c r="J550" s="1" t="s">
        <v>720</v>
      </c>
      <c r="K550" s="1" t="s">
        <v>74</v>
      </c>
      <c r="L550" s="1" t="s">
        <v>74</v>
      </c>
      <c r="M550" s="1" t="s">
        <v>74</v>
      </c>
      <c r="N550" s="1" t="s">
        <v>78</v>
      </c>
      <c r="O550" s="1" t="s">
        <v>74</v>
      </c>
      <c r="P550" s="1" t="s">
        <v>74</v>
      </c>
      <c r="Q550" s="1" t="s">
        <v>74</v>
      </c>
      <c r="R550" s="1" t="s">
        <v>74</v>
      </c>
      <c r="S550" s="1" t="s">
        <v>74</v>
      </c>
      <c r="T550" s="1" t="s">
        <v>5063</v>
      </c>
      <c r="U550" s="1" t="s">
        <v>5064</v>
      </c>
      <c r="V550" s="1" t="s">
        <v>5065</v>
      </c>
      <c r="W550" s="1" t="s">
        <v>74</v>
      </c>
      <c r="X550" s="1" t="s">
        <v>74</v>
      </c>
      <c r="Y550" s="1" t="s">
        <v>74</v>
      </c>
      <c r="Z550" s="1" t="s">
        <v>74</v>
      </c>
      <c r="AA550" s="1" t="s">
        <v>74</v>
      </c>
      <c r="AB550" s="1" t="s">
        <v>74</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723</v>
      </c>
      <c r="AP550" s="1" t="s">
        <v>724</v>
      </c>
      <c r="AQ550" s="1" t="s">
        <v>74</v>
      </c>
      <c r="AR550" s="1" t="s">
        <v>74</v>
      </c>
      <c r="AS550" s="1" t="s">
        <v>74</v>
      </c>
      <c r="AT550" s="1" t="s">
        <v>1305</v>
      </c>
      <c r="AU550" s="1">
        <v>2025.0</v>
      </c>
      <c r="AV550" s="1">
        <v>652.0</v>
      </c>
      <c r="AW550" s="1" t="s">
        <v>74</v>
      </c>
      <c r="AX550" s="1" t="s">
        <v>74</v>
      </c>
      <c r="AY550" s="1" t="s">
        <v>74</v>
      </c>
      <c r="AZ550" s="1" t="s">
        <v>74</v>
      </c>
      <c r="BA550" s="1" t="s">
        <v>74</v>
      </c>
      <c r="BB550" s="1" t="s">
        <v>74</v>
      </c>
      <c r="BC550" s="1" t="s">
        <v>74</v>
      </c>
      <c r="BD550" s="1">
        <v>131040.0</v>
      </c>
      <c r="BE550" s="1" t="s">
        <v>5066</v>
      </c>
      <c r="BF550" s="2" t="str">
        <f>HYPERLINK("http://dx.doi.org/10.1016/j.neucom.2025.131040","http://dx.doi.org/10.1016/j.neucom.2025.131040")</f>
        <v>http://dx.doi.org/10.1016/j.neucom.2025.131040</v>
      </c>
      <c r="BG550" s="1" t="s">
        <v>74</v>
      </c>
      <c r="BH550" s="1" t="s">
        <v>973</v>
      </c>
      <c r="BI550" s="1" t="s">
        <v>74</v>
      </c>
      <c r="BJ550" s="1" t="s">
        <v>74</v>
      </c>
      <c r="BK550" s="1" t="s">
        <v>74</v>
      </c>
      <c r="BL550" s="1" t="s">
        <v>174</v>
      </c>
      <c r="BM550" s="1" t="s">
        <v>74</v>
      </c>
      <c r="BN550" s="1" t="s">
        <v>74</v>
      </c>
      <c r="BO550" s="1" t="s">
        <v>74</v>
      </c>
      <c r="BP550" s="1" t="s">
        <v>74</v>
      </c>
      <c r="BQ550" s="1" t="s">
        <v>74</v>
      </c>
      <c r="BR550" s="1" t="s">
        <v>74</v>
      </c>
      <c r="BS550" s="1" t="s">
        <v>5067</v>
      </c>
      <c r="BT550" s="1" t="str">
        <f>HYPERLINK("https%3A%2F%2Fwww.webofscience.com%2Fwos%2Fwoscc%2Ffull-record%2FWOS:001541223300001","View Full Record in Web of Science")</f>
        <v>View Full Record in Web of Science</v>
      </c>
    </row>
    <row r="551" ht="12.75" customHeight="1">
      <c r="A551" s="1" t="s">
        <v>72</v>
      </c>
      <c r="B551" s="1" t="s">
        <v>5068</v>
      </c>
      <c r="C551" s="1" t="s">
        <v>74</v>
      </c>
      <c r="D551" s="1" t="s">
        <v>74</v>
      </c>
      <c r="E551" s="1" t="s">
        <v>74</v>
      </c>
      <c r="F551" s="1" t="s">
        <v>5069</v>
      </c>
      <c r="G551" s="1" t="s">
        <v>74</v>
      </c>
      <c r="H551" s="1" t="s">
        <v>74</v>
      </c>
      <c r="I551" s="1" t="s">
        <v>5070</v>
      </c>
      <c r="J551" s="1" t="s">
        <v>1376</v>
      </c>
      <c r="K551" s="1" t="s">
        <v>74</v>
      </c>
      <c r="L551" s="1" t="s">
        <v>74</v>
      </c>
      <c r="M551" s="1" t="s">
        <v>74</v>
      </c>
      <c r="N551" s="1" t="s">
        <v>78</v>
      </c>
      <c r="O551" s="1" t="s">
        <v>74</v>
      </c>
      <c r="P551" s="1" t="s">
        <v>74</v>
      </c>
      <c r="Q551" s="1" t="s">
        <v>74</v>
      </c>
      <c r="R551" s="1" t="s">
        <v>74</v>
      </c>
      <c r="S551" s="1" t="s">
        <v>74</v>
      </c>
      <c r="T551" s="1" t="s">
        <v>5071</v>
      </c>
      <c r="U551" s="1" t="s">
        <v>74</v>
      </c>
      <c r="V551" s="1" t="s">
        <v>5072</v>
      </c>
      <c r="W551" s="1" t="s">
        <v>74</v>
      </c>
      <c r="X551" s="1" t="s">
        <v>74</v>
      </c>
      <c r="Y551" s="1" t="s">
        <v>74</v>
      </c>
      <c r="Z551" s="1" t="s">
        <v>74</v>
      </c>
      <c r="AA551" s="1" t="s">
        <v>74</v>
      </c>
      <c r="AB551" s="1" t="s">
        <v>74</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74</v>
      </c>
      <c r="AP551" s="1" t="s">
        <v>2256</v>
      </c>
      <c r="AQ551" s="1" t="s">
        <v>74</v>
      </c>
      <c r="AR551" s="1" t="s">
        <v>74</v>
      </c>
      <c r="AS551" s="1" t="s">
        <v>74</v>
      </c>
      <c r="AT551" s="1" t="s">
        <v>200</v>
      </c>
      <c r="AU551" s="1">
        <v>2024.0</v>
      </c>
      <c r="AV551" s="1">
        <v>5.0</v>
      </c>
      <c r="AW551" s="1">
        <v>4.0</v>
      </c>
      <c r="AX551" s="1" t="s">
        <v>74</v>
      </c>
      <c r="AY551" s="1" t="s">
        <v>74</v>
      </c>
      <c r="AZ551" s="1" t="s">
        <v>74</v>
      </c>
      <c r="BA551" s="1" t="s">
        <v>74</v>
      </c>
      <c r="BB551" s="1">
        <v>2618.0</v>
      </c>
      <c r="BC551" s="1">
        <v>2650.0</v>
      </c>
      <c r="BD551" s="1" t="s">
        <v>74</v>
      </c>
      <c r="BE551" s="1" t="s">
        <v>5073</v>
      </c>
      <c r="BF551" s="2" t="str">
        <f>HYPERLINK("http://dx.doi.org/10.3390/ai5040126","http://dx.doi.org/10.3390/ai5040126")</f>
        <v>http://dx.doi.org/10.3390/ai5040126</v>
      </c>
      <c r="BG551" s="1" t="s">
        <v>74</v>
      </c>
      <c r="BH551" s="1" t="s">
        <v>74</v>
      </c>
      <c r="BI551" s="1" t="s">
        <v>74</v>
      </c>
      <c r="BJ551" s="1" t="s">
        <v>74</v>
      </c>
      <c r="BK551" s="1" t="s">
        <v>74</v>
      </c>
      <c r="BL551" s="1" t="s">
        <v>174</v>
      </c>
      <c r="BM551" s="1" t="s">
        <v>74</v>
      </c>
      <c r="BN551" s="1" t="s">
        <v>74</v>
      </c>
      <c r="BO551" s="1" t="s">
        <v>153</v>
      </c>
      <c r="BP551" s="1" t="s">
        <v>74</v>
      </c>
      <c r="BQ551" s="1" t="s">
        <v>74</v>
      </c>
      <c r="BR551" s="1" t="s">
        <v>74</v>
      </c>
      <c r="BS551" s="1" t="s">
        <v>5074</v>
      </c>
      <c r="BT551" s="1" t="str">
        <f>HYPERLINK("https%3A%2F%2Fwww.webofscience.com%2Fwos%2Fwoscc%2Ffull-record%2FWOS:001384069000001","View Full Record in Web of Science")</f>
        <v>View Full Record in Web of Science</v>
      </c>
    </row>
    <row r="552" ht="12.75" customHeight="1">
      <c r="A552" s="1" t="s">
        <v>72</v>
      </c>
      <c r="B552" s="1" t="s">
        <v>5075</v>
      </c>
      <c r="C552" s="1" t="s">
        <v>74</v>
      </c>
      <c r="D552" s="1" t="s">
        <v>74</v>
      </c>
      <c r="E552" s="1" t="s">
        <v>74</v>
      </c>
      <c r="F552" s="1" t="s">
        <v>5076</v>
      </c>
      <c r="G552" s="1" t="s">
        <v>74</v>
      </c>
      <c r="H552" s="1" t="s">
        <v>74</v>
      </c>
      <c r="I552" s="1" t="s">
        <v>5077</v>
      </c>
      <c r="J552" s="1" t="s">
        <v>4345</v>
      </c>
      <c r="K552" s="1" t="s">
        <v>74</v>
      </c>
      <c r="L552" s="1" t="s">
        <v>74</v>
      </c>
      <c r="M552" s="1" t="s">
        <v>74</v>
      </c>
      <c r="N552" s="1" t="s">
        <v>78</v>
      </c>
      <c r="O552" s="1" t="s">
        <v>74</v>
      </c>
      <c r="P552" s="1" t="s">
        <v>74</v>
      </c>
      <c r="Q552" s="1" t="s">
        <v>74</v>
      </c>
      <c r="R552" s="1" t="s">
        <v>74</v>
      </c>
      <c r="S552" s="1" t="s">
        <v>74</v>
      </c>
      <c r="T552" s="1" t="s">
        <v>5078</v>
      </c>
      <c r="U552" s="1" t="s">
        <v>74</v>
      </c>
      <c r="V552" s="1" t="s">
        <v>5079</v>
      </c>
      <c r="W552" s="1" t="s">
        <v>74</v>
      </c>
      <c r="X552" s="1" t="s">
        <v>74</v>
      </c>
      <c r="Y552" s="1" t="s">
        <v>74</v>
      </c>
      <c r="Z552" s="1" t="s">
        <v>74</v>
      </c>
      <c r="AA552" s="1" t="s">
        <v>74</v>
      </c>
      <c r="AB552" s="1" t="s">
        <v>74</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4349</v>
      </c>
      <c r="AP552" s="1" t="s">
        <v>4350</v>
      </c>
      <c r="AQ552" s="1" t="s">
        <v>74</v>
      </c>
      <c r="AR552" s="1" t="s">
        <v>74</v>
      </c>
      <c r="AS552" s="1" t="s">
        <v>74</v>
      </c>
      <c r="AT552" s="1" t="s">
        <v>688</v>
      </c>
      <c r="AU552" s="1">
        <v>2025.0</v>
      </c>
      <c r="AV552" s="1">
        <v>16.0</v>
      </c>
      <c r="AW552" s="1">
        <v>2.0</v>
      </c>
      <c r="AX552" s="1" t="s">
        <v>74</v>
      </c>
      <c r="AY552" s="1" t="s">
        <v>74</v>
      </c>
      <c r="AZ552" s="1" t="s">
        <v>74</v>
      </c>
      <c r="BA552" s="1" t="s">
        <v>74</v>
      </c>
      <c r="BB552" s="1" t="s">
        <v>74</v>
      </c>
      <c r="BC552" s="1" t="s">
        <v>74</v>
      </c>
      <c r="BD552" s="1">
        <v>15.0</v>
      </c>
      <c r="BE552" s="1" t="s">
        <v>5080</v>
      </c>
      <c r="BF552" s="2" t="str">
        <f>HYPERLINK("http://dx.doi.org/10.1145/3658451","http://dx.doi.org/10.1145/3658451")</f>
        <v>http://dx.doi.org/10.1145/3658451</v>
      </c>
      <c r="BG552" s="1" t="s">
        <v>74</v>
      </c>
      <c r="BH552" s="1" t="s">
        <v>74</v>
      </c>
      <c r="BI552" s="1" t="s">
        <v>74</v>
      </c>
      <c r="BJ552" s="1" t="s">
        <v>74</v>
      </c>
      <c r="BK552" s="1" t="s">
        <v>74</v>
      </c>
      <c r="BL552" s="1" t="s">
        <v>174</v>
      </c>
      <c r="BM552" s="1" t="s">
        <v>74</v>
      </c>
      <c r="BN552" s="1" t="s">
        <v>74</v>
      </c>
      <c r="BO552" s="1" t="s">
        <v>383</v>
      </c>
      <c r="BP552" s="1" t="s">
        <v>74</v>
      </c>
      <c r="BQ552" s="1" t="s">
        <v>74</v>
      </c>
      <c r="BR552" s="1" t="s">
        <v>74</v>
      </c>
      <c r="BS552" s="1" t="s">
        <v>5081</v>
      </c>
      <c r="BT552" s="1" t="str">
        <f>HYPERLINK("https%3A%2F%2Fwww.webofscience.com%2Fwos%2Fwoscc%2Ffull-record%2FWOS:001505065500006","View Full Record in Web of Science")</f>
        <v>View Full Record in Web of Science</v>
      </c>
    </row>
    <row r="553" ht="12.75" customHeight="1">
      <c r="A553" s="1" t="s">
        <v>72</v>
      </c>
      <c r="B553" s="1" t="s">
        <v>5082</v>
      </c>
      <c r="C553" s="1" t="s">
        <v>74</v>
      </c>
      <c r="D553" s="1" t="s">
        <v>74</v>
      </c>
      <c r="E553" s="1" t="s">
        <v>74</v>
      </c>
      <c r="F553" s="1" t="s">
        <v>5083</v>
      </c>
      <c r="G553" s="1" t="s">
        <v>74</v>
      </c>
      <c r="H553" s="1" t="s">
        <v>74</v>
      </c>
      <c r="I553" s="1" t="s">
        <v>5084</v>
      </c>
      <c r="J553" s="1" t="s">
        <v>147</v>
      </c>
      <c r="K553" s="1" t="s">
        <v>74</v>
      </c>
      <c r="L553" s="1" t="s">
        <v>74</v>
      </c>
      <c r="M553" s="1" t="s">
        <v>74</v>
      </c>
      <c r="N553" s="1" t="s">
        <v>78</v>
      </c>
      <c r="O553" s="1" t="s">
        <v>74</v>
      </c>
      <c r="P553" s="1" t="s">
        <v>74</v>
      </c>
      <c r="Q553" s="1" t="s">
        <v>74</v>
      </c>
      <c r="R553" s="1" t="s">
        <v>74</v>
      </c>
      <c r="S553" s="1" t="s">
        <v>74</v>
      </c>
      <c r="T553" s="1" t="s">
        <v>5085</v>
      </c>
      <c r="U553" s="1" t="s">
        <v>74</v>
      </c>
      <c r="V553" s="1" t="s">
        <v>5086</v>
      </c>
      <c r="W553" s="1" t="s">
        <v>74</v>
      </c>
      <c r="X553" s="1" t="s">
        <v>74</v>
      </c>
      <c r="Y553" s="1" t="s">
        <v>74</v>
      </c>
      <c r="Z553" s="1" t="s">
        <v>74</v>
      </c>
      <c r="AA553" s="1" t="s">
        <v>74</v>
      </c>
      <c r="AB553" s="1" t="s">
        <v>74</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150</v>
      </c>
      <c r="AP553" s="1" t="s">
        <v>74</v>
      </c>
      <c r="AQ553" s="1" t="s">
        <v>74</v>
      </c>
      <c r="AR553" s="1" t="s">
        <v>74</v>
      </c>
      <c r="AS553" s="1" t="s">
        <v>74</v>
      </c>
      <c r="AT553" s="1" t="s">
        <v>74</v>
      </c>
      <c r="AU553" s="1">
        <v>2025.0</v>
      </c>
      <c r="AV553" s="1">
        <v>13.0</v>
      </c>
      <c r="AW553" s="1" t="s">
        <v>74</v>
      </c>
      <c r="AX553" s="1" t="s">
        <v>74</v>
      </c>
      <c r="AY553" s="1" t="s">
        <v>74</v>
      </c>
      <c r="AZ553" s="1" t="s">
        <v>74</v>
      </c>
      <c r="BA553" s="1" t="s">
        <v>74</v>
      </c>
      <c r="BB553" s="1">
        <v>141420.0</v>
      </c>
      <c r="BC553" s="1">
        <v>141433.0</v>
      </c>
      <c r="BD553" s="1" t="s">
        <v>74</v>
      </c>
      <c r="BE553" s="1" t="s">
        <v>5087</v>
      </c>
      <c r="BF553" s="2" t="str">
        <f>HYPERLINK("http://dx.doi.org/10.1109/ACCESS.2025.3597601","http://dx.doi.org/10.1109/ACCESS.2025.3597601")</f>
        <v>http://dx.doi.org/10.1109/ACCESS.2025.3597601</v>
      </c>
      <c r="BG553" s="1" t="s">
        <v>74</v>
      </c>
      <c r="BH553" s="1" t="s">
        <v>74</v>
      </c>
      <c r="BI553" s="1" t="s">
        <v>74</v>
      </c>
      <c r="BJ553" s="1" t="s">
        <v>74</v>
      </c>
      <c r="BK553" s="1" t="s">
        <v>74</v>
      </c>
      <c r="BL553" s="1" t="s">
        <v>152</v>
      </c>
      <c r="BM553" s="1" t="s">
        <v>74</v>
      </c>
      <c r="BN553" s="1" t="s">
        <v>74</v>
      </c>
      <c r="BO553" s="1" t="s">
        <v>153</v>
      </c>
      <c r="BP553" s="1" t="s">
        <v>74</v>
      </c>
      <c r="BQ553" s="1" t="s">
        <v>74</v>
      </c>
      <c r="BR553" s="1" t="s">
        <v>74</v>
      </c>
      <c r="BS553" s="1" t="s">
        <v>5088</v>
      </c>
      <c r="BT553" s="1" t="str">
        <f>HYPERLINK("https%3A%2F%2Fwww.webofscience.com%2Fwos%2Fwoscc%2Ffull-record%2FWOS:001551612200012","View Full Record in Web of Science")</f>
        <v>View Full Record in Web of Science</v>
      </c>
    </row>
    <row r="554" ht="12.75" customHeight="1">
      <c r="A554" s="1" t="s">
        <v>72</v>
      </c>
      <c r="B554" s="1" t="s">
        <v>5089</v>
      </c>
      <c r="C554" s="1" t="s">
        <v>74</v>
      </c>
      <c r="D554" s="1" t="s">
        <v>74</v>
      </c>
      <c r="E554" s="1" t="s">
        <v>74</v>
      </c>
      <c r="F554" s="1" t="s">
        <v>5090</v>
      </c>
      <c r="G554" s="1" t="s">
        <v>74</v>
      </c>
      <c r="H554" s="1" t="s">
        <v>74</v>
      </c>
      <c r="I554" s="1" t="s">
        <v>5091</v>
      </c>
      <c r="J554" s="1" t="s">
        <v>840</v>
      </c>
      <c r="K554" s="1" t="s">
        <v>74</v>
      </c>
      <c r="L554" s="1" t="s">
        <v>74</v>
      </c>
      <c r="M554" s="1" t="s">
        <v>74</v>
      </c>
      <c r="N554" s="1" t="s">
        <v>78</v>
      </c>
      <c r="O554" s="1" t="s">
        <v>74</v>
      </c>
      <c r="P554" s="1" t="s">
        <v>74</v>
      </c>
      <c r="Q554" s="1" t="s">
        <v>74</v>
      </c>
      <c r="R554" s="1" t="s">
        <v>74</v>
      </c>
      <c r="S554" s="1" t="s">
        <v>74</v>
      </c>
      <c r="T554" s="1" t="s">
        <v>5092</v>
      </c>
      <c r="U554" s="1" t="s">
        <v>5093</v>
      </c>
      <c r="V554" s="1" t="s">
        <v>5094</v>
      </c>
      <c r="W554" s="1" t="s">
        <v>74</v>
      </c>
      <c r="X554" s="1" t="s">
        <v>74</v>
      </c>
      <c r="Y554" s="1" t="s">
        <v>74</v>
      </c>
      <c r="Z554" s="1" t="s">
        <v>74</v>
      </c>
      <c r="AA554" s="1" t="s">
        <v>74</v>
      </c>
      <c r="AB554" s="1" t="s">
        <v>74</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74</v>
      </c>
      <c r="AP554" s="1" t="s">
        <v>4723</v>
      </c>
      <c r="AQ554" s="1" t="s">
        <v>74</v>
      </c>
      <c r="AR554" s="1" t="s">
        <v>74</v>
      </c>
      <c r="AS554" s="1" t="s">
        <v>74</v>
      </c>
      <c r="AT554" s="1" t="s">
        <v>5095</v>
      </c>
      <c r="AU554" s="1">
        <v>2025.0</v>
      </c>
      <c r="AV554" s="1">
        <v>13.0</v>
      </c>
      <c r="AW554" s="1">
        <v>4.0</v>
      </c>
      <c r="AX554" s="1" t="s">
        <v>74</v>
      </c>
      <c r="AY554" s="1" t="s">
        <v>74</v>
      </c>
      <c r="AZ554" s="1" t="s">
        <v>74</v>
      </c>
      <c r="BA554" s="1" t="s">
        <v>74</v>
      </c>
      <c r="BB554" s="1" t="s">
        <v>74</v>
      </c>
      <c r="BC554" s="1" t="s">
        <v>74</v>
      </c>
      <c r="BD554" s="1">
        <v>240.0</v>
      </c>
      <c r="BE554" s="1" t="s">
        <v>5096</v>
      </c>
      <c r="BF554" s="2" t="str">
        <f>HYPERLINK("http://dx.doi.org/10.3390/systems13040240","http://dx.doi.org/10.3390/systems13040240")</f>
        <v>http://dx.doi.org/10.3390/systems13040240</v>
      </c>
      <c r="BG554" s="1" t="s">
        <v>74</v>
      </c>
      <c r="BH554" s="1" t="s">
        <v>74</v>
      </c>
      <c r="BI554" s="1" t="s">
        <v>74</v>
      </c>
      <c r="BJ554" s="1" t="s">
        <v>74</v>
      </c>
      <c r="BK554" s="1" t="s">
        <v>74</v>
      </c>
      <c r="BL554" s="1" t="s">
        <v>615</v>
      </c>
      <c r="BM554" s="1" t="s">
        <v>74</v>
      </c>
      <c r="BN554" s="1" t="s">
        <v>74</v>
      </c>
      <c r="BO554" s="1" t="s">
        <v>163</v>
      </c>
      <c r="BP554" s="1" t="s">
        <v>74</v>
      </c>
      <c r="BQ554" s="1" t="s">
        <v>74</v>
      </c>
      <c r="BR554" s="1" t="s">
        <v>74</v>
      </c>
      <c r="BS554" s="1" t="s">
        <v>5097</v>
      </c>
      <c r="BT554" s="1" t="str">
        <f>HYPERLINK("https%3A%2F%2Fwww.webofscience.com%2Fwos%2Fwoscc%2Ffull-record%2FWOS:001475621400001","View Full Record in Web of Science")</f>
        <v>View Full Record in Web of Science</v>
      </c>
    </row>
    <row r="555" ht="12.75" customHeight="1">
      <c r="A555" s="1" t="s">
        <v>72</v>
      </c>
      <c r="B555" s="1" t="s">
        <v>5098</v>
      </c>
      <c r="C555" s="1" t="s">
        <v>74</v>
      </c>
      <c r="D555" s="1" t="s">
        <v>74</v>
      </c>
      <c r="E555" s="1" t="s">
        <v>74</v>
      </c>
      <c r="F555" s="1" t="s">
        <v>5099</v>
      </c>
      <c r="G555" s="1" t="s">
        <v>74</v>
      </c>
      <c r="H555" s="1" t="s">
        <v>74</v>
      </c>
      <c r="I555" s="1" t="s">
        <v>5100</v>
      </c>
      <c r="J555" s="1" t="s">
        <v>1272</v>
      </c>
      <c r="K555" s="1" t="s">
        <v>74</v>
      </c>
      <c r="L555" s="1" t="s">
        <v>74</v>
      </c>
      <c r="M555" s="1" t="s">
        <v>74</v>
      </c>
      <c r="N555" s="1" t="s">
        <v>78</v>
      </c>
      <c r="O555" s="1" t="s">
        <v>74</v>
      </c>
      <c r="P555" s="1" t="s">
        <v>74</v>
      </c>
      <c r="Q555" s="1" t="s">
        <v>74</v>
      </c>
      <c r="R555" s="1" t="s">
        <v>74</v>
      </c>
      <c r="S555" s="1" t="s">
        <v>74</v>
      </c>
      <c r="T555" s="1" t="s">
        <v>5101</v>
      </c>
      <c r="U555" s="1" t="s">
        <v>74</v>
      </c>
      <c r="V555" s="1" t="s">
        <v>5102</v>
      </c>
      <c r="W555" s="1" t="s">
        <v>74</v>
      </c>
      <c r="X555" s="1" t="s">
        <v>74</v>
      </c>
      <c r="Y555" s="1" t="s">
        <v>74</v>
      </c>
      <c r="Z555" s="1" t="s">
        <v>74</v>
      </c>
      <c r="AA555" s="1" t="s">
        <v>74</v>
      </c>
      <c r="AB555" s="1" t="s">
        <v>74</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1276</v>
      </c>
      <c r="AP555" s="1" t="s">
        <v>1277</v>
      </c>
      <c r="AQ555" s="1" t="s">
        <v>74</v>
      </c>
      <c r="AR555" s="1" t="s">
        <v>74</v>
      </c>
      <c r="AS555" s="1" t="s">
        <v>74</v>
      </c>
      <c r="AT555" s="1" t="s">
        <v>5103</v>
      </c>
      <c r="AU555" s="1">
        <v>2025.0</v>
      </c>
      <c r="AV555" s="1">
        <v>81.0</v>
      </c>
      <c r="AW555" s="1">
        <v>8.0</v>
      </c>
      <c r="AX555" s="1" t="s">
        <v>74</v>
      </c>
      <c r="AY555" s="1" t="s">
        <v>74</v>
      </c>
      <c r="AZ555" s="1" t="s">
        <v>74</v>
      </c>
      <c r="BA555" s="1" t="s">
        <v>74</v>
      </c>
      <c r="BB555" s="1" t="s">
        <v>74</v>
      </c>
      <c r="BC555" s="1" t="s">
        <v>74</v>
      </c>
      <c r="BD555" s="1">
        <v>965.0</v>
      </c>
      <c r="BE555" s="1" t="s">
        <v>5104</v>
      </c>
      <c r="BF555" s="2" t="str">
        <f>HYPERLINK("http://dx.doi.org/10.1007/s11227-025-07389-2","http://dx.doi.org/10.1007/s11227-025-07389-2")</f>
        <v>http://dx.doi.org/10.1007/s11227-025-07389-2</v>
      </c>
      <c r="BG555" s="1" t="s">
        <v>74</v>
      </c>
      <c r="BH555" s="1" t="s">
        <v>74</v>
      </c>
      <c r="BI555" s="1" t="s">
        <v>74</v>
      </c>
      <c r="BJ555" s="1" t="s">
        <v>74</v>
      </c>
      <c r="BK555" s="1" t="s">
        <v>74</v>
      </c>
      <c r="BL555" s="1" t="s">
        <v>98</v>
      </c>
      <c r="BM555" s="1" t="s">
        <v>74</v>
      </c>
      <c r="BN555" s="1" t="s">
        <v>74</v>
      </c>
      <c r="BO555" s="1" t="s">
        <v>74</v>
      </c>
      <c r="BP555" s="1" t="s">
        <v>74</v>
      </c>
      <c r="BQ555" s="1" t="s">
        <v>74</v>
      </c>
      <c r="BR555" s="1" t="s">
        <v>74</v>
      </c>
      <c r="BS555" s="1" t="s">
        <v>5105</v>
      </c>
      <c r="BT555" s="1" t="str">
        <f>HYPERLINK("https%3A%2F%2Fwww.webofscience.com%2Fwos%2Fwoscc%2Ffull-record%2FWOS:001502348000004","View Full Record in Web of Science")</f>
        <v>View Full Record in Web of Science</v>
      </c>
    </row>
    <row r="556" ht="12.75" customHeight="1">
      <c r="A556" s="1" t="s">
        <v>72</v>
      </c>
      <c r="B556" s="1" t="s">
        <v>5106</v>
      </c>
      <c r="C556" s="1" t="s">
        <v>74</v>
      </c>
      <c r="D556" s="1" t="s">
        <v>74</v>
      </c>
      <c r="E556" s="1" t="s">
        <v>74</v>
      </c>
      <c r="F556" s="1" t="s">
        <v>5107</v>
      </c>
      <c r="G556" s="1" t="s">
        <v>74</v>
      </c>
      <c r="H556" s="1" t="s">
        <v>74</v>
      </c>
      <c r="I556" s="1" t="s">
        <v>5108</v>
      </c>
      <c r="J556" s="1" t="s">
        <v>785</v>
      </c>
      <c r="K556" s="1" t="s">
        <v>74</v>
      </c>
      <c r="L556" s="1" t="s">
        <v>74</v>
      </c>
      <c r="M556" s="1" t="s">
        <v>74</v>
      </c>
      <c r="N556" s="1" t="s">
        <v>78</v>
      </c>
      <c r="O556" s="1" t="s">
        <v>74</v>
      </c>
      <c r="P556" s="1" t="s">
        <v>74</v>
      </c>
      <c r="Q556" s="1" t="s">
        <v>74</v>
      </c>
      <c r="R556" s="1" t="s">
        <v>74</v>
      </c>
      <c r="S556" s="1" t="s">
        <v>74</v>
      </c>
      <c r="T556" s="1" t="s">
        <v>5109</v>
      </c>
      <c r="U556" s="1" t="s">
        <v>74</v>
      </c>
      <c r="V556" s="1" t="s">
        <v>5110</v>
      </c>
      <c r="W556" s="1" t="s">
        <v>74</v>
      </c>
      <c r="X556" s="1" t="s">
        <v>74</v>
      </c>
      <c r="Y556" s="1" t="s">
        <v>74</v>
      </c>
      <c r="Z556" s="1" t="s">
        <v>74</v>
      </c>
      <c r="AA556" s="1" t="s">
        <v>74</v>
      </c>
      <c r="AB556" s="1" t="s">
        <v>74</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74</v>
      </c>
      <c r="AP556" s="1" t="s">
        <v>788</v>
      </c>
      <c r="AQ556" s="1" t="s">
        <v>74</v>
      </c>
      <c r="AR556" s="1" t="s">
        <v>74</v>
      </c>
      <c r="AS556" s="1" t="s">
        <v>74</v>
      </c>
      <c r="AT556" s="1" t="s">
        <v>74</v>
      </c>
      <c r="AU556" s="1">
        <v>2024.0</v>
      </c>
      <c r="AV556" s="1">
        <v>4.0</v>
      </c>
      <c r="AW556" s="1">
        <v>4.0</v>
      </c>
      <c r="AX556" s="1" t="s">
        <v>74</v>
      </c>
      <c r="AY556" s="1" t="s">
        <v>74</v>
      </c>
      <c r="AZ556" s="1" t="s">
        <v>74</v>
      </c>
      <c r="BA556" s="1" t="s">
        <v>74</v>
      </c>
      <c r="BB556" s="1">
        <v>2810.0</v>
      </c>
      <c r="BC556" s="1">
        <v>2823.0</v>
      </c>
      <c r="BD556" s="1" t="s">
        <v>74</v>
      </c>
      <c r="BE556" s="1" t="s">
        <v>5111</v>
      </c>
      <c r="BF556" s="2" t="str">
        <f>HYPERLINK("http://dx.doi.org/10.54364/AAIML.2024.44163","http://dx.doi.org/10.54364/AAIML.2024.44163")</f>
        <v>http://dx.doi.org/10.54364/AAIML.2024.44163</v>
      </c>
      <c r="BG556" s="1" t="s">
        <v>74</v>
      </c>
      <c r="BH556" s="1" t="s">
        <v>74</v>
      </c>
      <c r="BI556" s="1" t="s">
        <v>74</v>
      </c>
      <c r="BJ556" s="1" t="s">
        <v>74</v>
      </c>
      <c r="BK556" s="1" t="s">
        <v>74</v>
      </c>
      <c r="BL556" s="1" t="s">
        <v>174</v>
      </c>
      <c r="BM556" s="1" t="s">
        <v>74</v>
      </c>
      <c r="BN556" s="1" t="s">
        <v>74</v>
      </c>
      <c r="BO556" s="1" t="s">
        <v>383</v>
      </c>
      <c r="BP556" s="1" t="s">
        <v>74</v>
      </c>
      <c r="BQ556" s="1" t="s">
        <v>74</v>
      </c>
      <c r="BR556" s="1" t="s">
        <v>74</v>
      </c>
      <c r="BS556" s="1" t="s">
        <v>5112</v>
      </c>
      <c r="BT556" s="1" t="str">
        <f>HYPERLINK("https%3A%2F%2Fwww.webofscience.com%2Fwos%2Fwoscc%2Ffull-record%2FWOS:001430347600001","View Full Record in Web of Science")</f>
        <v>View Full Record in Web of Science</v>
      </c>
    </row>
    <row r="557" ht="12.75" customHeight="1">
      <c r="A557" s="1" t="s">
        <v>72</v>
      </c>
      <c r="B557" s="1" t="s">
        <v>5113</v>
      </c>
      <c r="C557" s="1" t="s">
        <v>74</v>
      </c>
      <c r="D557" s="1" t="s">
        <v>74</v>
      </c>
      <c r="E557" s="1" t="s">
        <v>74</v>
      </c>
      <c r="F557" s="1" t="s">
        <v>5114</v>
      </c>
      <c r="G557" s="1" t="s">
        <v>74</v>
      </c>
      <c r="H557" s="1" t="s">
        <v>74</v>
      </c>
      <c r="I557" s="1" t="s">
        <v>5115</v>
      </c>
      <c r="J557" s="1" t="s">
        <v>1155</v>
      </c>
      <c r="K557" s="1" t="s">
        <v>74</v>
      </c>
      <c r="L557" s="1" t="s">
        <v>74</v>
      </c>
      <c r="M557" s="1" t="s">
        <v>74</v>
      </c>
      <c r="N557" s="1" t="s">
        <v>78</v>
      </c>
      <c r="O557" s="1" t="s">
        <v>74</v>
      </c>
      <c r="P557" s="1" t="s">
        <v>74</v>
      </c>
      <c r="Q557" s="1" t="s">
        <v>74</v>
      </c>
      <c r="R557" s="1" t="s">
        <v>74</v>
      </c>
      <c r="S557" s="1" t="s">
        <v>74</v>
      </c>
      <c r="T557" s="1" t="s">
        <v>5116</v>
      </c>
      <c r="U557" s="1" t="s">
        <v>5117</v>
      </c>
      <c r="V557" s="1" t="s">
        <v>5118</v>
      </c>
      <c r="W557" s="1" t="s">
        <v>74</v>
      </c>
      <c r="X557" s="1" t="s">
        <v>74</v>
      </c>
      <c r="Y557" s="1" t="s">
        <v>74</v>
      </c>
      <c r="Z557" s="1" t="s">
        <v>74</v>
      </c>
      <c r="AA557" s="1" t="s">
        <v>74</v>
      </c>
      <c r="AB557" s="1" t="s">
        <v>74</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1158</v>
      </c>
      <c r="AP557" s="1" t="s">
        <v>74</v>
      </c>
      <c r="AQ557" s="1" t="s">
        <v>74</v>
      </c>
      <c r="AR557" s="1" t="s">
        <v>74</v>
      </c>
      <c r="AS557" s="1" t="s">
        <v>74</v>
      </c>
      <c r="AT557" s="1" t="s">
        <v>357</v>
      </c>
      <c r="AU557" s="1">
        <v>2025.0</v>
      </c>
      <c r="AV557" s="1">
        <v>12.0</v>
      </c>
      <c r="AW557" s="1">
        <v>5.0</v>
      </c>
      <c r="AX557" s="1" t="s">
        <v>74</v>
      </c>
      <c r="AY557" s="1" t="s">
        <v>74</v>
      </c>
      <c r="AZ557" s="1" t="s">
        <v>74</v>
      </c>
      <c r="BA557" s="1" t="s">
        <v>74</v>
      </c>
      <c r="BB557" s="1">
        <v>3455.0</v>
      </c>
      <c r="BC557" s="1">
        <v>3464.0</v>
      </c>
      <c r="BD557" s="1" t="s">
        <v>74</v>
      </c>
      <c r="BE557" s="1" t="s">
        <v>5119</v>
      </c>
      <c r="BF557" s="2" t="str">
        <f>HYPERLINK("http://dx.doi.org/10.1109/TCSS.2025.3556397","http://dx.doi.org/10.1109/TCSS.2025.3556397")</f>
        <v>http://dx.doi.org/10.1109/TCSS.2025.3556397</v>
      </c>
      <c r="BG557" s="1" t="s">
        <v>74</v>
      </c>
      <c r="BH557" s="1" t="s">
        <v>526</v>
      </c>
      <c r="BI557" s="1" t="s">
        <v>74</v>
      </c>
      <c r="BJ557" s="1" t="s">
        <v>74</v>
      </c>
      <c r="BK557" s="1" t="s">
        <v>74</v>
      </c>
      <c r="BL557" s="1" t="s">
        <v>174</v>
      </c>
      <c r="BM557" s="1" t="s">
        <v>74</v>
      </c>
      <c r="BN557" s="1" t="s">
        <v>74</v>
      </c>
      <c r="BO557" s="1" t="s">
        <v>74</v>
      </c>
      <c r="BP557" s="1" t="s">
        <v>74</v>
      </c>
      <c r="BQ557" s="1" t="s">
        <v>74</v>
      </c>
      <c r="BR557" s="1" t="s">
        <v>74</v>
      </c>
      <c r="BS557" s="1" t="s">
        <v>5120</v>
      </c>
      <c r="BT557" s="1" t="str">
        <f>HYPERLINK("https%3A%2F%2Fwww.webofscience.com%2Fwos%2Fwoscc%2Ffull-record%2FWOS:001480240500001","View Full Record in Web of Science")</f>
        <v>View Full Record in Web of Science</v>
      </c>
    </row>
    <row r="558" ht="12.75" customHeight="1">
      <c r="A558" s="1" t="s">
        <v>72</v>
      </c>
      <c r="B558" s="1" t="s">
        <v>5121</v>
      </c>
      <c r="C558" s="1" t="s">
        <v>74</v>
      </c>
      <c r="D558" s="1" t="s">
        <v>74</v>
      </c>
      <c r="E558" s="1" t="s">
        <v>74</v>
      </c>
      <c r="F558" s="1" t="s">
        <v>5122</v>
      </c>
      <c r="G558" s="1" t="s">
        <v>74</v>
      </c>
      <c r="H558" s="1" t="s">
        <v>74</v>
      </c>
      <c r="I558" s="1" t="s">
        <v>5123</v>
      </c>
      <c r="J558" s="1" t="s">
        <v>147</v>
      </c>
      <c r="K558" s="1" t="s">
        <v>74</v>
      </c>
      <c r="L558" s="1" t="s">
        <v>74</v>
      </c>
      <c r="M558" s="1" t="s">
        <v>74</v>
      </c>
      <c r="N558" s="1" t="s">
        <v>78</v>
      </c>
      <c r="O558" s="1" t="s">
        <v>74</v>
      </c>
      <c r="P558" s="1" t="s">
        <v>74</v>
      </c>
      <c r="Q558" s="1" t="s">
        <v>74</v>
      </c>
      <c r="R558" s="1" t="s">
        <v>74</v>
      </c>
      <c r="S558" s="1" t="s">
        <v>74</v>
      </c>
      <c r="T558" s="1" t="s">
        <v>5124</v>
      </c>
      <c r="U558" s="1" t="s">
        <v>5125</v>
      </c>
      <c r="V558" s="1" t="s">
        <v>5126</v>
      </c>
      <c r="W558" s="1" t="s">
        <v>74</v>
      </c>
      <c r="X558" s="1" t="s">
        <v>74</v>
      </c>
      <c r="Y558" s="1" t="s">
        <v>74</v>
      </c>
      <c r="Z558" s="1" t="s">
        <v>74</v>
      </c>
      <c r="AA558" s="1" t="s">
        <v>74</v>
      </c>
      <c r="AB558" s="1" t="s">
        <v>74</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150</v>
      </c>
      <c r="AP558" s="1" t="s">
        <v>74</v>
      </c>
      <c r="AQ558" s="1" t="s">
        <v>74</v>
      </c>
      <c r="AR558" s="1" t="s">
        <v>74</v>
      </c>
      <c r="AS558" s="1" t="s">
        <v>74</v>
      </c>
      <c r="AT558" s="1" t="s">
        <v>74</v>
      </c>
      <c r="AU558" s="1">
        <v>2025.0</v>
      </c>
      <c r="AV558" s="1">
        <v>13.0</v>
      </c>
      <c r="AW558" s="1" t="s">
        <v>74</v>
      </c>
      <c r="AX558" s="1" t="s">
        <v>74</v>
      </c>
      <c r="AY558" s="1" t="s">
        <v>74</v>
      </c>
      <c r="AZ558" s="1" t="s">
        <v>74</v>
      </c>
      <c r="BA558" s="1" t="s">
        <v>74</v>
      </c>
      <c r="BB558" s="1">
        <v>201565.0</v>
      </c>
      <c r="BC558" s="1">
        <v>201576.0</v>
      </c>
      <c r="BD558" s="1" t="s">
        <v>74</v>
      </c>
      <c r="BE558" s="1" t="s">
        <v>5127</v>
      </c>
      <c r="BF558" s="2" t="str">
        <f>HYPERLINK("http://dx.doi.org/10.1109/ACCESS.2025.3638429","http://dx.doi.org/10.1109/ACCESS.2025.3638429")</f>
        <v>http://dx.doi.org/10.1109/ACCESS.2025.3638429</v>
      </c>
      <c r="BG558" s="1" t="s">
        <v>74</v>
      </c>
      <c r="BH558" s="1" t="s">
        <v>74</v>
      </c>
      <c r="BI558" s="1" t="s">
        <v>74</v>
      </c>
      <c r="BJ558" s="1" t="s">
        <v>74</v>
      </c>
      <c r="BK558" s="1" t="s">
        <v>74</v>
      </c>
      <c r="BL558" s="1" t="s">
        <v>152</v>
      </c>
      <c r="BM558" s="1" t="s">
        <v>74</v>
      </c>
      <c r="BN558" s="1" t="s">
        <v>74</v>
      </c>
      <c r="BO558" s="1" t="s">
        <v>153</v>
      </c>
      <c r="BP558" s="1" t="s">
        <v>74</v>
      </c>
      <c r="BQ558" s="1" t="s">
        <v>74</v>
      </c>
      <c r="BR558" s="1" t="s">
        <v>74</v>
      </c>
      <c r="BS558" s="1" t="s">
        <v>5128</v>
      </c>
      <c r="BT558" s="1" t="str">
        <f>HYPERLINK("https%3A%2F%2Fwww.webofscience.com%2Fwos%2Fwoscc%2Ffull-record%2FWOS:001631912500005","View Full Record in Web of Science")</f>
        <v>View Full Record in Web of Science</v>
      </c>
    </row>
    <row r="559" ht="12.75" customHeight="1">
      <c r="A559" s="1" t="s">
        <v>72</v>
      </c>
      <c r="B559" s="1" t="s">
        <v>5129</v>
      </c>
      <c r="C559" s="1" t="s">
        <v>74</v>
      </c>
      <c r="D559" s="1" t="s">
        <v>74</v>
      </c>
      <c r="E559" s="1" t="s">
        <v>74</v>
      </c>
      <c r="F559" s="1" t="s">
        <v>5130</v>
      </c>
      <c r="G559" s="1" t="s">
        <v>74</v>
      </c>
      <c r="H559" s="1" t="s">
        <v>74</v>
      </c>
      <c r="I559" s="1" t="s">
        <v>5131</v>
      </c>
      <c r="J559" s="1" t="s">
        <v>793</v>
      </c>
      <c r="K559" s="1" t="s">
        <v>74</v>
      </c>
      <c r="L559" s="1" t="s">
        <v>74</v>
      </c>
      <c r="M559" s="1" t="s">
        <v>74</v>
      </c>
      <c r="N559" s="1" t="s">
        <v>78</v>
      </c>
      <c r="O559" s="1" t="s">
        <v>74</v>
      </c>
      <c r="P559" s="1" t="s">
        <v>74</v>
      </c>
      <c r="Q559" s="1" t="s">
        <v>74</v>
      </c>
      <c r="R559" s="1" t="s">
        <v>74</v>
      </c>
      <c r="S559" s="1" t="s">
        <v>74</v>
      </c>
      <c r="T559" s="1" t="s">
        <v>5132</v>
      </c>
      <c r="U559" s="1" t="s">
        <v>74</v>
      </c>
      <c r="V559" s="1" t="s">
        <v>5133</v>
      </c>
      <c r="W559" s="1" t="s">
        <v>74</v>
      </c>
      <c r="X559" s="1" t="s">
        <v>74</v>
      </c>
      <c r="Y559" s="1" t="s">
        <v>74</v>
      </c>
      <c r="Z559" s="1" t="s">
        <v>74</v>
      </c>
      <c r="AA559" s="1" t="s">
        <v>74</v>
      </c>
      <c r="AB559" s="1" t="s">
        <v>74</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797</v>
      </c>
      <c r="AP559" s="1" t="s">
        <v>74</v>
      </c>
      <c r="AQ559" s="1" t="s">
        <v>74</v>
      </c>
      <c r="AR559" s="1" t="s">
        <v>74</v>
      </c>
      <c r="AS559" s="1" t="s">
        <v>74</v>
      </c>
      <c r="AT559" s="1" t="s">
        <v>5134</v>
      </c>
      <c r="AU559" s="1">
        <v>2025.0</v>
      </c>
      <c r="AV559" s="1">
        <v>17.0</v>
      </c>
      <c r="AW559" s="1">
        <v>6.0</v>
      </c>
      <c r="AX559" s="1" t="s">
        <v>74</v>
      </c>
      <c r="AY559" s="1" t="s">
        <v>74</v>
      </c>
      <c r="AZ559" s="1" t="s">
        <v>74</v>
      </c>
      <c r="BA559" s="1" t="s">
        <v>74</v>
      </c>
      <c r="BB559" s="1" t="s">
        <v>74</v>
      </c>
      <c r="BC559" s="1" t="s">
        <v>74</v>
      </c>
      <c r="BD559" s="1">
        <v>239.0</v>
      </c>
      <c r="BE559" s="1" t="s">
        <v>5135</v>
      </c>
      <c r="BF559" s="2" t="str">
        <f>HYPERLINK("http://dx.doi.org/10.3390/fi17060239","http://dx.doi.org/10.3390/fi17060239")</f>
        <v>http://dx.doi.org/10.3390/fi17060239</v>
      </c>
      <c r="BG559" s="1" t="s">
        <v>74</v>
      </c>
      <c r="BH559" s="1" t="s">
        <v>74</v>
      </c>
      <c r="BI559" s="1" t="s">
        <v>74</v>
      </c>
      <c r="BJ559" s="1" t="s">
        <v>74</v>
      </c>
      <c r="BK559" s="1" t="s">
        <v>74</v>
      </c>
      <c r="BL559" s="1" t="s">
        <v>174</v>
      </c>
      <c r="BM559" s="1" t="s">
        <v>74</v>
      </c>
      <c r="BN559" s="1" t="s">
        <v>74</v>
      </c>
      <c r="BO559" s="1" t="s">
        <v>163</v>
      </c>
      <c r="BP559" s="1" t="s">
        <v>74</v>
      </c>
      <c r="BQ559" s="1" t="s">
        <v>74</v>
      </c>
      <c r="BR559" s="1" t="s">
        <v>74</v>
      </c>
      <c r="BS559" s="1" t="s">
        <v>5136</v>
      </c>
      <c r="BT559" s="1" t="str">
        <f>HYPERLINK("https%3A%2F%2Fwww.webofscience.com%2Fwos%2Fwoscc%2Ffull-record%2FWOS:001515681400001","View Full Record in Web of Science")</f>
        <v>View Full Record in Web of Science</v>
      </c>
    </row>
    <row r="560" ht="12.75" customHeight="1">
      <c r="A560" s="1" t="s">
        <v>72</v>
      </c>
      <c r="B560" s="1" t="s">
        <v>5137</v>
      </c>
      <c r="C560" s="1" t="s">
        <v>74</v>
      </c>
      <c r="D560" s="1" t="s">
        <v>74</v>
      </c>
      <c r="E560" s="1" t="s">
        <v>74</v>
      </c>
      <c r="F560" s="1" t="s">
        <v>5138</v>
      </c>
      <c r="G560" s="1" t="s">
        <v>74</v>
      </c>
      <c r="H560" s="1" t="s">
        <v>74</v>
      </c>
      <c r="I560" s="1" t="s">
        <v>5139</v>
      </c>
      <c r="J560" s="1" t="s">
        <v>3028</v>
      </c>
      <c r="K560" s="1" t="s">
        <v>74</v>
      </c>
      <c r="L560" s="1" t="s">
        <v>74</v>
      </c>
      <c r="M560" s="1" t="s">
        <v>74</v>
      </c>
      <c r="N560" s="1" t="s">
        <v>78</v>
      </c>
      <c r="O560" s="1" t="s">
        <v>74</v>
      </c>
      <c r="P560" s="1" t="s">
        <v>74</v>
      </c>
      <c r="Q560" s="1" t="s">
        <v>74</v>
      </c>
      <c r="R560" s="1" t="s">
        <v>74</v>
      </c>
      <c r="S560" s="1" t="s">
        <v>74</v>
      </c>
      <c r="T560" s="1" t="s">
        <v>5140</v>
      </c>
      <c r="U560" s="1" t="s">
        <v>74</v>
      </c>
      <c r="V560" s="1" t="s">
        <v>5141</v>
      </c>
      <c r="W560" s="1" t="s">
        <v>74</v>
      </c>
      <c r="X560" s="1" t="s">
        <v>74</v>
      </c>
      <c r="Y560" s="1" t="s">
        <v>74</v>
      </c>
      <c r="Z560" s="1" t="s">
        <v>74</v>
      </c>
      <c r="AA560" s="1" t="s">
        <v>74</v>
      </c>
      <c r="AB560" s="1" t="s">
        <v>74</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74</v>
      </c>
      <c r="AP560" s="1" t="s">
        <v>3031</v>
      </c>
      <c r="AQ560" s="1" t="s">
        <v>74</v>
      </c>
      <c r="AR560" s="1" t="s">
        <v>74</v>
      </c>
      <c r="AS560" s="1" t="s">
        <v>74</v>
      </c>
      <c r="AT560" s="1" t="s">
        <v>200</v>
      </c>
      <c r="AU560" s="1">
        <v>2025.0</v>
      </c>
      <c r="AV560" s="1">
        <v>22.0</v>
      </c>
      <c r="AW560" s="1" t="s">
        <v>74</v>
      </c>
      <c r="AX560" s="1" t="s">
        <v>74</v>
      </c>
      <c r="AY560" s="1" t="s">
        <v>74</v>
      </c>
      <c r="AZ560" s="1" t="s">
        <v>74</v>
      </c>
      <c r="BA560" s="1" t="s">
        <v>74</v>
      </c>
      <c r="BB560" s="1" t="s">
        <v>74</v>
      </c>
      <c r="BC560" s="1" t="s">
        <v>74</v>
      </c>
      <c r="BD560" s="1">
        <v>100795.0</v>
      </c>
      <c r="BE560" s="1" t="s">
        <v>5142</v>
      </c>
      <c r="BF560" s="2" t="str">
        <f>HYPERLINK("http://dx.doi.org/10.1016/j.mlwa.2025.100795","http://dx.doi.org/10.1016/j.mlwa.2025.100795")</f>
        <v>http://dx.doi.org/10.1016/j.mlwa.2025.100795</v>
      </c>
      <c r="BG560" s="1" t="s">
        <v>74</v>
      </c>
      <c r="BH560" s="1" t="s">
        <v>255</v>
      </c>
      <c r="BI560" s="1" t="s">
        <v>74</v>
      </c>
      <c r="BJ560" s="1" t="s">
        <v>74</v>
      </c>
      <c r="BK560" s="1" t="s">
        <v>74</v>
      </c>
      <c r="BL560" s="1" t="s">
        <v>174</v>
      </c>
      <c r="BM560" s="1" t="s">
        <v>74</v>
      </c>
      <c r="BN560" s="1" t="s">
        <v>74</v>
      </c>
      <c r="BO560" s="1" t="s">
        <v>5143</v>
      </c>
      <c r="BP560" s="1" t="s">
        <v>74</v>
      </c>
      <c r="BQ560" s="1" t="s">
        <v>74</v>
      </c>
      <c r="BR560" s="1" t="s">
        <v>74</v>
      </c>
      <c r="BS560" s="1" t="s">
        <v>5144</v>
      </c>
      <c r="BT560" s="1" t="str">
        <f>HYPERLINK("https%3A%2F%2Fwww.webofscience.com%2Fwos%2Fwoscc%2Ffull-record%2FWOS:001629206600001","View Full Record in Web of Science")</f>
        <v>View Full Record in Web of Science</v>
      </c>
    </row>
    <row r="561" ht="12.75" customHeight="1">
      <c r="A561" s="1" t="s">
        <v>72</v>
      </c>
      <c r="B561" s="1" t="s">
        <v>5145</v>
      </c>
      <c r="C561" s="1" t="s">
        <v>74</v>
      </c>
      <c r="D561" s="1" t="s">
        <v>74</v>
      </c>
      <c r="E561" s="1" t="s">
        <v>74</v>
      </c>
      <c r="F561" s="1" t="s">
        <v>5146</v>
      </c>
      <c r="G561" s="1" t="s">
        <v>74</v>
      </c>
      <c r="H561" s="1" t="s">
        <v>74</v>
      </c>
      <c r="I561" s="1" t="s">
        <v>5147</v>
      </c>
      <c r="J561" s="1" t="s">
        <v>1740</v>
      </c>
      <c r="K561" s="1" t="s">
        <v>74</v>
      </c>
      <c r="L561" s="1" t="s">
        <v>74</v>
      </c>
      <c r="M561" s="1" t="s">
        <v>74</v>
      </c>
      <c r="N561" s="1" t="s">
        <v>78</v>
      </c>
      <c r="O561" s="1" t="s">
        <v>74</v>
      </c>
      <c r="P561" s="1" t="s">
        <v>74</v>
      </c>
      <c r="Q561" s="1" t="s">
        <v>74</v>
      </c>
      <c r="R561" s="1" t="s">
        <v>74</v>
      </c>
      <c r="S561" s="1" t="s">
        <v>74</v>
      </c>
      <c r="T561" s="1" t="s">
        <v>5148</v>
      </c>
      <c r="U561" s="1" t="s">
        <v>74</v>
      </c>
      <c r="V561" s="1" t="s">
        <v>5149</v>
      </c>
      <c r="W561" s="1" t="s">
        <v>74</v>
      </c>
      <c r="X561" s="1" t="s">
        <v>74</v>
      </c>
      <c r="Y561" s="1" t="s">
        <v>74</v>
      </c>
      <c r="Z561" s="1" t="s">
        <v>74</v>
      </c>
      <c r="AA561" s="1" t="s">
        <v>74</v>
      </c>
      <c r="AB561" s="1" t="s">
        <v>74</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1744</v>
      </c>
      <c r="AP561" s="1" t="s">
        <v>1745</v>
      </c>
      <c r="AQ561" s="1" t="s">
        <v>74</v>
      </c>
      <c r="AR561" s="1" t="s">
        <v>74</v>
      </c>
      <c r="AS561" s="1" t="s">
        <v>74</v>
      </c>
      <c r="AT561" s="1" t="s">
        <v>688</v>
      </c>
      <c r="AU561" s="1">
        <v>2026.0</v>
      </c>
      <c r="AV561" s="1">
        <v>207.0</v>
      </c>
      <c r="AW561" s="1" t="s">
        <v>74</v>
      </c>
      <c r="AX561" s="1" t="s">
        <v>74</v>
      </c>
      <c r="AY561" s="1" t="s">
        <v>74</v>
      </c>
      <c r="AZ561" s="1" t="s">
        <v>74</v>
      </c>
      <c r="BA561" s="1" t="s">
        <v>74</v>
      </c>
      <c r="BB561" s="1" t="s">
        <v>74</v>
      </c>
      <c r="BC561" s="1" t="s">
        <v>74</v>
      </c>
      <c r="BD561" s="1">
        <v>104599.0</v>
      </c>
      <c r="BE561" s="1" t="s">
        <v>5150</v>
      </c>
      <c r="BF561" s="2" t="str">
        <f>HYPERLINK("http://dx.doi.org/10.1016/j.tre.2025.104599","http://dx.doi.org/10.1016/j.tre.2025.104599")</f>
        <v>http://dx.doi.org/10.1016/j.tre.2025.104599</v>
      </c>
      <c r="BG561" s="1" t="s">
        <v>74</v>
      </c>
      <c r="BH561" s="1" t="s">
        <v>605</v>
      </c>
      <c r="BI561" s="1" t="s">
        <v>74</v>
      </c>
      <c r="BJ561" s="1" t="s">
        <v>74</v>
      </c>
      <c r="BK561" s="1" t="s">
        <v>74</v>
      </c>
      <c r="BL561" s="1" t="s">
        <v>1748</v>
      </c>
      <c r="BM561" s="1" t="s">
        <v>74</v>
      </c>
      <c r="BN561" s="1" t="s">
        <v>74</v>
      </c>
      <c r="BO561" s="1" t="s">
        <v>114</v>
      </c>
      <c r="BP561" s="1" t="s">
        <v>74</v>
      </c>
      <c r="BQ561" s="1" t="s">
        <v>74</v>
      </c>
      <c r="BR561" s="1" t="s">
        <v>74</v>
      </c>
      <c r="BS561" s="1" t="s">
        <v>5151</v>
      </c>
      <c r="BT561" s="1" t="str">
        <f>HYPERLINK("https%3A%2F%2Fwww.webofscience.com%2Fwos%2Fwoscc%2Ffull-record%2FWOS:001650011700001","View Full Record in Web of Science")</f>
        <v>View Full Record in Web of Science</v>
      </c>
    </row>
    <row r="562" ht="12.75" customHeight="1">
      <c r="A562" s="1" t="s">
        <v>72</v>
      </c>
      <c r="B562" s="1" t="s">
        <v>5152</v>
      </c>
      <c r="C562" s="1" t="s">
        <v>74</v>
      </c>
      <c r="D562" s="1" t="s">
        <v>74</v>
      </c>
      <c r="E562" s="1" t="s">
        <v>74</v>
      </c>
      <c r="F562" s="1" t="s">
        <v>5153</v>
      </c>
      <c r="G562" s="1" t="s">
        <v>74</v>
      </c>
      <c r="H562" s="1" t="s">
        <v>74</v>
      </c>
      <c r="I562" s="1" t="s">
        <v>5154</v>
      </c>
      <c r="J562" s="1" t="s">
        <v>5155</v>
      </c>
      <c r="K562" s="1" t="s">
        <v>74</v>
      </c>
      <c r="L562" s="1" t="s">
        <v>74</v>
      </c>
      <c r="M562" s="1" t="s">
        <v>74</v>
      </c>
      <c r="N562" s="1" t="s">
        <v>78</v>
      </c>
      <c r="O562" s="1" t="s">
        <v>74</v>
      </c>
      <c r="P562" s="1" t="s">
        <v>74</v>
      </c>
      <c r="Q562" s="1" t="s">
        <v>74</v>
      </c>
      <c r="R562" s="1" t="s">
        <v>74</v>
      </c>
      <c r="S562" s="1" t="s">
        <v>74</v>
      </c>
      <c r="T562" s="1" t="s">
        <v>5156</v>
      </c>
      <c r="U562" s="1" t="s">
        <v>74</v>
      </c>
      <c r="V562" s="1" t="s">
        <v>5157</v>
      </c>
      <c r="W562" s="1" t="s">
        <v>74</v>
      </c>
      <c r="X562" s="1" t="s">
        <v>74</v>
      </c>
      <c r="Y562" s="1" t="s">
        <v>74</v>
      </c>
      <c r="Z562" s="1" t="s">
        <v>74</v>
      </c>
      <c r="AA562" s="1" t="s">
        <v>74</v>
      </c>
      <c r="AB562" s="1" t="s">
        <v>74</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5158</v>
      </c>
      <c r="AP562" s="1" t="s">
        <v>5159</v>
      </c>
      <c r="AQ562" s="1" t="s">
        <v>74</v>
      </c>
      <c r="AR562" s="1" t="s">
        <v>74</v>
      </c>
      <c r="AS562" s="1" t="s">
        <v>74</v>
      </c>
      <c r="AT562" s="1" t="s">
        <v>4277</v>
      </c>
      <c r="AU562" s="1">
        <v>2025.0</v>
      </c>
      <c r="AV562" s="1">
        <v>29.0</v>
      </c>
      <c r="AW562" s="1">
        <v>3.0</v>
      </c>
      <c r="AX562" s="1" t="s">
        <v>74</v>
      </c>
      <c r="AY562" s="1" t="s">
        <v>74</v>
      </c>
      <c r="AZ562" s="1" t="s">
        <v>74</v>
      </c>
      <c r="BA562" s="1" t="s">
        <v>74</v>
      </c>
      <c r="BB562" s="1">
        <v>76.0</v>
      </c>
      <c r="BC562" s="1">
        <v>84.0</v>
      </c>
      <c r="BD562" s="1" t="s">
        <v>74</v>
      </c>
      <c r="BE562" s="1" t="s">
        <v>5160</v>
      </c>
      <c r="BF562" s="2" t="str">
        <f>HYPERLINK("http://dx.doi.org/10.1109/MIC.2025.3588546","http://dx.doi.org/10.1109/MIC.2025.3588546")</f>
        <v>http://dx.doi.org/10.1109/MIC.2025.3588546</v>
      </c>
      <c r="BG562" s="1" t="s">
        <v>74</v>
      </c>
      <c r="BH562" s="1" t="s">
        <v>74</v>
      </c>
      <c r="BI562" s="1" t="s">
        <v>74</v>
      </c>
      <c r="BJ562" s="1" t="s">
        <v>74</v>
      </c>
      <c r="BK562" s="1" t="s">
        <v>74</v>
      </c>
      <c r="BL562" s="1" t="s">
        <v>174</v>
      </c>
      <c r="BM562" s="1" t="s">
        <v>74</v>
      </c>
      <c r="BN562" s="1" t="s">
        <v>74</v>
      </c>
      <c r="BO562" s="1" t="s">
        <v>74</v>
      </c>
      <c r="BP562" s="1" t="s">
        <v>74</v>
      </c>
      <c r="BQ562" s="1" t="s">
        <v>74</v>
      </c>
      <c r="BR562" s="1" t="s">
        <v>74</v>
      </c>
      <c r="BS562" s="1" t="s">
        <v>5161</v>
      </c>
      <c r="BT562" s="1" t="str">
        <f>HYPERLINK("https%3A%2F%2Fwww.webofscience.com%2Fwos%2Fwoscc%2Ffull-record%2FWOS:001570182800009","View Full Record in Web of Science")</f>
        <v>View Full Record in Web of Science</v>
      </c>
    </row>
    <row r="563" ht="12.75" customHeight="1">
      <c r="A563" s="1" t="s">
        <v>72</v>
      </c>
      <c r="B563" s="1" t="s">
        <v>5162</v>
      </c>
      <c r="C563" s="1" t="s">
        <v>74</v>
      </c>
      <c r="D563" s="1" t="s">
        <v>74</v>
      </c>
      <c r="E563" s="1" t="s">
        <v>74</v>
      </c>
      <c r="F563" s="1" t="s">
        <v>5163</v>
      </c>
      <c r="G563" s="1" t="s">
        <v>74</v>
      </c>
      <c r="H563" s="1" t="s">
        <v>74</v>
      </c>
      <c r="I563" s="1" t="s">
        <v>5164</v>
      </c>
      <c r="J563" s="1" t="s">
        <v>2768</v>
      </c>
      <c r="K563" s="1" t="s">
        <v>74</v>
      </c>
      <c r="L563" s="1" t="s">
        <v>74</v>
      </c>
      <c r="M563" s="1" t="s">
        <v>74</v>
      </c>
      <c r="N563" s="1" t="s">
        <v>78</v>
      </c>
      <c r="O563" s="1" t="s">
        <v>74</v>
      </c>
      <c r="P563" s="1" t="s">
        <v>74</v>
      </c>
      <c r="Q563" s="1" t="s">
        <v>74</v>
      </c>
      <c r="R563" s="1" t="s">
        <v>74</v>
      </c>
      <c r="S563" s="1" t="s">
        <v>74</v>
      </c>
      <c r="T563" s="1" t="s">
        <v>5165</v>
      </c>
      <c r="U563" s="1" t="s">
        <v>74</v>
      </c>
      <c r="V563" s="1" t="s">
        <v>5166</v>
      </c>
      <c r="W563" s="1" t="s">
        <v>74</v>
      </c>
      <c r="X563" s="1" t="s">
        <v>74</v>
      </c>
      <c r="Y563" s="1" t="s">
        <v>74</v>
      </c>
      <c r="Z563" s="1" t="s">
        <v>74</v>
      </c>
      <c r="AA563" s="1" t="s">
        <v>74</v>
      </c>
      <c r="AB563" s="1" t="s">
        <v>74</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2772</v>
      </c>
      <c r="AP563" s="1" t="s">
        <v>2773</v>
      </c>
      <c r="AQ563" s="1" t="s">
        <v>74</v>
      </c>
      <c r="AR563" s="1" t="s">
        <v>74</v>
      </c>
      <c r="AS563" s="1" t="s">
        <v>74</v>
      </c>
      <c r="AT563" s="1" t="s">
        <v>200</v>
      </c>
      <c r="AU563" s="1">
        <v>2025.0</v>
      </c>
      <c r="AV563" s="1">
        <v>230.0</v>
      </c>
      <c r="AW563" s="1" t="s">
        <v>74</v>
      </c>
      <c r="AX563" s="1" t="s">
        <v>74</v>
      </c>
      <c r="AY563" s="1" t="s">
        <v>74</v>
      </c>
      <c r="AZ563" s="1" t="s">
        <v>74</v>
      </c>
      <c r="BA563" s="1" t="s">
        <v>74</v>
      </c>
      <c r="BB563" s="1" t="s">
        <v>74</v>
      </c>
      <c r="BC563" s="1" t="s">
        <v>74</v>
      </c>
      <c r="BD563" s="1">
        <v>112519.0</v>
      </c>
      <c r="BE563" s="1" t="s">
        <v>5167</v>
      </c>
      <c r="BF563" s="2" t="str">
        <f>HYPERLINK("http://dx.doi.org/10.1016/j.jss.2025.112519","http://dx.doi.org/10.1016/j.jss.2025.112519")</f>
        <v>http://dx.doi.org/10.1016/j.jss.2025.112519</v>
      </c>
      <c r="BG563" s="1" t="s">
        <v>74</v>
      </c>
      <c r="BH563" s="1" t="s">
        <v>112</v>
      </c>
      <c r="BI563" s="1" t="s">
        <v>74</v>
      </c>
      <c r="BJ563" s="1" t="s">
        <v>74</v>
      </c>
      <c r="BK563" s="1" t="s">
        <v>74</v>
      </c>
      <c r="BL563" s="1" t="s">
        <v>174</v>
      </c>
      <c r="BM563" s="1" t="s">
        <v>74</v>
      </c>
      <c r="BN563" s="1" t="s">
        <v>74</v>
      </c>
      <c r="BO563" s="1" t="s">
        <v>114</v>
      </c>
      <c r="BP563" s="1" t="s">
        <v>74</v>
      </c>
      <c r="BQ563" s="1" t="s">
        <v>74</v>
      </c>
      <c r="BR563" s="1" t="s">
        <v>74</v>
      </c>
      <c r="BS563" s="1" t="s">
        <v>5168</v>
      </c>
      <c r="BT563" s="1" t="str">
        <f>HYPERLINK("https%3A%2F%2Fwww.webofscience.com%2Fwos%2Fwoscc%2Ffull-record%2FWOS:001512531800002","View Full Record in Web of Science")</f>
        <v>View Full Record in Web of Science</v>
      </c>
    </row>
    <row r="564" ht="12.75" customHeight="1">
      <c r="A564" s="1" t="s">
        <v>72</v>
      </c>
      <c r="B564" s="1" t="s">
        <v>5169</v>
      </c>
      <c r="C564" s="1" t="s">
        <v>74</v>
      </c>
      <c r="D564" s="1" t="s">
        <v>74</v>
      </c>
      <c r="E564" s="1" t="s">
        <v>74</v>
      </c>
      <c r="F564" s="1" t="s">
        <v>5170</v>
      </c>
      <c r="G564" s="1" t="s">
        <v>74</v>
      </c>
      <c r="H564" s="1" t="s">
        <v>74</v>
      </c>
      <c r="I564" s="1" t="s">
        <v>5171</v>
      </c>
      <c r="J564" s="1" t="s">
        <v>653</v>
      </c>
      <c r="K564" s="1" t="s">
        <v>74</v>
      </c>
      <c r="L564" s="1" t="s">
        <v>74</v>
      </c>
      <c r="M564" s="1" t="s">
        <v>74</v>
      </c>
      <c r="N564" s="1" t="s">
        <v>78</v>
      </c>
      <c r="O564" s="1" t="s">
        <v>74</v>
      </c>
      <c r="P564" s="1" t="s">
        <v>74</v>
      </c>
      <c r="Q564" s="1" t="s">
        <v>74</v>
      </c>
      <c r="R564" s="1" t="s">
        <v>74</v>
      </c>
      <c r="S564" s="1" t="s">
        <v>74</v>
      </c>
      <c r="T564" s="1" t="s">
        <v>5172</v>
      </c>
      <c r="U564" s="1" t="s">
        <v>74</v>
      </c>
      <c r="V564" s="1" t="s">
        <v>5173</v>
      </c>
      <c r="W564" s="1" t="s">
        <v>74</v>
      </c>
      <c r="X564" s="1" t="s">
        <v>74</v>
      </c>
      <c r="Y564" s="1" t="s">
        <v>74</v>
      </c>
      <c r="Z564" s="1" t="s">
        <v>74</v>
      </c>
      <c r="AA564" s="1" t="s">
        <v>74</v>
      </c>
      <c r="AB564" s="1" t="s">
        <v>74</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74</v>
      </c>
      <c r="AP564" s="1" t="s">
        <v>656</v>
      </c>
      <c r="AQ564" s="1" t="s">
        <v>74</v>
      </c>
      <c r="AR564" s="1" t="s">
        <v>74</v>
      </c>
      <c r="AS564" s="1" t="s">
        <v>74</v>
      </c>
      <c r="AT564" s="1" t="s">
        <v>5174</v>
      </c>
      <c r="AU564" s="1">
        <v>2025.0</v>
      </c>
      <c r="AV564" s="1">
        <v>11.0</v>
      </c>
      <c r="AW564" s="1" t="s">
        <v>74</v>
      </c>
      <c r="AX564" s="1" t="s">
        <v>74</v>
      </c>
      <c r="AY564" s="1" t="s">
        <v>74</v>
      </c>
      <c r="AZ564" s="1" t="s">
        <v>74</v>
      </c>
      <c r="BA564" s="1" t="s">
        <v>74</v>
      </c>
      <c r="BB564" s="1" t="s">
        <v>74</v>
      </c>
      <c r="BC564" s="1" t="s">
        <v>74</v>
      </c>
      <c r="BD564" s="1" t="s">
        <v>5175</v>
      </c>
      <c r="BE564" s="1" t="s">
        <v>5176</v>
      </c>
      <c r="BF564" s="2" t="str">
        <f>HYPERLINK("http://dx.doi.org/10.7717/peerj-cs.2839","http://dx.doi.org/10.7717/peerj-cs.2839")</f>
        <v>http://dx.doi.org/10.7717/peerj-cs.2839</v>
      </c>
      <c r="BG564" s="1" t="s">
        <v>74</v>
      </c>
      <c r="BH564" s="1" t="s">
        <v>74</v>
      </c>
      <c r="BI564" s="1" t="s">
        <v>74</v>
      </c>
      <c r="BJ564" s="1" t="s">
        <v>74</v>
      </c>
      <c r="BK564" s="1" t="s">
        <v>74</v>
      </c>
      <c r="BL564" s="1" t="s">
        <v>174</v>
      </c>
      <c r="BM564" s="1" t="s">
        <v>74</v>
      </c>
      <c r="BN564" s="1" t="s">
        <v>74</v>
      </c>
      <c r="BO564" s="1" t="s">
        <v>153</v>
      </c>
      <c r="BP564" s="1" t="s">
        <v>74</v>
      </c>
      <c r="BQ564" s="1" t="s">
        <v>74</v>
      </c>
      <c r="BR564" s="1" t="s">
        <v>74</v>
      </c>
      <c r="BS564" s="1" t="s">
        <v>5177</v>
      </c>
      <c r="BT564" s="1" t="str">
        <f>HYPERLINK("https%3A%2F%2Fwww.webofscience.com%2Fwos%2Fwoscc%2Ffull-record%2FWOS:001480517000001","View Full Record in Web of Science")</f>
        <v>View Full Record in Web of Science</v>
      </c>
    </row>
    <row r="565" ht="12.75" customHeight="1">
      <c r="A565" s="1" t="s">
        <v>72</v>
      </c>
      <c r="B565" s="1" t="s">
        <v>5178</v>
      </c>
      <c r="C565" s="1" t="s">
        <v>74</v>
      </c>
      <c r="D565" s="1" t="s">
        <v>74</v>
      </c>
      <c r="E565" s="1" t="s">
        <v>74</v>
      </c>
      <c r="F565" s="1" t="s">
        <v>5179</v>
      </c>
      <c r="G565" s="1" t="s">
        <v>74</v>
      </c>
      <c r="H565" s="1" t="s">
        <v>74</v>
      </c>
      <c r="I565" s="1" t="s">
        <v>5180</v>
      </c>
      <c r="J565" s="1" t="s">
        <v>5181</v>
      </c>
      <c r="K565" s="1" t="s">
        <v>74</v>
      </c>
      <c r="L565" s="1" t="s">
        <v>74</v>
      </c>
      <c r="M565" s="1" t="s">
        <v>74</v>
      </c>
      <c r="N565" s="1" t="s">
        <v>78</v>
      </c>
      <c r="O565" s="1" t="s">
        <v>74</v>
      </c>
      <c r="P565" s="1" t="s">
        <v>74</v>
      </c>
      <c r="Q565" s="1" t="s">
        <v>74</v>
      </c>
      <c r="R565" s="1" t="s">
        <v>74</v>
      </c>
      <c r="S565" s="1" t="s">
        <v>74</v>
      </c>
      <c r="T565" s="1" t="s">
        <v>5182</v>
      </c>
      <c r="U565" s="1" t="s">
        <v>5183</v>
      </c>
      <c r="V565" s="1" t="s">
        <v>5184</v>
      </c>
      <c r="W565" s="1" t="s">
        <v>74</v>
      </c>
      <c r="X565" s="1" t="s">
        <v>74</v>
      </c>
      <c r="Y565" s="1" t="s">
        <v>74</v>
      </c>
      <c r="Z565" s="1" t="s">
        <v>74</v>
      </c>
      <c r="AA565" s="1" t="s">
        <v>74</v>
      </c>
      <c r="AB565" s="1" t="s">
        <v>74</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5185</v>
      </c>
      <c r="AP565" s="1" t="s">
        <v>5186</v>
      </c>
      <c r="AQ565" s="1" t="s">
        <v>74</v>
      </c>
      <c r="AR565" s="1" t="s">
        <v>74</v>
      </c>
      <c r="AS565" s="1" t="s">
        <v>74</v>
      </c>
      <c r="AT565" s="1" t="s">
        <v>139</v>
      </c>
      <c r="AU565" s="1">
        <v>2026.0</v>
      </c>
      <c r="AV565" s="1">
        <v>40.0</v>
      </c>
      <c r="AW565" s="1">
        <v>2.0</v>
      </c>
      <c r="AX565" s="1" t="s">
        <v>74</v>
      </c>
      <c r="AY565" s="1" t="s">
        <v>74</v>
      </c>
      <c r="AZ565" s="1" t="s">
        <v>74</v>
      </c>
      <c r="BA565" s="1" t="s">
        <v>74</v>
      </c>
      <c r="BB565" s="1">
        <v>183.0</v>
      </c>
      <c r="BC565" s="1">
        <v>193.0</v>
      </c>
      <c r="BD565" s="1" t="s">
        <v>74</v>
      </c>
      <c r="BE565" s="1" t="s">
        <v>5187</v>
      </c>
      <c r="BF565" s="2" t="str">
        <f>HYPERLINK("http://dx.doi.org/10.1111/bioe.70030","http://dx.doi.org/10.1111/bioe.70030")</f>
        <v>http://dx.doi.org/10.1111/bioe.70030</v>
      </c>
      <c r="BG565" s="1" t="s">
        <v>74</v>
      </c>
      <c r="BH565" s="1" t="s">
        <v>738</v>
      </c>
      <c r="BI565" s="1" t="s">
        <v>74</v>
      </c>
      <c r="BJ565" s="1" t="s">
        <v>74</v>
      </c>
      <c r="BK565" s="1" t="s">
        <v>74</v>
      </c>
      <c r="BL565" s="1" t="s">
        <v>2064</v>
      </c>
      <c r="BM565" s="1" t="s">
        <v>74</v>
      </c>
      <c r="BN565" s="1" t="s">
        <v>74</v>
      </c>
      <c r="BO565" s="1" t="s">
        <v>576</v>
      </c>
      <c r="BP565" s="1" t="s">
        <v>74</v>
      </c>
      <c r="BQ565" s="1" t="s">
        <v>74</v>
      </c>
      <c r="BR565" s="1" t="s">
        <v>74</v>
      </c>
      <c r="BS565" s="1" t="s">
        <v>5188</v>
      </c>
      <c r="BT565" s="1" t="str">
        <f>HYPERLINK("https%3A%2F%2Fwww.webofscience.com%2Fwos%2Fwoscc%2Ffull-record%2FWOS:001568402400001","View Full Record in Web of Science")</f>
        <v>View Full Record in Web of Science</v>
      </c>
    </row>
    <row r="566" ht="12.75" customHeight="1">
      <c r="A566" s="1" t="s">
        <v>72</v>
      </c>
      <c r="B566" s="1" t="s">
        <v>5189</v>
      </c>
      <c r="C566" s="1" t="s">
        <v>74</v>
      </c>
      <c r="D566" s="1" t="s">
        <v>74</v>
      </c>
      <c r="E566" s="1" t="s">
        <v>74</v>
      </c>
      <c r="F566" s="1" t="s">
        <v>5190</v>
      </c>
      <c r="G566" s="1" t="s">
        <v>74</v>
      </c>
      <c r="H566" s="1" t="s">
        <v>74</v>
      </c>
      <c r="I566" s="1" t="s">
        <v>5191</v>
      </c>
      <c r="J566" s="1" t="s">
        <v>793</v>
      </c>
      <c r="K566" s="1" t="s">
        <v>74</v>
      </c>
      <c r="L566" s="1" t="s">
        <v>74</v>
      </c>
      <c r="M566" s="1" t="s">
        <v>74</v>
      </c>
      <c r="N566" s="1" t="s">
        <v>158</v>
      </c>
      <c r="O566" s="1" t="s">
        <v>74</v>
      </c>
      <c r="P566" s="1" t="s">
        <v>74</v>
      </c>
      <c r="Q566" s="1" t="s">
        <v>74</v>
      </c>
      <c r="R566" s="1" t="s">
        <v>74</v>
      </c>
      <c r="S566" s="1" t="s">
        <v>74</v>
      </c>
      <c r="T566" s="1" t="s">
        <v>5192</v>
      </c>
      <c r="U566" s="1" t="s">
        <v>74</v>
      </c>
      <c r="V566" s="1" t="s">
        <v>5193</v>
      </c>
      <c r="W566" s="1" t="s">
        <v>74</v>
      </c>
      <c r="X566" s="1" t="s">
        <v>74</v>
      </c>
      <c r="Y566" s="1" t="s">
        <v>74</v>
      </c>
      <c r="Z566" s="1" t="s">
        <v>74</v>
      </c>
      <c r="AA566" s="1" t="s">
        <v>74</v>
      </c>
      <c r="AB566" s="1" t="s">
        <v>74</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797</v>
      </c>
      <c r="AP566" s="1" t="s">
        <v>74</v>
      </c>
      <c r="AQ566" s="1" t="s">
        <v>74</v>
      </c>
      <c r="AR566" s="1" t="s">
        <v>74</v>
      </c>
      <c r="AS566" s="1" t="s">
        <v>74</v>
      </c>
      <c r="AT566" s="1" t="s">
        <v>5194</v>
      </c>
      <c r="AU566" s="1">
        <v>2025.0</v>
      </c>
      <c r="AV566" s="1">
        <v>17.0</v>
      </c>
      <c r="AW566" s="1">
        <v>12.0</v>
      </c>
      <c r="AX566" s="1" t="s">
        <v>74</v>
      </c>
      <c r="AY566" s="1" t="s">
        <v>74</v>
      </c>
      <c r="AZ566" s="1" t="s">
        <v>74</v>
      </c>
      <c r="BA566" s="1" t="s">
        <v>74</v>
      </c>
      <c r="BB566" s="1" t="s">
        <v>74</v>
      </c>
      <c r="BC566" s="1" t="s">
        <v>74</v>
      </c>
      <c r="BD566" s="1">
        <v>536.0</v>
      </c>
      <c r="BE566" s="1" t="s">
        <v>5195</v>
      </c>
      <c r="BF566" s="2" t="str">
        <f>HYPERLINK("http://dx.doi.org/10.3390/fi17120536","http://dx.doi.org/10.3390/fi17120536")</f>
        <v>http://dx.doi.org/10.3390/fi17120536</v>
      </c>
      <c r="BG566" s="1" t="s">
        <v>74</v>
      </c>
      <c r="BH566" s="1" t="s">
        <v>74</v>
      </c>
      <c r="BI566" s="1" t="s">
        <v>74</v>
      </c>
      <c r="BJ566" s="1" t="s">
        <v>74</v>
      </c>
      <c r="BK566" s="1" t="s">
        <v>74</v>
      </c>
      <c r="BL566" s="1" t="s">
        <v>174</v>
      </c>
      <c r="BM566" s="1" t="s">
        <v>74</v>
      </c>
      <c r="BN566" s="1" t="s">
        <v>74</v>
      </c>
      <c r="BO566" s="1" t="s">
        <v>163</v>
      </c>
      <c r="BP566" s="1" t="s">
        <v>74</v>
      </c>
      <c r="BQ566" s="1" t="s">
        <v>74</v>
      </c>
      <c r="BR566" s="1" t="s">
        <v>74</v>
      </c>
      <c r="BS566" s="1" t="s">
        <v>5196</v>
      </c>
      <c r="BT566" s="1" t="str">
        <f>HYPERLINK("https%3A%2F%2Fwww.webofscience.com%2Fwos%2Fwoscc%2Ffull-record%2FWOS:001647269300001","View Full Record in Web of Science")</f>
        <v>View Full Record in Web of Science</v>
      </c>
    </row>
    <row r="567" ht="12.75" customHeight="1">
      <c r="A567" s="1" t="s">
        <v>72</v>
      </c>
      <c r="B567" s="1" t="s">
        <v>5197</v>
      </c>
      <c r="C567" s="1" t="s">
        <v>74</v>
      </c>
      <c r="D567" s="1" t="s">
        <v>74</v>
      </c>
      <c r="E567" s="1" t="s">
        <v>74</v>
      </c>
      <c r="F567" s="1" t="s">
        <v>5198</v>
      </c>
      <c r="G567" s="1" t="s">
        <v>74</v>
      </c>
      <c r="H567" s="1" t="s">
        <v>74</v>
      </c>
      <c r="I567" s="1" t="s">
        <v>5199</v>
      </c>
      <c r="J567" s="1" t="s">
        <v>5200</v>
      </c>
      <c r="K567" s="1" t="s">
        <v>74</v>
      </c>
      <c r="L567" s="1" t="s">
        <v>74</v>
      </c>
      <c r="M567" s="1" t="s">
        <v>74</v>
      </c>
      <c r="N567" s="1" t="s">
        <v>78</v>
      </c>
      <c r="O567" s="1" t="s">
        <v>74</v>
      </c>
      <c r="P567" s="1" t="s">
        <v>74</v>
      </c>
      <c r="Q567" s="1" t="s">
        <v>74</v>
      </c>
      <c r="R567" s="1" t="s">
        <v>74</v>
      </c>
      <c r="S567" s="1" t="s">
        <v>74</v>
      </c>
      <c r="T567" s="1" t="s">
        <v>5201</v>
      </c>
      <c r="U567" s="1" t="s">
        <v>74</v>
      </c>
      <c r="V567" s="1" t="s">
        <v>5202</v>
      </c>
      <c r="W567" s="1" t="s">
        <v>74</v>
      </c>
      <c r="X567" s="1" t="s">
        <v>74</v>
      </c>
      <c r="Y567" s="1" t="s">
        <v>74</v>
      </c>
      <c r="Z567" s="1" t="s">
        <v>74</v>
      </c>
      <c r="AA567" s="1" t="s">
        <v>74</v>
      </c>
      <c r="AB567" s="1" t="s">
        <v>74</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5203</v>
      </c>
      <c r="AP567" s="1" t="s">
        <v>5204</v>
      </c>
      <c r="AQ567" s="1" t="s">
        <v>74</v>
      </c>
      <c r="AR567" s="1" t="s">
        <v>74</v>
      </c>
      <c r="AS567" s="1" t="s">
        <v>74</v>
      </c>
      <c r="AT567" s="1" t="s">
        <v>5205</v>
      </c>
      <c r="AU567" s="1">
        <v>2024.0</v>
      </c>
      <c r="AV567" s="1">
        <v>20.0</v>
      </c>
      <c r="AW567" s="1">
        <v>3.0</v>
      </c>
      <c r="AX567" s="1" t="s">
        <v>74</v>
      </c>
      <c r="AY567" s="1" t="s">
        <v>74</v>
      </c>
      <c r="AZ567" s="1" t="s">
        <v>74</v>
      </c>
      <c r="BA567" s="1" t="s">
        <v>74</v>
      </c>
      <c r="BB567" s="1">
        <v>229.0</v>
      </c>
      <c r="BC567" s="1">
        <v>247.0</v>
      </c>
      <c r="BD567" s="1" t="s">
        <v>74</v>
      </c>
      <c r="BE567" s="1" t="s">
        <v>5206</v>
      </c>
      <c r="BF567" s="2" t="str">
        <f>HYPERLINK("http://dx.doi.org/10.1108/IJWIS-12-2023-0249","http://dx.doi.org/10.1108/IJWIS-12-2023-0249")</f>
        <v>http://dx.doi.org/10.1108/IJWIS-12-2023-0249</v>
      </c>
      <c r="BG567" s="1" t="s">
        <v>74</v>
      </c>
      <c r="BH567" s="1" t="s">
        <v>3033</v>
      </c>
      <c r="BI567" s="1" t="s">
        <v>74</v>
      </c>
      <c r="BJ567" s="1" t="s">
        <v>74</v>
      </c>
      <c r="BK567" s="1" t="s">
        <v>74</v>
      </c>
      <c r="BL567" s="1" t="s">
        <v>174</v>
      </c>
      <c r="BM567" s="1" t="s">
        <v>74</v>
      </c>
      <c r="BN567" s="1" t="s">
        <v>74</v>
      </c>
      <c r="BO567" s="1" t="s">
        <v>74</v>
      </c>
      <c r="BP567" s="1" t="s">
        <v>74</v>
      </c>
      <c r="BQ567" s="1" t="s">
        <v>74</v>
      </c>
      <c r="BR567" s="1" t="s">
        <v>74</v>
      </c>
      <c r="BS567" s="1" t="s">
        <v>5207</v>
      </c>
      <c r="BT567" s="1" t="str">
        <f>HYPERLINK("https%3A%2F%2Fwww.webofscience.com%2Fwos%2Fwoscc%2Ffull-record%2FWOS:001160558500001","View Full Record in Web of Science")</f>
        <v>View Full Record in Web of Science</v>
      </c>
    </row>
    <row r="568" ht="12.75" customHeight="1">
      <c r="A568" s="1" t="s">
        <v>72</v>
      </c>
      <c r="B568" s="1" t="s">
        <v>5208</v>
      </c>
      <c r="C568" s="1" t="s">
        <v>74</v>
      </c>
      <c r="D568" s="1" t="s">
        <v>74</v>
      </c>
      <c r="E568" s="1" t="s">
        <v>74</v>
      </c>
      <c r="F568" s="1" t="s">
        <v>5209</v>
      </c>
      <c r="G568" s="1" t="s">
        <v>74</v>
      </c>
      <c r="H568" s="1" t="s">
        <v>74</v>
      </c>
      <c r="I568" s="1" t="s">
        <v>5210</v>
      </c>
      <c r="J568" s="1" t="s">
        <v>966</v>
      </c>
      <c r="K568" s="1" t="s">
        <v>74</v>
      </c>
      <c r="L568" s="1" t="s">
        <v>74</v>
      </c>
      <c r="M568" s="1" t="s">
        <v>74</v>
      </c>
      <c r="N568" s="1" t="s">
        <v>78</v>
      </c>
      <c r="O568" s="1" t="s">
        <v>74</v>
      </c>
      <c r="P568" s="1" t="s">
        <v>74</v>
      </c>
      <c r="Q568" s="1" t="s">
        <v>74</v>
      </c>
      <c r="R568" s="1" t="s">
        <v>74</v>
      </c>
      <c r="S568" s="1" t="s">
        <v>74</v>
      </c>
      <c r="T568" s="1" t="s">
        <v>5211</v>
      </c>
      <c r="U568" s="1" t="s">
        <v>5212</v>
      </c>
      <c r="V568" s="1" t="s">
        <v>5213</v>
      </c>
      <c r="W568" s="1" t="s">
        <v>74</v>
      </c>
      <c r="X568" s="1" t="s">
        <v>74</v>
      </c>
      <c r="Y568" s="1" t="s">
        <v>74</v>
      </c>
      <c r="Z568" s="1" t="s">
        <v>74</v>
      </c>
      <c r="AA568" s="1" t="s">
        <v>74</v>
      </c>
      <c r="AB568" s="1" t="s">
        <v>74</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969</v>
      </c>
      <c r="AP568" s="1" t="s">
        <v>970</v>
      </c>
      <c r="AQ568" s="1" t="s">
        <v>74</v>
      </c>
      <c r="AR568" s="1" t="s">
        <v>74</v>
      </c>
      <c r="AS568" s="1" t="s">
        <v>74</v>
      </c>
      <c r="AT568" s="1" t="s">
        <v>1873</v>
      </c>
      <c r="AU568" s="1">
        <v>2025.0</v>
      </c>
      <c r="AV568" s="1">
        <v>319.0</v>
      </c>
      <c r="AW568" s="1" t="s">
        <v>74</v>
      </c>
      <c r="AX568" s="1" t="s">
        <v>74</v>
      </c>
      <c r="AY568" s="1" t="s">
        <v>74</v>
      </c>
      <c r="AZ568" s="1" t="s">
        <v>74</v>
      </c>
      <c r="BA568" s="1" t="s">
        <v>74</v>
      </c>
      <c r="BB568" s="1" t="s">
        <v>74</v>
      </c>
      <c r="BC568" s="1" t="s">
        <v>74</v>
      </c>
      <c r="BD568" s="1">
        <v>113624.0</v>
      </c>
      <c r="BE568" s="1" t="s">
        <v>5214</v>
      </c>
      <c r="BF568" s="2" t="str">
        <f>HYPERLINK("http://dx.doi.org/10.1016/j.knosys.2025.113624","http://dx.doi.org/10.1016/j.knosys.2025.113624")</f>
        <v>http://dx.doi.org/10.1016/j.knosys.2025.113624</v>
      </c>
      <c r="BG568" s="1" t="s">
        <v>74</v>
      </c>
      <c r="BH568" s="1" t="s">
        <v>1150</v>
      </c>
      <c r="BI568" s="1" t="s">
        <v>74</v>
      </c>
      <c r="BJ568" s="1" t="s">
        <v>74</v>
      </c>
      <c r="BK568" s="1" t="s">
        <v>74</v>
      </c>
      <c r="BL568" s="1" t="s">
        <v>174</v>
      </c>
      <c r="BM568" s="1" t="s">
        <v>74</v>
      </c>
      <c r="BN568" s="1" t="s">
        <v>74</v>
      </c>
      <c r="BO568" s="1" t="s">
        <v>74</v>
      </c>
      <c r="BP568" s="1" t="s">
        <v>74</v>
      </c>
      <c r="BQ568" s="1" t="s">
        <v>74</v>
      </c>
      <c r="BR568" s="1" t="s">
        <v>74</v>
      </c>
      <c r="BS568" s="1" t="s">
        <v>5215</v>
      </c>
      <c r="BT568" s="1" t="str">
        <f>HYPERLINK("https%3A%2F%2Fwww.webofscience.com%2Fwos%2Fwoscc%2Ffull-record%2FWOS:001487620600001","View Full Record in Web of Science")</f>
        <v>View Full Record in Web of Science</v>
      </c>
    </row>
    <row r="569" ht="12.75" customHeight="1">
      <c r="A569" s="1" t="s">
        <v>72</v>
      </c>
      <c r="B569" s="1" t="s">
        <v>5216</v>
      </c>
      <c r="C569" s="1" t="s">
        <v>74</v>
      </c>
      <c r="D569" s="1" t="s">
        <v>74</v>
      </c>
      <c r="E569" s="1" t="s">
        <v>74</v>
      </c>
      <c r="F569" s="1" t="s">
        <v>5217</v>
      </c>
      <c r="G569" s="1" t="s">
        <v>74</v>
      </c>
      <c r="H569" s="1" t="s">
        <v>74</v>
      </c>
      <c r="I569" s="1" t="s">
        <v>5218</v>
      </c>
      <c r="J569" s="1" t="s">
        <v>5219</v>
      </c>
      <c r="K569" s="1" t="s">
        <v>74</v>
      </c>
      <c r="L569" s="1" t="s">
        <v>74</v>
      </c>
      <c r="M569" s="1" t="s">
        <v>74</v>
      </c>
      <c r="N569" s="1" t="s">
        <v>78</v>
      </c>
      <c r="O569" s="1" t="s">
        <v>74</v>
      </c>
      <c r="P569" s="1" t="s">
        <v>74</v>
      </c>
      <c r="Q569" s="1" t="s">
        <v>74</v>
      </c>
      <c r="R569" s="1" t="s">
        <v>74</v>
      </c>
      <c r="S569" s="1" t="s">
        <v>74</v>
      </c>
      <c r="T569" s="1" t="s">
        <v>5220</v>
      </c>
      <c r="U569" s="1" t="s">
        <v>5221</v>
      </c>
      <c r="V569" s="1" t="s">
        <v>5222</v>
      </c>
      <c r="W569" s="1" t="s">
        <v>74</v>
      </c>
      <c r="X569" s="1" t="s">
        <v>74</v>
      </c>
      <c r="Y569" s="1" t="s">
        <v>74</v>
      </c>
      <c r="Z569" s="1" t="s">
        <v>74</v>
      </c>
      <c r="AA569" s="1" t="s">
        <v>74</v>
      </c>
      <c r="AB569" s="1" t="s">
        <v>74</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5223</v>
      </c>
      <c r="AP569" s="1" t="s">
        <v>5224</v>
      </c>
      <c r="AQ569" s="1" t="s">
        <v>74</v>
      </c>
      <c r="AR569" s="1" t="s">
        <v>74</v>
      </c>
      <c r="AS569" s="1" t="s">
        <v>74</v>
      </c>
      <c r="AT569" s="1" t="s">
        <v>1255</v>
      </c>
      <c r="AU569" s="1">
        <v>2024.0</v>
      </c>
      <c r="AV569" s="1">
        <v>62.0</v>
      </c>
      <c r="AW569" s="1">
        <v>4.0</v>
      </c>
      <c r="AX569" s="1" t="s">
        <v>74</v>
      </c>
      <c r="AY569" s="1" t="s">
        <v>74</v>
      </c>
      <c r="AZ569" s="1" t="s">
        <v>74</v>
      </c>
      <c r="BA569" s="1" t="s">
        <v>74</v>
      </c>
      <c r="BB569" s="1">
        <v>629.0</v>
      </c>
      <c r="BC569" s="1">
        <v>645.0</v>
      </c>
      <c r="BD569" s="1" t="s">
        <v>74</v>
      </c>
      <c r="BE569" s="1" t="s">
        <v>5225</v>
      </c>
      <c r="BF569" s="2" t="str">
        <f>HYPERLINK("http://dx.doi.org/10.1080/03155986.2024.2383095","http://dx.doi.org/10.1080/03155986.2024.2383095")</f>
        <v>http://dx.doi.org/10.1080/03155986.2024.2383095</v>
      </c>
      <c r="BG569" s="1" t="s">
        <v>74</v>
      </c>
      <c r="BH569" s="1" t="s">
        <v>545</v>
      </c>
      <c r="BI569" s="1" t="s">
        <v>74</v>
      </c>
      <c r="BJ569" s="1" t="s">
        <v>74</v>
      </c>
      <c r="BK569" s="1" t="s">
        <v>74</v>
      </c>
      <c r="BL569" s="1" t="s">
        <v>3162</v>
      </c>
      <c r="BM569" s="1" t="s">
        <v>74</v>
      </c>
      <c r="BN569" s="1" t="s">
        <v>74</v>
      </c>
      <c r="BO569" s="1" t="s">
        <v>74</v>
      </c>
      <c r="BP569" s="1" t="s">
        <v>74</v>
      </c>
      <c r="BQ569" s="1" t="s">
        <v>74</v>
      </c>
      <c r="BR569" s="1" t="s">
        <v>74</v>
      </c>
      <c r="BS569" s="1" t="s">
        <v>5226</v>
      </c>
      <c r="BT569" s="1" t="str">
        <f>HYPERLINK("https%3A%2F%2Fwww.webofscience.com%2Fwos%2Fwoscc%2Ffull-record%2FWOS:001285647000001","View Full Record in Web of Science")</f>
        <v>View Full Record in Web of Science</v>
      </c>
    </row>
    <row r="570" ht="12.75" customHeight="1">
      <c r="A570" s="1" t="s">
        <v>72</v>
      </c>
      <c r="B570" s="1" t="s">
        <v>5227</v>
      </c>
      <c r="C570" s="1" t="s">
        <v>74</v>
      </c>
      <c r="D570" s="1" t="s">
        <v>74</v>
      </c>
      <c r="E570" s="1" t="s">
        <v>74</v>
      </c>
      <c r="F570" s="1" t="s">
        <v>5228</v>
      </c>
      <c r="G570" s="1" t="s">
        <v>74</v>
      </c>
      <c r="H570" s="1" t="s">
        <v>74</v>
      </c>
      <c r="I570" s="1" t="s">
        <v>5229</v>
      </c>
      <c r="J570" s="1" t="s">
        <v>2655</v>
      </c>
      <c r="K570" s="1" t="s">
        <v>74</v>
      </c>
      <c r="L570" s="1" t="s">
        <v>74</v>
      </c>
      <c r="M570" s="1" t="s">
        <v>74</v>
      </c>
      <c r="N570" s="1" t="s">
        <v>78</v>
      </c>
      <c r="O570" s="1" t="s">
        <v>74</v>
      </c>
      <c r="P570" s="1" t="s">
        <v>74</v>
      </c>
      <c r="Q570" s="1" t="s">
        <v>74</v>
      </c>
      <c r="R570" s="1" t="s">
        <v>74</v>
      </c>
      <c r="S570" s="1" t="s">
        <v>74</v>
      </c>
      <c r="T570" s="1" t="s">
        <v>5230</v>
      </c>
      <c r="U570" s="1" t="s">
        <v>5231</v>
      </c>
      <c r="V570" s="1" t="s">
        <v>5232</v>
      </c>
      <c r="W570" s="1" t="s">
        <v>74</v>
      </c>
      <c r="X570" s="1" t="s">
        <v>74</v>
      </c>
      <c r="Y570" s="1" t="s">
        <v>74</v>
      </c>
      <c r="Z570" s="1" t="s">
        <v>74</v>
      </c>
      <c r="AA570" s="1" t="s">
        <v>74</v>
      </c>
      <c r="AB570" s="1" t="s">
        <v>74</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2659</v>
      </c>
      <c r="AP570" s="1" t="s">
        <v>2660</v>
      </c>
      <c r="AQ570" s="1" t="s">
        <v>74</v>
      </c>
      <c r="AR570" s="1" t="s">
        <v>74</v>
      </c>
      <c r="AS570" s="1" t="s">
        <v>74</v>
      </c>
      <c r="AT570" s="1" t="s">
        <v>688</v>
      </c>
      <c r="AU570" s="1">
        <v>2025.0</v>
      </c>
      <c r="AV570" s="1">
        <v>195.0</v>
      </c>
      <c r="AW570" s="1" t="s">
        <v>74</v>
      </c>
      <c r="AX570" s="1" t="s">
        <v>74</v>
      </c>
      <c r="AY570" s="1" t="s">
        <v>74</v>
      </c>
      <c r="AZ570" s="1" t="s">
        <v>74</v>
      </c>
      <c r="BA570" s="1" t="s">
        <v>74</v>
      </c>
      <c r="BB570" s="1" t="s">
        <v>74</v>
      </c>
      <c r="BC570" s="1" t="s">
        <v>74</v>
      </c>
      <c r="BD570" s="1">
        <v>105787.0</v>
      </c>
      <c r="BE570" s="1" t="s">
        <v>5233</v>
      </c>
      <c r="BF570" s="2" t="str">
        <f>HYPERLINK("http://dx.doi.org/10.1016/j.ijmedinf.2025.105787","http://dx.doi.org/10.1016/j.ijmedinf.2025.105787")</f>
        <v>http://dx.doi.org/10.1016/j.ijmedinf.2025.105787</v>
      </c>
      <c r="BG570" s="1" t="s">
        <v>74</v>
      </c>
      <c r="BH570" s="1" t="s">
        <v>141</v>
      </c>
      <c r="BI570" s="1" t="s">
        <v>74</v>
      </c>
      <c r="BJ570" s="1" t="s">
        <v>74</v>
      </c>
      <c r="BK570" s="1" t="s">
        <v>74</v>
      </c>
      <c r="BL570" s="1" t="s">
        <v>1171</v>
      </c>
      <c r="BM570" s="1" t="s">
        <v>74</v>
      </c>
      <c r="BN570" s="1" t="s">
        <v>74</v>
      </c>
      <c r="BO570" s="1" t="s">
        <v>74</v>
      </c>
      <c r="BP570" s="1" t="s">
        <v>74</v>
      </c>
      <c r="BQ570" s="1" t="s">
        <v>74</v>
      </c>
      <c r="BR570" s="1" t="s">
        <v>74</v>
      </c>
      <c r="BS570" s="1" t="s">
        <v>5234</v>
      </c>
      <c r="BT570" s="1" t="str">
        <f>HYPERLINK("https%3A%2F%2Fwww.webofscience.com%2Fwos%2Fwoscc%2Ffull-record%2FWOS:001414274100001","View Full Record in Web of Science")</f>
        <v>View Full Record in Web of Science</v>
      </c>
    </row>
    <row r="571" ht="12.75" customHeight="1">
      <c r="A571" s="1" t="s">
        <v>72</v>
      </c>
      <c r="B571" s="1" t="s">
        <v>5235</v>
      </c>
      <c r="C571" s="1" t="s">
        <v>74</v>
      </c>
      <c r="D571" s="1" t="s">
        <v>74</v>
      </c>
      <c r="E571" s="1" t="s">
        <v>74</v>
      </c>
      <c r="F571" s="1" t="s">
        <v>5236</v>
      </c>
      <c r="G571" s="1" t="s">
        <v>74</v>
      </c>
      <c r="H571" s="1" t="s">
        <v>74</v>
      </c>
      <c r="I571" s="1" t="s">
        <v>5237</v>
      </c>
      <c r="J571" s="1" t="s">
        <v>2868</v>
      </c>
      <c r="K571" s="1" t="s">
        <v>74</v>
      </c>
      <c r="L571" s="1" t="s">
        <v>74</v>
      </c>
      <c r="M571" s="1" t="s">
        <v>74</v>
      </c>
      <c r="N571" s="1" t="s">
        <v>78</v>
      </c>
      <c r="O571" s="1" t="s">
        <v>74</v>
      </c>
      <c r="P571" s="1" t="s">
        <v>74</v>
      </c>
      <c r="Q571" s="1" t="s">
        <v>74</v>
      </c>
      <c r="R571" s="1" t="s">
        <v>74</v>
      </c>
      <c r="S571" s="1" t="s">
        <v>74</v>
      </c>
      <c r="T571" s="1" t="s">
        <v>5238</v>
      </c>
      <c r="U571" s="1" t="s">
        <v>74</v>
      </c>
      <c r="V571" s="1" t="s">
        <v>5239</v>
      </c>
      <c r="W571" s="1" t="s">
        <v>74</v>
      </c>
      <c r="X571" s="1" t="s">
        <v>74</v>
      </c>
      <c r="Y571" s="1" t="s">
        <v>74</v>
      </c>
      <c r="Z571" s="1" t="s">
        <v>74</v>
      </c>
      <c r="AA571" s="1" t="s">
        <v>74</v>
      </c>
      <c r="AB571" s="1" t="s">
        <v>74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2871</v>
      </c>
      <c r="AP571" s="1" t="s">
        <v>2872</v>
      </c>
      <c r="AQ571" s="1" t="s">
        <v>74</v>
      </c>
      <c r="AR571" s="1" t="s">
        <v>74</v>
      </c>
      <c r="AS571" s="1" t="s">
        <v>74</v>
      </c>
      <c r="AT571" s="1" t="s">
        <v>84</v>
      </c>
      <c r="AU571" s="1">
        <v>2025.0</v>
      </c>
      <c r="AV571" s="1">
        <v>62.0</v>
      </c>
      <c r="AW571" s="1">
        <v>3.0</v>
      </c>
      <c r="AX571" s="1" t="s">
        <v>74</v>
      </c>
      <c r="AY571" s="1" t="s">
        <v>74</v>
      </c>
      <c r="AZ571" s="1" t="s">
        <v>74</v>
      </c>
      <c r="BA571" s="1" t="s">
        <v>74</v>
      </c>
      <c r="BB571" s="1" t="s">
        <v>74</v>
      </c>
      <c r="BC571" s="1" t="s">
        <v>74</v>
      </c>
      <c r="BD571" s="1">
        <v>104043.0</v>
      </c>
      <c r="BE571" s="1" t="s">
        <v>5240</v>
      </c>
      <c r="BF571" s="2" t="str">
        <f>HYPERLINK("http://dx.doi.org/10.1016/j.ipm.2024.104043","http://dx.doi.org/10.1016/j.ipm.2024.104043")</f>
        <v>http://dx.doi.org/10.1016/j.ipm.2024.104043</v>
      </c>
      <c r="BG571" s="1" t="s">
        <v>74</v>
      </c>
      <c r="BH571" s="1" t="s">
        <v>1080</v>
      </c>
      <c r="BI571" s="1" t="s">
        <v>74</v>
      </c>
      <c r="BJ571" s="1" t="s">
        <v>74</v>
      </c>
      <c r="BK571" s="1" t="s">
        <v>74</v>
      </c>
      <c r="BL571" s="1" t="s">
        <v>2874</v>
      </c>
      <c r="BM571" s="1" t="s">
        <v>74</v>
      </c>
      <c r="BN571" s="1" t="s">
        <v>74</v>
      </c>
      <c r="BO571" s="1" t="s">
        <v>74</v>
      </c>
      <c r="BP571" s="1" t="s">
        <v>74</v>
      </c>
      <c r="BQ571" s="1" t="s">
        <v>74</v>
      </c>
      <c r="BR571" s="1" t="s">
        <v>74</v>
      </c>
      <c r="BS571" s="1" t="s">
        <v>5241</v>
      </c>
      <c r="BT571" s="1" t="str">
        <f>HYPERLINK("https%3A%2F%2Fwww.webofscience.com%2Fwos%2Fwoscc%2Ffull-record%2FWOS:001394651100001","View Full Record in Web of Science")</f>
        <v>View Full Record in Web of Science</v>
      </c>
    </row>
    <row r="572" ht="12.75" customHeight="1">
      <c r="A572" s="1" t="s">
        <v>72</v>
      </c>
      <c r="B572" s="1" t="s">
        <v>5242</v>
      </c>
      <c r="C572" s="1" t="s">
        <v>74</v>
      </c>
      <c r="D572" s="1" t="s">
        <v>74</v>
      </c>
      <c r="E572" s="1" t="s">
        <v>74</v>
      </c>
      <c r="F572" s="1" t="s">
        <v>5243</v>
      </c>
      <c r="G572" s="1" t="s">
        <v>74</v>
      </c>
      <c r="H572" s="1" t="s">
        <v>74</v>
      </c>
      <c r="I572" s="1" t="s">
        <v>5244</v>
      </c>
      <c r="J572" s="1" t="s">
        <v>3784</v>
      </c>
      <c r="K572" s="1" t="s">
        <v>74</v>
      </c>
      <c r="L572" s="1" t="s">
        <v>74</v>
      </c>
      <c r="M572" s="1" t="s">
        <v>74</v>
      </c>
      <c r="N572" s="1" t="s">
        <v>78</v>
      </c>
      <c r="O572" s="1" t="s">
        <v>74</v>
      </c>
      <c r="P572" s="1" t="s">
        <v>74</v>
      </c>
      <c r="Q572" s="1" t="s">
        <v>74</v>
      </c>
      <c r="R572" s="1" t="s">
        <v>74</v>
      </c>
      <c r="S572" s="1" t="s">
        <v>74</v>
      </c>
      <c r="T572" s="1" t="s">
        <v>5245</v>
      </c>
      <c r="U572" s="1" t="s">
        <v>5246</v>
      </c>
      <c r="V572" s="1" t="s">
        <v>5247</v>
      </c>
      <c r="W572" s="1" t="s">
        <v>74</v>
      </c>
      <c r="X572" s="1" t="s">
        <v>74</v>
      </c>
      <c r="Y572" s="1" t="s">
        <v>74</v>
      </c>
      <c r="Z572" s="1" t="s">
        <v>74</v>
      </c>
      <c r="AA572" s="1" t="s">
        <v>74</v>
      </c>
      <c r="AB572" s="1" t="s">
        <v>74</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3788</v>
      </c>
      <c r="AP572" s="1" t="s">
        <v>3789</v>
      </c>
      <c r="AQ572" s="1" t="s">
        <v>74</v>
      </c>
      <c r="AR572" s="1" t="s">
        <v>74</v>
      </c>
      <c r="AS572" s="1" t="s">
        <v>74</v>
      </c>
      <c r="AT572" s="1" t="s">
        <v>335</v>
      </c>
      <c r="AU572" s="1">
        <v>2025.0</v>
      </c>
      <c r="AV572" s="1">
        <v>215.0</v>
      </c>
      <c r="AW572" s="1" t="s">
        <v>74</v>
      </c>
      <c r="AX572" s="1" t="s">
        <v>74</v>
      </c>
      <c r="AY572" s="1" t="s">
        <v>74</v>
      </c>
      <c r="AZ572" s="1" t="s">
        <v>74</v>
      </c>
      <c r="BA572" s="1" t="s">
        <v>74</v>
      </c>
      <c r="BB572" s="1" t="s">
        <v>74</v>
      </c>
      <c r="BC572" s="1" t="s">
        <v>74</v>
      </c>
      <c r="BD572" s="1">
        <v>108009.0</v>
      </c>
      <c r="BE572" s="1" t="s">
        <v>5248</v>
      </c>
      <c r="BF572" s="2" t="str">
        <f>HYPERLINK("http://dx.doi.org/10.1016/j.aap.2025.108009","http://dx.doi.org/10.1016/j.aap.2025.108009")</f>
        <v>http://dx.doi.org/10.1016/j.aap.2025.108009</v>
      </c>
      <c r="BG572" s="1" t="s">
        <v>74</v>
      </c>
      <c r="BH572" s="1" t="s">
        <v>347</v>
      </c>
      <c r="BI572" s="1" t="s">
        <v>74</v>
      </c>
      <c r="BJ572" s="1" t="s">
        <v>74</v>
      </c>
      <c r="BK572" s="1" t="s">
        <v>74</v>
      </c>
      <c r="BL572" s="1" t="s">
        <v>3791</v>
      </c>
      <c r="BM572" s="1" t="s">
        <v>74</v>
      </c>
      <c r="BN572" s="1" t="s">
        <v>74</v>
      </c>
      <c r="BO572" s="1" t="s">
        <v>74</v>
      </c>
      <c r="BP572" s="1" t="s">
        <v>74</v>
      </c>
      <c r="BQ572" s="1" t="s">
        <v>74</v>
      </c>
      <c r="BR572" s="1" t="s">
        <v>74</v>
      </c>
      <c r="BS572" s="1" t="s">
        <v>5249</v>
      </c>
      <c r="BT572" s="1" t="str">
        <f>HYPERLINK("https%3A%2F%2Fwww.webofscience.com%2Fwos%2Fwoscc%2Ffull-record%2FWOS:001467090300001","View Full Record in Web of Science")</f>
        <v>View Full Record in Web of Science</v>
      </c>
    </row>
    <row r="573" ht="12.75" customHeight="1">
      <c r="A573" s="1" t="s">
        <v>72</v>
      </c>
      <c r="B573" s="1" t="s">
        <v>5250</v>
      </c>
      <c r="C573" s="1" t="s">
        <v>74</v>
      </c>
      <c r="D573" s="1" t="s">
        <v>74</v>
      </c>
      <c r="E573" s="1" t="s">
        <v>74</v>
      </c>
      <c r="F573" s="1" t="s">
        <v>5251</v>
      </c>
      <c r="G573" s="1" t="s">
        <v>74</v>
      </c>
      <c r="H573" s="1" t="s">
        <v>74</v>
      </c>
      <c r="I573" s="1" t="s">
        <v>5252</v>
      </c>
      <c r="J573" s="1" t="s">
        <v>1165</v>
      </c>
      <c r="K573" s="1" t="s">
        <v>74</v>
      </c>
      <c r="L573" s="1" t="s">
        <v>74</v>
      </c>
      <c r="M573" s="1" t="s">
        <v>74</v>
      </c>
      <c r="N573" s="1" t="s">
        <v>78</v>
      </c>
      <c r="O573" s="1" t="s">
        <v>74</v>
      </c>
      <c r="P573" s="1" t="s">
        <v>74</v>
      </c>
      <c r="Q573" s="1" t="s">
        <v>74</v>
      </c>
      <c r="R573" s="1" t="s">
        <v>74</v>
      </c>
      <c r="S573" s="1" t="s">
        <v>74</v>
      </c>
      <c r="T573" s="1" t="s">
        <v>5253</v>
      </c>
      <c r="U573" s="1" t="s">
        <v>74</v>
      </c>
      <c r="V573" s="1" t="s">
        <v>5254</v>
      </c>
      <c r="W573" s="1" t="s">
        <v>74</v>
      </c>
      <c r="X573" s="1" t="s">
        <v>74</v>
      </c>
      <c r="Y573" s="1" t="s">
        <v>74</v>
      </c>
      <c r="Z573" s="1" t="s">
        <v>74</v>
      </c>
      <c r="AA573" s="1" t="s">
        <v>74</v>
      </c>
      <c r="AB573" s="1" t="s">
        <v>74</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1168</v>
      </c>
      <c r="AP573" s="1" t="s">
        <v>1169</v>
      </c>
      <c r="AQ573" s="1" t="s">
        <v>74</v>
      </c>
      <c r="AR573" s="1" t="s">
        <v>74</v>
      </c>
      <c r="AS573" s="1" t="s">
        <v>74</v>
      </c>
      <c r="AT573" s="1" t="s">
        <v>200</v>
      </c>
      <c r="AU573" s="1">
        <v>2025.0</v>
      </c>
      <c r="AV573" s="1">
        <v>9.0</v>
      </c>
      <c r="AW573" s="1">
        <v>4.0</v>
      </c>
      <c r="AX573" s="1" t="s">
        <v>74</v>
      </c>
      <c r="AY573" s="1" t="s">
        <v>74</v>
      </c>
      <c r="AZ573" s="1" t="s">
        <v>74</v>
      </c>
      <c r="BA573" s="1" t="s">
        <v>74</v>
      </c>
      <c r="BB573" s="1">
        <v>656.0</v>
      </c>
      <c r="BC573" s="1">
        <v>685.0</v>
      </c>
      <c r="BD573" s="1" t="s">
        <v>74</v>
      </c>
      <c r="BE573" s="1" t="s">
        <v>5255</v>
      </c>
      <c r="BF573" s="2" t="str">
        <f>HYPERLINK("http://dx.doi.org/10.1007/s41666-025-00207-7","http://dx.doi.org/10.1007/s41666-025-00207-7")</f>
        <v>http://dx.doi.org/10.1007/s41666-025-00207-7</v>
      </c>
      <c r="BG573" s="1" t="s">
        <v>74</v>
      </c>
      <c r="BH573" s="1" t="s">
        <v>973</v>
      </c>
      <c r="BI573" s="1" t="s">
        <v>74</v>
      </c>
      <c r="BJ573" s="1" t="s">
        <v>74</v>
      </c>
      <c r="BK573" s="1" t="s">
        <v>74</v>
      </c>
      <c r="BL573" s="1" t="s">
        <v>1171</v>
      </c>
      <c r="BM573" s="1" t="s">
        <v>74</v>
      </c>
      <c r="BN573" s="1" t="s">
        <v>74</v>
      </c>
      <c r="BO573" s="1" t="s">
        <v>74</v>
      </c>
      <c r="BP573" s="1" t="s">
        <v>74</v>
      </c>
      <c r="BQ573" s="1" t="s">
        <v>74</v>
      </c>
      <c r="BR573" s="1" t="s">
        <v>74</v>
      </c>
      <c r="BS573" s="1" t="s">
        <v>5256</v>
      </c>
      <c r="BT573" s="1" t="str">
        <f>HYPERLINK("https%3A%2F%2Fwww.webofscience.com%2Fwos%2Fwoscc%2Ffull-record%2FWOS:001537728000001","View Full Record in Web of Science")</f>
        <v>View Full Record in Web of Science</v>
      </c>
    </row>
    <row r="574" ht="12.75" customHeight="1">
      <c r="A574" s="1" t="s">
        <v>72</v>
      </c>
      <c r="B574" s="1" t="s">
        <v>5257</v>
      </c>
      <c r="C574" s="1" t="s">
        <v>74</v>
      </c>
      <c r="D574" s="1" t="s">
        <v>74</v>
      </c>
      <c r="E574" s="1" t="s">
        <v>74</v>
      </c>
      <c r="F574" s="1" t="s">
        <v>5258</v>
      </c>
      <c r="G574" s="1" t="s">
        <v>74</v>
      </c>
      <c r="H574" s="1" t="s">
        <v>74</v>
      </c>
      <c r="I574" s="1" t="s">
        <v>5259</v>
      </c>
      <c r="J574" s="1" t="s">
        <v>804</v>
      </c>
      <c r="K574" s="1" t="s">
        <v>74</v>
      </c>
      <c r="L574" s="1" t="s">
        <v>74</v>
      </c>
      <c r="M574" s="1" t="s">
        <v>74</v>
      </c>
      <c r="N574" s="1" t="s">
        <v>78</v>
      </c>
      <c r="O574" s="1" t="s">
        <v>74</v>
      </c>
      <c r="P574" s="1" t="s">
        <v>74</v>
      </c>
      <c r="Q574" s="1" t="s">
        <v>74</v>
      </c>
      <c r="R574" s="1" t="s">
        <v>74</v>
      </c>
      <c r="S574" s="1" t="s">
        <v>74</v>
      </c>
      <c r="T574" s="1" t="s">
        <v>5260</v>
      </c>
      <c r="U574" s="1" t="s">
        <v>74</v>
      </c>
      <c r="V574" s="1" t="s">
        <v>5261</v>
      </c>
      <c r="W574" s="1" t="s">
        <v>74</v>
      </c>
      <c r="X574" s="1" t="s">
        <v>74</v>
      </c>
      <c r="Y574" s="1" t="s">
        <v>74</v>
      </c>
      <c r="Z574" s="1" t="s">
        <v>74</v>
      </c>
      <c r="AA574" s="1" t="s">
        <v>74</v>
      </c>
      <c r="AB574" s="1" t="s">
        <v>74</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808</v>
      </c>
      <c r="AP574" s="1" t="s">
        <v>809</v>
      </c>
      <c r="AQ574" s="1" t="s">
        <v>74</v>
      </c>
      <c r="AR574" s="1" t="s">
        <v>74</v>
      </c>
      <c r="AS574" s="1" t="s">
        <v>74</v>
      </c>
      <c r="AT574" s="1" t="s">
        <v>172</v>
      </c>
      <c r="AU574" s="1">
        <v>2024.0</v>
      </c>
      <c r="AV574" s="1">
        <v>160.0</v>
      </c>
      <c r="AW574" s="1" t="s">
        <v>74</v>
      </c>
      <c r="AX574" s="1" t="s">
        <v>74</v>
      </c>
      <c r="AY574" s="1" t="s">
        <v>74</v>
      </c>
      <c r="AZ574" s="1" t="s">
        <v>74</v>
      </c>
      <c r="BA574" s="1" t="s">
        <v>74</v>
      </c>
      <c r="BB574" s="1">
        <v>1.0</v>
      </c>
      <c r="BC574" s="1">
        <v>13.0</v>
      </c>
      <c r="BD574" s="1" t="s">
        <v>74</v>
      </c>
      <c r="BE574" s="1" t="s">
        <v>5262</v>
      </c>
      <c r="BF574" s="2" t="str">
        <f>HYPERLINK("http://dx.doi.org/10.1016/j.future.2024.05.034","http://dx.doi.org/10.1016/j.future.2024.05.034")</f>
        <v>http://dx.doi.org/10.1016/j.future.2024.05.034</v>
      </c>
      <c r="BG574" s="1" t="s">
        <v>74</v>
      </c>
      <c r="BH574" s="1" t="s">
        <v>498</v>
      </c>
      <c r="BI574" s="1" t="s">
        <v>74</v>
      </c>
      <c r="BJ574" s="1" t="s">
        <v>74</v>
      </c>
      <c r="BK574" s="1" t="s">
        <v>74</v>
      </c>
      <c r="BL574" s="1" t="s">
        <v>174</v>
      </c>
      <c r="BM574" s="1" t="s">
        <v>74</v>
      </c>
      <c r="BN574" s="1" t="s">
        <v>74</v>
      </c>
      <c r="BO574" s="1" t="s">
        <v>74</v>
      </c>
      <c r="BP574" s="1" t="s">
        <v>74</v>
      </c>
      <c r="BQ574" s="1" t="s">
        <v>74</v>
      </c>
      <c r="BR574" s="1" t="s">
        <v>74</v>
      </c>
      <c r="BS574" s="1" t="s">
        <v>5263</v>
      </c>
      <c r="BT574" s="1" t="str">
        <f>HYPERLINK("https%3A%2F%2Fwww.webofscience.com%2Fwos%2Fwoscc%2Ffull-record%2FWOS:001263676400001","View Full Record in Web of Science")</f>
        <v>View Full Record in Web of Science</v>
      </c>
    </row>
    <row r="575" ht="12.75" customHeight="1">
      <c r="A575" s="1" t="s">
        <v>72</v>
      </c>
      <c r="B575" s="1" t="s">
        <v>5264</v>
      </c>
      <c r="C575" s="1" t="s">
        <v>74</v>
      </c>
      <c r="D575" s="1" t="s">
        <v>74</v>
      </c>
      <c r="E575" s="1" t="s">
        <v>74</v>
      </c>
      <c r="F575" s="1" t="s">
        <v>5265</v>
      </c>
      <c r="G575" s="1" t="s">
        <v>74</v>
      </c>
      <c r="H575" s="1" t="s">
        <v>74</v>
      </c>
      <c r="I575" s="1" t="s">
        <v>5266</v>
      </c>
      <c r="J575" s="1" t="s">
        <v>147</v>
      </c>
      <c r="K575" s="1" t="s">
        <v>74</v>
      </c>
      <c r="L575" s="1" t="s">
        <v>74</v>
      </c>
      <c r="M575" s="1" t="s">
        <v>74</v>
      </c>
      <c r="N575" s="1" t="s">
        <v>78</v>
      </c>
      <c r="O575" s="1" t="s">
        <v>74</v>
      </c>
      <c r="P575" s="1" t="s">
        <v>74</v>
      </c>
      <c r="Q575" s="1" t="s">
        <v>74</v>
      </c>
      <c r="R575" s="1" t="s">
        <v>74</v>
      </c>
      <c r="S575" s="1" t="s">
        <v>74</v>
      </c>
      <c r="T575" s="1" t="s">
        <v>5267</v>
      </c>
      <c r="U575" s="1" t="s">
        <v>74</v>
      </c>
      <c r="V575" s="1" t="s">
        <v>5268</v>
      </c>
      <c r="W575" s="1" t="s">
        <v>74</v>
      </c>
      <c r="X575" s="1" t="s">
        <v>74</v>
      </c>
      <c r="Y575" s="1" t="s">
        <v>74</v>
      </c>
      <c r="Z575" s="1" t="s">
        <v>74</v>
      </c>
      <c r="AA575" s="1" t="s">
        <v>74</v>
      </c>
      <c r="AB575" s="1" t="s">
        <v>74</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150</v>
      </c>
      <c r="AP575" s="1" t="s">
        <v>74</v>
      </c>
      <c r="AQ575" s="1" t="s">
        <v>74</v>
      </c>
      <c r="AR575" s="1" t="s">
        <v>74</v>
      </c>
      <c r="AS575" s="1" t="s">
        <v>74</v>
      </c>
      <c r="AT575" s="1" t="s">
        <v>74</v>
      </c>
      <c r="AU575" s="1">
        <v>2025.0</v>
      </c>
      <c r="AV575" s="1">
        <v>13.0</v>
      </c>
      <c r="AW575" s="1" t="s">
        <v>74</v>
      </c>
      <c r="AX575" s="1" t="s">
        <v>74</v>
      </c>
      <c r="AY575" s="1" t="s">
        <v>74</v>
      </c>
      <c r="AZ575" s="1" t="s">
        <v>74</v>
      </c>
      <c r="BA575" s="1" t="s">
        <v>74</v>
      </c>
      <c r="BB575" s="1">
        <v>95574.0</v>
      </c>
      <c r="BC575" s="1">
        <v>95593.0</v>
      </c>
      <c r="BD575" s="1" t="s">
        <v>74</v>
      </c>
      <c r="BE575" s="1" t="s">
        <v>5269</v>
      </c>
      <c r="BF575" s="2" t="str">
        <f>HYPERLINK("http://dx.doi.org/10.1109/ACCESS.2025.3575303","http://dx.doi.org/10.1109/ACCESS.2025.3575303")</f>
        <v>http://dx.doi.org/10.1109/ACCESS.2025.3575303</v>
      </c>
      <c r="BG575" s="1" t="s">
        <v>74</v>
      </c>
      <c r="BH575" s="1" t="s">
        <v>74</v>
      </c>
      <c r="BI575" s="1" t="s">
        <v>74</v>
      </c>
      <c r="BJ575" s="1" t="s">
        <v>74</v>
      </c>
      <c r="BK575" s="1" t="s">
        <v>74</v>
      </c>
      <c r="BL575" s="1" t="s">
        <v>152</v>
      </c>
      <c r="BM575" s="1" t="s">
        <v>74</v>
      </c>
      <c r="BN575" s="1" t="s">
        <v>74</v>
      </c>
      <c r="BO575" s="1" t="s">
        <v>153</v>
      </c>
      <c r="BP575" s="1" t="s">
        <v>74</v>
      </c>
      <c r="BQ575" s="1" t="s">
        <v>74</v>
      </c>
      <c r="BR575" s="1" t="s">
        <v>74</v>
      </c>
      <c r="BS575" s="1" t="s">
        <v>5270</v>
      </c>
      <c r="BT575" s="1" t="str">
        <f>HYPERLINK("https%3A%2F%2Fwww.webofscience.com%2Fwos%2Fwoscc%2Ffull-record%2FWOS:001504135500014","View Full Record in Web of Science")</f>
        <v>View Full Record in Web of Science</v>
      </c>
    </row>
    <row r="576" ht="12.75" customHeight="1">
      <c r="A576" s="1" t="s">
        <v>72</v>
      </c>
      <c r="B576" s="1" t="s">
        <v>5271</v>
      </c>
      <c r="C576" s="1" t="s">
        <v>74</v>
      </c>
      <c r="D576" s="1" t="s">
        <v>74</v>
      </c>
      <c r="E576" s="1" t="s">
        <v>74</v>
      </c>
      <c r="F576" s="1" t="s">
        <v>5272</v>
      </c>
      <c r="G576" s="1" t="s">
        <v>74</v>
      </c>
      <c r="H576" s="1" t="s">
        <v>74</v>
      </c>
      <c r="I576" s="1" t="s">
        <v>5273</v>
      </c>
      <c r="J576" s="1" t="s">
        <v>1230</v>
      </c>
      <c r="K576" s="1" t="s">
        <v>74</v>
      </c>
      <c r="L576" s="1" t="s">
        <v>74</v>
      </c>
      <c r="M576" s="1" t="s">
        <v>74</v>
      </c>
      <c r="N576" s="1" t="s">
        <v>78</v>
      </c>
      <c r="O576" s="1" t="s">
        <v>74</v>
      </c>
      <c r="P576" s="1" t="s">
        <v>74</v>
      </c>
      <c r="Q576" s="1" t="s">
        <v>74</v>
      </c>
      <c r="R576" s="1" t="s">
        <v>74</v>
      </c>
      <c r="S576" s="1" t="s">
        <v>74</v>
      </c>
      <c r="T576" s="1" t="s">
        <v>5274</v>
      </c>
      <c r="U576" s="1" t="s">
        <v>74</v>
      </c>
      <c r="V576" s="1" t="s">
        <v>5275</v>
      </c>
      <c r="W576" s="1" t="s">
        <v>74</v>
      </c>
      <c r="X576" s="1" t="s">
        <v>74</v>
      </c>
      <c r="Y576" s="1" t="s">
        <v>74</v>
      </c>
      <c r="Z576" s="1" t="s">
        <v>74</v>
      </c>
      <c r="AA576" s="1" t="s">
        <v>74</v>
      </c>
      <c r="AB576" s="1" t="s">
        <v>74</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1233</v>
      </c>
      <c r="AP576" s="1" t="s">
        <v>1234</v>
      </c>
      <c r="AQ576" s="1" t="s">
        <v>74</v>
      </c>
      <c r="AR576" s="1" t="s">
        <v>74</v>
      </c>
      <c r="AS576" s="1" t="s">
        <v>74</v>
      </c>
      <c r="AT576" s="1" t="s">
        <v>4817</v>
      </c>
      <c r="AU576" s="1">
        <v>2025.0</v>
      </c>
      <c r="AV576" s="1">
        <v>291.0</v>
      </c>
      <c r="AW576" s="1" t="s">
        <v>74</v>
      </c>
      <c r="AX576" s="1" t="s">
        <v>74</v>
      </c>
      <c r="AY576" s="1" t="s">
        <v>74</v>
      </c>
      <c r="AZ576" s="1" t="s">
        <v>74</v>
      </c>
      <c r="BA576" s="1" t="s">
        <v>74</v>
      </c>
      <c r="BB576" s="1" t="s">
        <v>74</v>
      </c>
      <c r="BC576" s="1" t="s">
        <v>74</v>
      </c>
      <c r="BD576" s="1">
        <v>128482.0</v>
      </c>
      <c r="BE576" s="1" t="s">
        <v>5276</v>
      </c>
      <c r="BF576" s="2" t="str">
        <f>HYPERLINK("http://dx.doi.org/10.1016/j.eswa.2025.128482","http://dx.doi.org/10.1016/j.eswa.2025.128482")</f>
        <v>http://dx.doi.org/10.1016/j.eswa.2025.128482</v>
      </c>
      <c r="BG576" s="1" t="s">
        <v>74</v>
      </c>
      <c r="BH576" s="1" t="s">
        <v>112</v>
      </c>
      <c r="BI576" s="1" t="s">
        <v>74</v>
      </c>
      <c r="BJ576" s="1" t="s">
        <v>74</v>
      </c>
      <c r="BK576" s="1" t="s">
        <v>74</v>
      </c>
      <c r="BL576" s="1" t="s">
        <v>1237</v>
      </c>
      <c r="BM576" s="1" t="s">
        <v>74</v>
      </c>
      <c r="BN576" s="1" t="s">
        <v>74</v>
      </c>
      <c r="BO576" s="1" t="s">
        <v>127</v>
      </c>
      <c r="BP576" s="1" t="s">
        <v>74</v>
      </c>
      <c r="BQ576" s="1" t="s">
        <v>74</v>
      </c>
      <c r="BR576" s="1" t="s">
        <v>74</v>
      </c>
      <c r="BS576" s="1" t="s">
        <v>5277</v>
      </c>
      <c r="BT576" s="1" t="str">
        <f>HYPERLINK("https%3A%2F%2Fwww.webofscience.com%2Fwos%2Fwoscc%2Ffull-record%2FWOS:001512630600001","View Full Record in Web of Science")</f>
        <v>View Full Record in Web of Science</v>
      </c>
    </row>
    <row r="577" ht="12.75" customHeight="1">
      <c r="A577" s="1" t="s">
        <v>72</v>
      </c>
      <c r="B577" s="1" t="s">
        <v>5278</v>
      </c>
      <c r="C577" s="1" t="s">
        <v>74</v>
      </c>
      <c r="D577" s="1" t="s">
        <v>74</v>
      </c>
      <c r="E577" s="1" t="s">
        <v>74</v>
      </c>
      <c r="F577" s="1" t="s">
        <v>5279</v>
      </c>
      <c r="G577" s="1" t="s">
        <v>74</v>
      </c>
      <c r="H577" s="1" t="s">
        <v>74</v>
      </c>
      <c r="I577" s="1" t="s">
        <v>5280</v>
      </c>
      <c r="J577" s="1" t="s">
        <v>1230</v>
      </c>
      <c r="K577" s="1" t="s">
        <v>74</v>
      </c>
      <c r="L577" s="1" t="s">
        <v>74</v>
      </c>
      <c r="M577" s="1" t="s">
        <v>74</v>
      </c>
      <c r="N577" s="1" t="s">
        <v>78</v>
      </c>
      <c r="O577" s="1" t="s">
        <v>74</v>
      </c>
      <c r="P577" s="1" t="s">
        <v>74</v>
      </c>
      <c r="Q577" s="1" t="s">
        <v>74</v>
      </c>
      <c r="R577" s="1" t="s">
        <v>74</v>
      </c>
      <c r="S577" s="1" t="s">
        <v>74</v>
      </c>
      <c r="T577" s="1" t="s">
        <v>5281</v>
      </c>
      <c r="U577" s="1" t="s">
        <v>74</v>
      </c>
      <c r="V577" s="1" t="s">
        <v>5282</v>
      </c>
      <c r="W577" s="1" t="s">
        <v>74</v>
      </c>
      <c r="X577" s="1" t="s">
        <v>74</v>
      </c>
      <c r="Y577" s="1" t="s">
        <v>74</v>
      </c>
      <c r="Z577" s="1" t="s">
        <v>74</v>
      </c>
      <c r="AA577" s="1" t="s">
        <v>74</v>
      </c>
      <c r="AB577" s="1" t="s">
        <v>74</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1233</v>
      </c>
      <c r="AP577" s="1" t="s">
        <v>1234</v>
      </c>
      <c r="AQ577" s="1" t="s">
        <v>74</v>
      </c>
      <c r="AR577" s="1" t="s">
        <v>74</v>
      </c>
      <c r="AS577" s="1" t="s">
        <v>74</v>
      </c>
      <c r="AT577" s="1" t="s">
        <v>5283</v>
      </c>
      <c r="AU577" s="1">
        <v>2026.0</v>
      </c>
      <c r="AV577" s="1">
        <v>296.0</v>
      </c>
      <c r="AW577" s="1" t="s">
        <v>74</v>
      </c>
      <c r="AX577" s="1" t="s">
        <v>110</v>
      </c>
      <c r="AY577" s="1" t="s">
        <v>74</v>
      </c>
      <c r="AZ577" s="1" t="s">
        <v>74</v>
      </c>
      <c r="BA577" s="1" t="s">
        <v>74</v>
      </c>
      <c r="BB577" s="1" t="s">
        <v>74</v>
      </c>
      <c r="BC577" s="1" t="s">
        <v>74</v>
      </c>
      <c r="BD577" s="1">
        <v>129011.0</v>
      </c>
      <c r="BE577" s="1" t="s">
        <v>5284</v>
      </c>
      <c r="BF577" s="2" t="str">
        <f>HYPERLINK("http://dx.doi.org/10.1016/j.eswa.2025.129011","http://dx.doi.org/10.1016/j.eswa.2025.129011")</f>
        <v>http://dx.doi.org/10.1016/j.eswa.2025.129011</v>
      </c>
      <c r="BG577" s="1" t="s">
        <v>74</v>
      </c>
      <c r="BH577" s="1" t="s">
        <v>973</v>
      </c>
      <c r="BI577" s="1" t="s">
        <v>74</v>
      </c>
      <c r="BJ577" s="1" t="s">
        <v>74</v>
      </c>
      <c r="BK577" s="1" t="s">
        <v>74</v>
      </c>
      <c r="BL577" s="1" t="s">
        <v>1237</v>
      </c>
      <c r="BM577" s="1" t="s">
        <v>74</v>
      </c>
      <c r="BN577" s="1" t="s">
        <v>74</v>
      </c>
      <c r="BO577" s="1" t="s">
        <v>114</v>
      </c>
      <c r="BP577" s="1" t="s">
        <v>74</v>
      </c>
      <c r="BQ577" s="1" t="s">
        <v>74</v>
      </c>
      <c r="BR577" s="1" t="s">
        <v>74</v>
      </c>
      <c r="BS577" s="1" t="s">
        <v>5285</v>
      </c>
      <c r="BT577" s="1" t="str">
        <f>HYPERLINK("https%3A%2F%2Fwww.webofscience.com%2Fwos%2Fwoscc%2Ffull-record%2FWOS:001540532400008","View Full Record in Web of Science")</f>
        <v>View Full Record in Web of Science</v>
      </c>
    </row>
    <row r="578" ht="12.75" customHeight="1">
      <c r="A578" s="1" t="s">
        <v>72</v>
      </c>
      <c r="B578" s="1" t="s">
        <v>5286</v>
      </c>
      <c r="C578" s="1" t="s">
        <v>74</v>
      </c>
      <c r="D578" s="1" t="s">
        <v>74</v>
      </c>
      <c r="E578" s="1" t="s">
        <v>74</v>
      </c>
      <c r="F578" s="1" t="s">
        <v>5287</v>
      </c>
      <c r="G578" s="1" t="s">
        <v>74</v>
      </c>
      <c r="H578" s="1" t="s">
        <v>74</v>
      </c>
      <c r="I578" s="1" t="s">
        <v>5288</v>
      </c>
      <c r="J578" s="1" t="s">
        <v>471</v>
      </c>
      <c r="K578" s="1" t="s">
        <v>74</v>
      </c>
      <c r="L578" s="1" t="s">
        <v>74</v>
      </c>
      <c r="M578" s="1" t="s">
        <v>74</v>
      </c>
      <c r="N578" s="1" t="s">
        <v>78</v>
      </c>
      <c r="O578" s="1" t="s">
        <v>74</v>
      </c>
      <c r="P578" s="1" t="s">
        <v>74</v>
      </c>
      <c r="Q578" s="1" t="s">
        <v>74</v>
      </c>
      <c r="R578" s="1" t="s">
        <v>74</v>
      </c>
      <c r="S578" s="1" t="s">
        <v>74</v>
      </c>
      <c r="T578" s="1" t="s">
        <v>5289</v>
      </c>
      <c r="U578" s="1" t="s">
        <v>5290</v>
      </c>
      <c r="V578" s="1" t="s">
        <v>5291</v>
      </c>
      <c r="W578" s="1" t="s">
        <v>74</v>
      </c>
      <c r="X578" s="1" t="s">
        <v>74</v>
      </c>
      <c r="Y578" s="1" t="s">
        <v>74</v>
      </c>
      <c r="Z578" s="1" t="s">
        <v>74</v>
      </c>
      <c r="AA578" s="1" t="s">
        <v>74</v>
      </c>
      <c r="AB578" s="1" t="s">
        <v>74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474</v>
      </c>
      <c r="AP578" s="1" t="s">
        <v>74</v>
      </c>
      <c r="AQ578" s="1" t="s">
        <v>74</v>
      </c>
      <c r="AR578" s="1" t="s">
        <v>74</v>
      </c>
      <c r="AS578" s="1" t="s">
        <v>74</v>
      </c>
      <c r="AT578" s="1" t="s">
        <v>5292</v>
      </c>
      <c r="AU578" s="1">
        <v>2025.0</v>
      </c>
      <c r="AV578" s="1">
        <v>14.0</v>
      </c>
      <c r="AW578" s="1">
        <v>5.0</v>
      </c>
      <c r="AX578" s="1" t="s">
        <v>74</v>
      </c>
      <c r="AY578" s="1" t="s">
        <v>74</v>
      </c>
      <c r="AZ578" s="1" t="s">
        <v>74</v>
      </c>
      <c r="BA578" s="1" t="s">
        <v>74</v>
      </c>
      <c r="BB578" s="1" t="s">
        <v>74</v>
      </c>
      <c r="BC578" s="1" t="s">
        <v>74</v>
      </c>
      <c r="BD578" s="1">
        <v>173.0</v>
      </c>
      <c r="BE578" s="1" t="s">
        <v>5293</v>
      </c>
      <c r="BF578" s="2" t="str">
        <f>HYPERLINK("http://dx.doi.org/10.3390/computers14050173","http://dx.doi.org/10.3390/computers14050173")</f>
        <v>http://dx.doi.org/10.3390/computers14050173</v>
      </c>
      <c r="BG578" s="1" t="s">
        <v>74</v>
      </c>
      <c r="BH578" s="1" t="s">
        <v>74</v>
      </c>
      <c r="BI578" s="1" t="s">
        <v>74</v>
      </c>
      <c r="BJ578" s="1" t="s">
        <v>74</v>
      </c>
      <c r="BK578" s="1" t="s">
        <v>74</v>
      </c>
      <c r="BL578" s="1" t="s">
        <v>174</v>
      </c>
      <c r="BM578" s="1" t="s">
        <v>74</v>
      </c>
      <c r="BN578" s="1" t="s">
        <v>74</v>
      </c>
      <c r="BO578" s="1" t="s">
        <v>163</v>
      </c>
      <c r="BP578" s="1" t="s">
        <v>74</v>
      </c>
      <c r="BQ578" s="1" t="s">
        <v>74</v>
      </c>
      <c r="BR578" s="1" t="s">
        <v>74</v>
      </c>
      <c r="BS578" s="1" t="s">
        <v>5294</v>
      </c>
      <c r="BT578" s="1" t="str">
        <f>HYPERLINK("https%3A%2F%2Fwww.webofscience.com%2Fwos%2Fwoscc%2Ffull-record%2FWOS:001496719200001","View Full Record in Web of Science")</f>
        <v>View Full Record in Web of Science</v>
      </c>
    </row>
    <row r="579" ht="12.75" customHeight="1">
      <c r="A579" s="1" t="s">
        <v>72</v>
      </c>
      <c r="B579" s="1" t="s">
        <v>5295</v>
      </c>
      <c r="C579" s="1" t="s">
        <v>74</v>
      </c>
      <c r="D579" s="1" t="s">
        <v>74</v>
      </c>
      <c r="E579" s="1" t="s">
        <v>74</v>
      </c>
      <c r="F579" s="1" t="s">
        <v>5296</v>
      </c>
      <c r="G579" s="1" t="s">
        <v>74</v>
      </c>
      <c r="H579" s="1" t="s">
        <v>74</v>
      </c>
      <c r="I579" s="1" t="s">
        <v>5297</v>
      </c>
      <c r="J579" s="1" t="s">
        <v>1531</v>
      </c>
      <c r="K579" s="1" t="s">
        <v>74</v>
      </c>
      <c r="L579" s="1" t="s">
        <v>74</v>
      </c>
      <c r="M579" s="1" t="s">
        <v>74</v>
      </c>
      <c r="N579" s="1" t="s">
        <v>78</v>
      </c>
      <c r="O579" s="1" t="s">
        <v>74</v>
      </c>
      <c r="P579" s="1" t="s">
        <v>74</v>
      </c>
      <c r="Q579" s="1" t="s">
        <v>74</v>
      </c>
      <c r="R579" s="1" t="s">
        <v>74</v>
      </c>
      <c r="S579" s="1" t="s">
        <v>74</v>
      </c>
      <c r="T579" s="1" t="s">
        <v>5298</v>
      </c>
      <c r="U579" s="1" t="s">
        <v>74</v>
      </c>
      <c r="V579" s="1" t="s">
        <v>5299</v>
      </c>
      <c r="W579" s="1" t="s">
        <v>74</v>
      </c>
      <c r="X579" s="1" t="s">
        <v>74</v>
      </c>
      <c r="Y579" s="1" t="s">
        <v>74</v>
      </c>
      <c r="Z579" s="1" t="s">
        <v>74</v>
      </c>
      <c r="AA579" s="1" t="s">
        <v>74</v>
      </c>
      <c r="AB579" s="1" t="s">
        <v>74</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1534</v>
      </c>
      <c r="AP579" s="1" t="s">
        <v>74</v>
      </c>
      <c r="AQ579" s="1" t="s">
        <v>74</v>
      </c>
      <c r="AR579" s="1" t="s">
        <v>74</v>
      </c>
      <c r="AS579" s="1" t="s">
        <v>74</v>
      </c>
      <c r="AT579" s="1" t="s">
        <v>74</v>
      </c>
      <c r="AU579" s="1">
        <v>2025.0</v>
      </c>
      <c r="AV579" s="1">
        <v>16.0</v>
      </c>
      <c r="AW579" s="1">
        <v>10.0</v>
      </c>
      <c r="AX579" s="1" t="s">
        <v>74</v>
      </c>
      <c r="AY579" s="1" t="s">
        <v>74</v>
      </c>
      <c r="AZ579" s="1" t="s">
        <v>74</v>
      </c>
      <c r="BA579" s="1" t="s">
        <v>74</v>
      </c>
      <c r="BB579" s="1">
        <v>1430.0</v>
      </c>
      <c r="BC579" s="1">
        <v>1441.0</v>
      </c>
      <c r="BD579" s="1" t="s">
        <v>74</v>
      </c>
      <c r="BE579" s="1" t="s">
        <v>5300</v>
      </c>
      <c r="BF579" s="2" t="str">
        <f>HYPERLINK("http://dx.doi.org/10.12720/jait.16.10.1430-1441","http://dx.doi.org/10.12720/jait.16.10.1430-1441")</f>
        <v>http://dx.doi.org/10.12720/jait.16.10.1430-1441</v>
      </c>
      <c r="BG579" s="1" t="s">
        <v>74</v>
      </c>
      <c r="BH579" s="1" t="s">
        <v>74</v>
      </c>
      <c r="BI579" s="1" t="s">
        <v>74</v>
      </c>
      <c r="BJ579" s="1" t="s">
        <v>74</v>
      </c>
      <c r="BK579" s="1" t="s">
        <v>74</v>
      </c>
      <c r="BL579" s="1" t="s">
        <v>174</v>
      </c>
      <c r="BM579" s="1" t="s">
        <v>74</v>
      </c>
      <c r="BN579" s="1" t="s">
        <v>74</v>
      </c>
      <c r="BO579" s="1" t="s">
        <v>163</v>
      </c>
      <c r="BP579" s="1" t="s">
        <v>74</v>
      </c>
      <c r="BQ579" s="1" t="s">
        <v>74</v>
      </c>
      <c r="BR579" s="1" t="s">
        <v>74</v>
      </c>
      <c r="BS579" s="1" t="s">
        <v>5301</v>
      </c>
      <c r="BT579" s="1" t="str">
        <f>HYPERLINK("https%3A%2F%2Fwww.webofscience.com%2Fwos%2Fwoscc%2Ffull-record%2FWOS:001603269600007","View Full Record in Web of Science")</f>
        <v>View Full Record in Web of Science</v>
      </c>
    </row>
    <row r="580" ht="12.75" customHeight="1">
      <c r="A580" s="1" t="s">
        <v>72</v>
      </c>
      <c r="B580" s="1" t="s">
        <v>5302</v>
      </c>
      <c r="C580" s="1" t="s">
        <v>74</v>
      </c>
      <c r="D580" s="1" t="s">
        <v>74</v>
      </c>
      <c r="E580" s="1" t="s">
        <v>74</v>
      </c>
      <c r="F580" s="1" t="s">
        <v>5303</v>
      </c>
      <c r="G580" s="1" t="s">
        <v>74</v>
      </c>
      <c r="H580" s="1" t="s">
        <v>74</v>
      </c>
      <c r="I580" s="1" t="s">
        <v>5304</v>
      </c>
      <c r="J580" s="1" t="s">
        <v>5305</v>
      </c>
      <c r="K580" s="1" t="s">
        <v>74</v>
      </c>
      <c r="L580" s="1" t="s">
        <v>74</v>
      </c>
      <c r="M580" s="1" t="s">
        <v>74</v>
      </c>
      <c r="N580" s="1" t="s">
        <v>78</v>
      </c>
      <c r="O580" s="1" t="s">
        <v>74</v>
      </c>
      <c r="P580" s="1" t="s">
        <v>74</v>
      </c>
      <c r="Q580" s="1" t="s">
        <v>74</v>
      </c>
      <c r="R580" s="1" t="s">
        <v>74</v>
      </c>
      <c r="S580" s="1" t="s">
        <v>74</v>
      </c>
      <c r="T580" s="1" t="s">
        <v>74</v>
      </c>
      <c r="U580" s="1" t="s">
        <v>5306</v>
      </c>
      <c r="V580" s="1" t="s">
        <v>5307</v>
      </c>
      <c r="W580" s="1" t="s">
        <v>74</v>
      </c>
      <c r="X580" s="1" t="s">
        <v>74</v>
      </c>
      <c r="Y580" s="1" t="s">
        <v>74</v>
      </c>
      <c r="Z580" s="1" t="s">
        <v>74</v>
      </c>
      <c r="AA580" s="1" t="s">
        <v>74</v>
      </c>
      <c r="AB580" s="1" t="s">
        <v>74</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5308</v>
      </c>
      <c r="AP580" s="1" t="s">
        <v>5309</v>
      </c>
      <c r="AQ580" s="1" t="s">
        <v>74</v>
      </c>
      <c r="AR580" s="1" t="s">
        <v>74</v>
      </c>
      <c r="AS580" s="1" t="s">
        <v>74</v>
      </c>
      <c r="AT580" s="1" t="s">
        <v>5310</v>
      </c>
      <c r="AU580" s="1">
        <v>2026.0</v>
      </c>
      <c r="AV580" s="1">
        <v>66.0</v>
      </c>
      <c r="AW580" s="1">
        <v>1.0</v>
      </c>
      <c r="AX580" s="1" t="s">
        <v>74</v>
      </c>
      <c r="AY580" s="1" t="s">
        <v>74</v>
      </c>
      <c r="AZ580" s="1" t="s">
        <v>74</v>
      </c>
      <c r="BA580" s="1" t="s">
        <v>74</v>
      </c>
      <c r="BB580" s="1">
        <v>216.0</v>
      </c>
      <c r="BC580" s="1">
        <v>227.0</v>
      </c>
      <c r="BD580" s="1" t="s">
        <v>74</v>
      </c>
      <c r="BE580" s="1" t="s">
        <v>5311</v>
      </c>
      <c r="BF580" s="2" t="str">
        <f>HYPERLINK("http://dx.doi.org/10.1021/acs.jcim.5c02145","http://dx.doi.org/10.1021/acs.jcim.5c02145")</f>
        <v>http://dx.doi.org/10.1021/acs.jcim.5c02145</v>
      </c>
      <c r="BG580" s="1" t="s">
        <v>74</v>
      </c>
      <c r="BH580" s="1" t="s">
        <v>605</v>
      </c>
      <c r="BI580" s="1" t="s">
        <v>74</v>
      </c>
      <c r="BJ580" s="1" t="s">
        <v>74</v>
      </c>
      <c r="BK580" s="1" t="s">
        <v>74</v>
      </c>
      <c r="BL580" s="1" t="s">
        <v>5312</v>
      </c>
      <c r="BM580" s="1" t="s">
        <v>74</v>
      </c>
      <c r="BN580" s="1" t="s">
        <v>74</v>
      </c>
      <c r="BO580" s="1" t="s">
        <v>576</v>
      </c>
      <c r="BP580" s="1" t="s">
        <v>74</v>
      </c>
      <c r="BQ580" s="1" t="s">
        <v>74</v>
      </c>
      <c r="BR580" s="1" t="s">
        <v>74</v>
      </c>
      <c r="BS580" s="1" t="s">
        <v>5313</v>
      </c>
      <c r="BT580" s="1" t="str">
        <f>HYPERLINK("https%3A%2F%2Fwww.webofscience.com%2Fwos%2Fwoscc%2Ffull-record%2FWOS:001642260100001","View Full Record in Web of Science")</f>
        <v>View Full Record in Web of Science</v>
      </c>
    </row>
    <row r="581" ht="12.75" customHeight="1">
      <c r="A581" s="1" t="s">
        <v>72</v>
      </c>
      <c r="B581" s="1" t="s">
        <v>5314</v>
      </c>
      <c r="C581" s="1" t="s">
        <v>74</v>
      </c>
      <c r="D581" s="1" t="s">
        <v>74</v>
      </c>
      <c r="E581" s="1" t="s">
        <v>74</v>
      </c>
      <c r="F581" s="1" t="s">
        <v>5315</v>
      </c>
      <c r="G581" s="1" t="s">
        <v>74</v>
      </c>
      <c r="H581" s="1" t="s">
        <v>74</v>
      </c>
      <c r="I581" s="1" t="s">
        <v>5316</v>
      </c>
      <c r="J581" s="1" t="s">
        <v>550</v>
      </c>
      <c r="K581" s="1" t="s">
        <v>74</v>
      </c>
      <c r="L581" s="1" t="s">
        <v>74</v>
      </c>
      <c r="M581" s="1" t="s">
        <v>74</v>
      </c>
      <c r="N581" s="1" t="s">
        <v>78</v>
      </c>
      <c r="O581" s="1" t="s">
        <v>74</v>
      </c>
      <c r="P581" s="1" t="s">
        <v>74</v>
      </c>
      <c r="Q581" s="1" t="s">
        <v>74</v>
      </c>
      <c r="R581" s="1" t="s">
        <v>74</v>
      </c>
      <c r="S581" s="1" t="s">
        <v>74</v>
      </c>
      <c r="T581" s="1" t="s">
        <v>5317</v>
      </c>
      <c r="U581" s="1" t="s">
        <v>5318</v>
      </c>
      <c r="V581" s="1" t="s">
        <v>5319</v>
      </c>
      <c r="W581" s="1" t="s">
        <v>74</v>
      </c>
      <c r="X581" s="1" t="s">
        <v>74</v>
      </c>
      <c r="Y581" s="1" t="s">
        <v>74</v>
      </c>
      <c r="Z581" s="1" t="s">
        <v>74</v>
      </c>
      <c r="AA581" s="1" t="s">
        <v>74</v>
      </c>
      <c r="AB581" s="1" t="s">
        <v>74</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553</v>
      </c>
      <c r="AP581" s="1" t="s">
        <v>554</v>
      </c>
      <c r="AQ581" s="1" t="s">
        <v>74</v>
      </c>
      <c r="AR581" s="1" t="s">
        <v>74</v>
      </c>
      <c r="AS581" s="1" t="s">
        <v>74</v>
      </c>
      <c r="AT581" s="1" t="s">
        <v>139</v>
      </c>
      <c r="AU581" s="1">
        <v>2026.0</v>
      </c>
      <c r="AV581" s="1">
        <v>197.0</v>
      </c>
      <c r="AW581" s="1" t="s">
        <v>74</v>
      </c>
      <c r="AX581" s="1" t="s">
        <v>74</v>
      </c>
      <c r="AY581" s="1" t="s">
        <v>74</v>
      </c>
      <c r="AZ581" s="1" t="s">
        <v>74</v>
      </c>
      <c r="BA581" s="1" t="s">
        <v>74</v>
      </c>
      <c r="BB581" s="1" t="s">
        <v>74</v>
      </c>
      <c r="BC581" s="1" t="s">
        <v>74</v>
      </c>
      <c r="BD581" s="1">
        <v>106833.0</v>
      </c>
      <c r="BE581" s="1" t="s">
        <v>5320</v>
      </c>
      <c r="BF581" s="2" t="str">
        <f>HYPERLINK("http://dx.doi.org/10.1016/j.envsoft.2025.106833","http://dx.doi.org/10.1016/j.envsoft.2025.106833")</f>
        <v>http://dx.doi.org/10.1016/j.envsoft.2025.106833</v>
      </c>
      <c r="BG581" s="1" t="s">
        <v>74</v>
      </c>
      <c r="BH581" s="1" t="s">
        <v>605</v>
      </c>
      <c r="BI581" s="1" t="s">
        <v>74</v>
      </c>
      <c r="BJ581" s="1" t="s">
        <v>74</v>
      </c>
      <c r="BK581" s="1" t="s">
        <v>74</v>
      </c>
      <c r="BL581" s="1" t="s">
        <v>556</v>
      </c>
      <c r="BM581" s="1" t="s">
        <v>74</v>
      </c>
      <c r="BN581" s="1" t="s">
        <v>74</v>
      </c>
      <c r="BO581" s="1" t="s">
        <v>74</v>
      </c>
      <c r="BP581" s="1" t="s">
        <v>74</v>
      </c>
      <c r="BQ581" s="1" t="s">
        <v>74</v>
      </c>
      <c r="BR581" s="1" t="s">
        <v>74</v>
      </c>
      <c r="BS581" s="1" t="s">
        <v>5321</v>
      </c>
      <c r="BT581" s="1" t="str">
        <f>HYPERLINK("https%3A%2F%2Fwww.webofscience.com%2Fwos%2Fwoscc%2Ffull-record%2FWOS:001648422800001","View Full Record in Web of Science")</f>
        <v>View Full Record in Web of Science</v>
      </c>
    </row>
    <row r="582" ht="12.75" customHeight="1">
      <c r="A582" s="1" t="s">
        <v>72</v>
      </c>
      <c r="B582" s="1" t="s">
        <v>5322</v>
      </c>
      <c r="C582" s="1" t="s">
        <v>74</v>
      </c>
      <c r="D582" s="1" t="s">
        <v>74</v>
      </c>
      <c r="E582" s="1" t="s">
        <v>74</v>
      </c>
      <c r="F582" s="1" t="s">
        <v>5323</v>
      </c>
      <c r="G582" s="1" t="s">
        <v>74</v>
      </c>
      <c r="H582" s="1" t="s">
        <v>74</v>
      </c>
      <c r="I582" s="1" t="s">
        <v>5324</v>
      </c>
      <c r="J582" s="1" t="s">
        <v>239</v>
      </c>
      <c r="K582" s="1" t="s">
        <v>74</v>
      </c>
      <c r="L582" s="1" t="s">
        <v>74</v>
      </c>
      <c r="M582" s="1" t="s">
        <v>74</v>
      </c>
      <c r="N582" s="1" t="s">
        <v>158</v>
      </c>
      <c r="O582" s="1" t="s">
        <v>74</v>
      </c>
      <c r="P582" s="1" t="s">
        <v>74</v>
      </c>
      <c r="Q582" s="1" t="s">
        <v>74</v>
      </c>
      <c r="R582" s="1" t="s">
        <v>74</v>
      </c>
      <c r="S582" s="1" t="s">
        <v>74</v>
      </c>
      <c r="T582" s="1" t="s">
        <v>5325</v>
      </c>
      <c r="U582" s="1" t="s">
        <v>74</v>
      </c>
      <c r="V582" s="1" t="s">
        <v>5326</v>
      </c>
      <c r="W582" s="1" t="s">
        <v>74</v>
      </c>
      <c r="X582" s="1" t="s">
        <v>74</v>
      </c>
      <c r="Y582" s="1" t="s">
        <v>74</v>
      </c>
      <c r="Z582" s="1" t="s">
        <v>74</v>
      </c>
      <c r="AA582" s="1" t="s">
        <v>74</v>
      </c>
      <c r="AB582" s="1" t="s">
        <v>74</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242</v>
      </c>
      <c r="AP582" s="1" t="s">
        <v>74</v>
      </c>
      <c r="AQ582" s="1" t="s">
        <v>74</v>
      </c>
      <c r="AR582" s="1" t="s">
        <v>74</v>
      </c>
      <c r="AS582" s="1" t="s">
        <v>74</v>
      </c>
      <c r="AT582" s="1" t="s">
        <v>5327</v>
      </c>
      <c r="AU582" s="1">
        <v>2025.0</v>
      </c>
      <c r="AV582" s="1">
        <v>14.0</v>
      </c>
      <c r="AW582" s="1">
        <v>16.0</v>
      </c>
      <c r="AX582" s="1" t="s">
        <v>74</v>
      </c>
      <c r="AY582" s="1" t="s">
        <v>74</v>
      </c>
      <c r="AZ582" s="1" t="s">
        <v>74</v>
      </c>
      <c r="BA582" s="1" t="s">
        <v>74</v>
      </c>
      <c r="BB582" s="1" t="s">
        <v>74</v>
      </c>
      <c r="BC582" s="1" t="s">
        <v>74</v>
      </c>
      <c r="BD582" s="1">
        <v>3278.0</v>
      </c>
      <c r="BE582" s="1" t="s">
        <v>5328</v>
      </c>
      <c r="BF582" s="2" t="str">
        <f>HYPERLINK("http://dx.doi.org/10.3390/electronics14163278","http://dx.doi.org/10.3390/electronics14163278")</f>
        <v>http://dx.doi.org/10.3390/electronics14163278</v>
      </c>
      <c r="BG582" s="1" t="s">
        <v>74</v>
      </c>
      <c r="BH582" s="1" t="s">
        <v>74</v>
      </c>
      <c r="BI582" s="1" t="s">
        <v>74</v>
      </c>
      <c r="BJ582" s="1" t="s">
        <v>74</v>
      </c>
      <c r="BK582" s="1" t="s">
        <v>74</v>
      </c>
      <c r="BL582" s="1" t="s">
        <v>244</v>
      </c>
      <c r="BM582" s="1" t="s">
        <v>74</v>
      </c>
      <c r="BN582" s="1" t="s">
        <v>74</v>
      </c>
      <c r="BO582" s="1" t="s">
        <v>163</v>
      </c>
      <c r="BP582" s="1" t="s">
        <v>74</v>
      </c>
      <c r="BQ582" s="1" t="s">
        <v>74</v>
      </c>
      <c r="BR582" s="1" t="s">
        <v>74</v>
      </c>
      <c r="BS582" s="1" t="s">
        <v>5329</v>
      </c>
      <c r="BT582" s="1" t="str">
        <f>HYPERLINK("https%3A%2F%2Fwww.webofscience.com%2Fwos%2Fwoscc%2Ffull-record%2FWOS:001557472700001","View Full Record in Web of Science")</f>
        <v>View Full Record in Web of Science</v>
      </c>
    </row>
    <row r="583" ht="12.75" customHeight="1">
      <c r="A583" s="1" t="s">
        <v>72</v>
      </c>
      <c r="B583" s="1" t="s">
        <v>5330</v>
      </c>
      <c r="C583" s="1" t="s">
        <v>74</v>
      </c>
      <c r="D583" s="1" t="s">
        <v>74</v>
      </c>
      <c r="E583" s="1" t="s">
        <v>74</v>
      </c>
      <c r="F583" s="1" t="s">
        <v>5331</v>
      </c>
      <c r="G583" s="1" t="s">
        <v>74</v>
      </c>
      <c r="H583" s="1" t="s">
        <v>74</v>
      </c>
      <c r="I583" s="1" t="s">
        <v>5332</v>
      </c>
      <c r="J583" s="1" t="s">
        <v>2201</v>
      </c>
      <c r="K583" s="1" t="s">
        <v>74</v>
      </c>
      <c r="L583" s="1" t="s">
        <v>74</v>
      </c>
      <c r="M583" s="1" t="s">
        <v>74</v>
      </c>
      <c r="N583" s="1" t="s">
        <v>78</v>
      </c>
      <c r="O583" s="1" t="s">
        <v>74</v>
      </c>
      <c r="P583" s="1" t="s">
        <v>74</v>
      </c>
      <c r="Q583" s="1" t="s">
        <v>74</v>
      </c>
      <c r="R583" s="1" t="s">
        <v>74</v>
      </c>
      <c r="S583" s="1" t="s">
        <v>74</v>
      </c>
      <c r="T583" s="1" t="s">
        <v>5333</v>
      </c>
      <c r="U583" s="1" t="s">
        <v>74</v>
      </c>
      <c r="V583" s="1" t="s">
        <v>5334</v>
      </c>
      <c r="W583" s="1" t="s">
        <v>74</v>
      </c>
      <c r="X583" s="1" t="s">
        <v>74</v>
      </c>
      <c r="Y583" s="1" t="s">
        <v>74</v>
      </c>
      <c r="Z583" s="1" t="s">
        <v>74</v>
      </c>
      <c r="AA583" s="1" t="s">
        <v>74</v>
      </c>
      <c r="AB583" s="1" t="s">
        <v>74</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2204</v>
      </c>
      <c r="AP583" s="1" t="s">
        <v>2205</v>
      </c>
      <c r="AQ583" s="1" t="s">
        <v>74</v>
      </c>
      <c r="AR583" s="1" t="s">
        <v>74</v>
      </c>
      <c r="AS583" s="1" t="s">
        <v>74</v>
      </c>
      <c r="AT583" s="1" t="s">
        <v>262</v>
      </c>
      <c r="AU583" s="1">
        <v>2025.0</v>
      </c>
      <c r="AV583" s="1">
        <v>207.0</v>
      </c>
      <c r="AW583" s="1" t="s">
        <v>74</v>
      </c>
      <c r="AX583" s="1" t="s">
        <v>74</v>
      </c>
      <c r="AY583" s="1" t="s">
        <v>74</v>
      </c>
      <c r="AZ583" s="1" t="s">
        <v>74</v>
      </c>
      <c r="BA583" s="1" t="s">
        <v>74</v>
      </c>
      <c r="BB583" s="1" t="s">
        <v>74</v>
      </c>
      <c r="BC583" s="1" t="s">
        <v>74</v>
      </c>
      <c r="BD583" s="1">
        <v>111299.0</v>
      </c>
      <c r="BE583" s="1" t="s">
        <v>5335</v>
      </c>
      <c r="BF583" s="2" t="str">
        <f>HYPERLINK("http://dx.doi.org/10.1016/j.cie.2025.111299","http://dx.doi.org/10.1016/j.cie.2025.111299")</f>
        <v>http://dx.doi.org/10.1016/j.cie.2025.111299</v>
      </c>
      <c r="BG583" s="1" t="s">
        <v>74</v>
      </c>
      <c r="BH583" s="1" t="s">
        <v>112</v>
      </c>
      <c r="BI583" s="1" t="s">
        <v>74</v>
      </c>
      <c r="BJ583" s="1" t="s">
        <v>74</v>
      </c>
      <c r="BK583" s="1" t="s">
        <v>74</v>
      </c>
      <c r="BL583" s="1" t="s">
        <v>98</v>
      </c>
      <c r="BM583" s="1" t="s">
        <v>74</v>
      </c>
      <c r="BN583" s="1" t="s">
        <v>74</v>
      </c>
      <c r="BO583" s="1" t="s">
        <v>74</v>
      </c>
      <c r="BP583" s="1" t="s">
        <v>74</v>
      </c>
      <c r="BQ583" s="1" t="s">
        <v>74</v>
      </c>
      <c r="BR583" s="1" t="s">
        <v>74</v>
      </c>
      <c r="BS583" s="1" t="s">
        <v>5336</v>
      </c>
      <c r="BT583" s="1" t="str">
        <f>HYPERLINK("https%3A%2F%2Fwww.webofscience.com%2Fwos%2Fwoscc%2Ffull-record%2FWOS:001511238200003","View Full Record in Web of Science")</f>
        <v>View Full Record in Web of Science</v>
      </c>
    </row>
    <row r="584" ht="12.75" customHeight="1">
      <c r="A584" s="1" t="s">
        <v>72</v>
      </c>
      <c r="B584" s="1" t="s">
        <v>5337</v>
      </c>
      <c r="C584" s="1" t="s">
        <v>74</v>
      </c>
      <c r="D584" s="1" t="s">
        <v>74</v>
      </c>
      <c r="E584" s="1" t="s">
        <v>74</v>
      </c>
      <c r="F584" s="1" t="s">
        <v>5338</v>
      </c>
      <c r="G584" s="1" t="s">
        <v>74</v>
      </c>
      <c r="H584" s="1" t="s">
        <v>74</v>
      </c>
      <c r="I584" s="1" t="s">
        <v>5339</v>
      </c>
      <c r="J584" s="1" t="s">
        <v>147</v>
      </c>
      <c r="K584" s="1" t="s">
        <v>74</v>
      </c>
      <c r="L584" s="1" t="s">
        <v>74</v>
      </c>
      <c r="M584" s="1" t="s">
        <v>74</v>
      </c>
      <c r="N584" s="1" t="s">
        <v>78</v>
      </c>
      <c r="O584" s="1" t="s">
        <v>74</v>
      </c>
      <c r="P584" s="1" t="s">
        <v>74</v>
      </c>
      <c r="Q584" s="1" t="s">
        <v>74</v>
      </c>
      <c r="R584" s="1" t="s">
        <v>74</v>
      </c>
      <c r="S584" s="1" t="s">
        <v>74</v>
      </c>
      <c r="T584" s="1" t="s">
        <v>5340</v>
      </c>
      <c r="U584" s="1" t="s">
        <v>74</v>
      </c>
      <c r="V584" s="1" t="s">
        <v>5341</v>
      </c>
      <c r="W584" s="1" t="s">
        <v>74</v>
      </c>
      <c r="X584" s="1" t="s">
        <v>74</v>
      </c>
      <c r="Y584" s="1" t="s">
        <v>74</v>
      </c>
      <c r="Z584" s="1" t="s">
        <v>74</v>
      </c>
      <c r="AA584" s="1" t="s">
        <v>74</v>
      </c>
      <c r="AB584" s="1" t="s">
        <v>74</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150</v>
      </c>
      <c r="AP584" s="1" t="s">
        <v>74</v>
      </c>
      <c r="AQ584" s="1" t="s">
        <v>74</v>
      </c>
      <c r="AR584" s="1" t="s">
        <v>74</v>
      </c>
      <c r="AS584" s="1" t="s">
        <v>74</v>
      </c>
      <c r="AT584" s="1" t="s">
        <v>74</v>
      </c>
      <c r="AU584" s="1">
        <v>2025.0</v>
      </c>
      <c r="AV584" s="1">
        <v>13.0</v>
      </c>
      <c r="AW584" s="1" t="s">
        <v>74</v>
      </c>
      <c r="AX584" s="1" t="s">
        <v>74</v>
      </c>
      <c r="AY584" s="1" t="s">
        <v>74</v>
      </c>
      <c r="AZ584" s="1" t="s">
        <v>74</v>
      </c>
      <c r="BA584" s="1" t="s">
        <v>74</v>
      </c>
      <c r="BB584" s="1">
        <v>107566.0</v>
      </c>
      <c r="BC584" s="1">
        <v>107582.0</v>
      </c>
      <c r="BD584" s="1" t="s">
        <v>74</v>
      </c>
      <c r="BE584" s="1" t="s">
        <v>5342</v>
      </c>
      <c r="BF584" s="2" t="str">
        <f>HYPERLINK("http://dx.doi.org/10.1109/ACCESS.2025.3577519","http://dx.doi.org/10.1109/ACCESS.2025.3577519")</f>
        <v>http://dx.doi.org/10.1109/ACCESS.2025.3577519</v>
      </c>
      <c r="BG584" s="1" t="s">
        <v>74</v>
      </c>
      <c r="BH584" s="1" t="s">
        <v>74</v>
      </c>
      <c r="BI584" s="1" t="s">
        <v>74</v>
      </c>
      <c r="BJ584" s="1" t="s">
        <v>74</v>
      </c>
      <c r="BK584" s="1" t="s">
        <v>74</v>
      </c>
      <c r="BL584" s="1" t="s">
        <v>152</v>
      </c>
      <c r="BM584" s="1" t="s">
        <v>74</v>
      </c>
      <c r="BN584" s="1" t="s">
        <v>74</v>
      </c>
      <c r="BO584" s="1" t="s">
        <v>153</v>
      </c>
      <c r="BP584" s="1" t="s">
        <v>74</v>
      </c>
      <c r="BQ584" s="1" t="s">
        <v>74</v>
      </c>
      <c r="BR584" s="1" t="s">
        <v>74</v>
      </c>
      <c r="BS584" s="1" t="s">
        <v>5343</v>
      </c>
      <c r="BT584" s="1" t="str">
        <f>HYPERLINK("https%3A%2F%2Fwww.webofscience.com%2Fwos%2Fwoscc%2Ffull-record%2FWOS:001518769800005","View Full Record in Web of Science")</f>
        <v>View Full Record in Web of Science</v>
      </c>
    </row>
    <row r="585" ht="12.75" customHeight="1">
      <c r="A585" s="1" t="s">
        <v>72</v>
      </c>
      <c r="B585" s="1" t="s">
        <v>5344</v>
      </c>
      <c r="C585" s="1" t="s">
        <v>74</v>
      </c>
      <c r="D585" s="1" t="s">
        <v>74</v>
      </c>
      <c r="E585" s="1" t="s">
        <v>74</v>
      </c>
      <c r="F585" s="1" t="s">
        <v>5345</v>
      </c>
      <c r="G585" s="1" t="s">
        <v>74</v>
      </c>
      <c r="H585" s="1" t="s">
        <v>74</v>
      </c>
      <c r="I585" s="1" t="s">
        <v>5346</v>
      </c>
      <c r="J585" s="1" t="s">
        <v>147</v>
      </c>
      <c r="K585" s="1" t="s">
        <v>74</v>
      </c>
      <c r="L585" s="1" t="s">
        <v>74</v>
      </c>
      <c r="M585" s="1" t="s">
        <v>74</v>
      </c>
      <c r="N585" s="1" t="s">
        <v>78</v>
      </c>
      <c r="O585" s="1" t="s">
        <v>74</v>
      </c>
      <c r="P585" s="1" t="s">
        <v>74</v>
      </c>
      <c r="Q585" s="1" t="s">
        <v>74</v>
      </c>
      <c r="R585" s="1" t="s">
        <v>74</v>
      </c>
      <c r="S585" s="1" t="s">
        <v>74</v>
      </c>
      <c r="T585" s="1" t="s">
        <v>5347</v>
      </c>
      <c r="U585" s="1" t="s">
        <v>74</v>
      </c>
      <c r="V585" s="1" t="s">
        <v>5348</v>
      </c>
      <c r="W585" s="1" t="s">
        <v>74</v>
      </c>
      <c r="X585" s="1" t="s">
        <v>74</v>
      </c>
      <c r="Y585" s="1" t="s">
        <v>74</v>
      </c>
      <c r="Z585" s="1" t="s">
        <v>74</v>
      </c>
      <c r="AA585" s="1" t="s">
        <v>74</v>
      </c>
      <c r="AB585" s="1" t="s">
        <v>74</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150</v>
      </c>
      <c r="AP585" s="1" t="s">
        <v>74</v>
      </c>
      <c r="AQ585" s="1" t="s">
        <v>74</v>
      </c>
      <c r="AR585" s="1" t="s">
        <v>74</v>
      </c>
      <c r="AS585" s="1" t="s">
        <v>74</v>
      </c>
      <c r="AT585" s="1" t="s">
        <v>74</v>
      </c>
      <c r="AU585" s="1">
        <v>2025.0</v>
      </c>
      <c r="AV585" s="1">
        <v>13.0</v>
      </c>
      <c r="AW585" s="1" t="s">
        <v>74</v>
      </c>
      <c r="AX585" s="1" t="s">
        <v>74</v>
      </c>
      <c r="AY585" s="1" t="s">
        <v>74</v>
      </c>
      <c r="AZ585" s="1" t="s">
        <v>74</v>
      </c>
      <c r="BA585" s="1" t="s">
        <v>74</v>
      </c>
      <c r="BB585" s="1">
        <v>89627.0</v>
      </c>
      <c r="BC585" s="1">
        <v>89640.0</v>
      </c>
      <c r="BD585" s="1" t="s">
        <v>74</v>
      </c>
      <c r="BE585" s="1" t="s">
        <v>5349</v>
      </c>
      <c r="BF585" s="2" t="str">
        <f>HYPERLINK("http://dx.doi.org/10.1109/ACCESS.2025.3571994","http://dx.doi.org/10.1109/ACCESS.2025.3571994")</f>
        <v>http://dx.doi.org/10.1109/ACCESS.2025.3571994</v>
      </c>
      <c r="BG585" s="1" t="s">
        <v>74</v>
      </c>
      <c r="BH585" s="1" t="s">
        <v>74</v>
      </c>
      <c r="BI585" s="1" t="s">
        <v>74</v>
      </c>
      <c r="BJ585" s="1" t="s">
        <v>74</v>
      </c>
      <c r="BK585" s="1" t="s">
        <v>74</v>
      </c>
      <c r="BL585" s="1" t="s">
        <v>152</v>
      </c>
      <c r="BM585" s="1" t="s">
        <v>74</v>
      </c>
      <c r="BN585" s="1" t="s">
        <v>74</v>
      </c>
      <c r="BO585" s="1" t="s">
        <v>153</v>
      </c>
      <c r="BP585" s="1" t="s">
        <v>74</v>
      </c>
      <c r="BQ585" s="1" t="s">
        <v>74</v>
      </c>
      <c r="BR585" s="1" t="s">
        <v>74</v>
      </c>
      <c r="BS585" s="1" t="s">
        <v>5350</v>
      </c>
      <c r="BT585" s="1" t="str">
        <f>HYPERLINK("https%3A%2F%2Fwww.webofscience.com%2Fwos%2Fwoscc%2Ffull-record%2FWOS:001498048200024","View Full Record in Web of Science")</f>
        <v>View Full Record in Web of Science</v>
      </c>
    </row>
    <row r="586" ht="12.75" customHeight="1">
      <c r="A586" s="1" t="s">
        <v>72</v>
      </c>
      <c r="B586" s="1" t="s">
        <v>5351</v>
      </c>
      <c r="C586" s="1" t="s">
        <v>74</v>
      </c>
      <c r="D586" s="1" t="s">
        <v>74</v>
      </c>
      <c r="E586" s="1" t="s">
        <v>74</v>
      </c>
      <c r="F586" s="1" t="s">
        <v>5352</v>
      </c>
      <c r="G586" s="1" t="s">
        <v>74</v>
      </c>
      <c r="H586" s="1" t="s">
        <v>74</v>
      </c>
      <c r="I586" s="1" t="s">
        <v>5353</v>
      </c>
      <c r="J586" s="1" t="s">
        <v>5354</v>
      </c>
      <c r="K586" s="1" t="s">
        <v>74</v>
      </c>
      <c r="L586" s="1" t="s">
        <v>74</v>
      </c>
      <c r="M586" s="1" t="s">
        <v>74</v>
      </c>
      <c r="N586" s="1" t="s">
        <v>78</v>
      </c>
      <c r="O586" s="1" t="s">
        <v>74</v>
      </c>
      <c r="P586" s="1" t="s">
        <v>74</v>
      </c>
      <c r="Q586" s="1" t="s">
        <v>74</v>
      </c>
      <c r="R586" s="1" t="s">
        <v>74</v>
      </c>
      <c r="S586" s="1" t="s">
        <v>74</v>
      </c>
      <c r="T586" s="1" t="s">
        <v>5355</v>
      </c>
      <c r="U586" s="1" t="s">
        <v>4602</v>
      </c>
      <c r="V586" s="1" t="s">
        <v>5356</v>
      </c>
      <c r="W586" s="1" t="s">
        <v>74</v>
      </c>
      <c r="X586" s="1" t="s">
        <v>74</v>
      </c>
      <c r="Y586" s="1" t="s">
        <v>74</v>
      </c>
      <c r="Z586" s="1" t="s">
        <v>74</v>
      </c>
      <c r="AA586" s="1" t="s">
        <v>74</v>
      </c>
      <c r="AB586" s="1" t="s">
        <v>74</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5357</v>
      </c>
      <c r="AP586" s="1" t="s">
        <v>5358</v>
      </c>
      <c r="AQ586" s="1" t="s">
        <v>74</v>
      </c>
      <c r="AR586" s="1" t="s">
        <v>74</v>
      </c>
      <c r="AS586" s="1" t="s">
        <v>74</v>
      </c>
      <c r="AT586" s="1" t="s">
        <v>74</v>
      </c>
      <c r="AU586" s="1">
        <v>2025.0</v>
      </c>
      <c r="AV586" s="1">
        <v>29.0</v>
      </c>
      <c r="AW586" s="1" t="s">
        <v>74</v>
      </c>
      <c r="AX586" s="1" t="s">
        <v>74</v>
      </c>
      <c r="AY586" s="1" t="s">
        <v>74</v>
      </c>
      <c r="AZ586" s="1" t="s">
        <v>74</v>
      </c>
      <c r="BA586" s="1" t="s">
        <v>74</v>
      </c>
      <c r="BB586" s="1" t="s">
        <v>74</v>
      </c>
      <c r="BC586" s="1" t="s">
        <v>74</v>
      </c>
      <c r="BD586" s="1">
        <v>5573.0</v>
      </c>
      <c r="BE586" s="1" t="s">
        <v>5359</v>
      </c>
      <c r="BF586" s="2" t="str">
        <f>HYPERLINK("http://dx.doi.org/10.3127/ajis.v29.5573","http://dx.doi.org/10.3127/ajis.v29.5573")</f>
        <v>http://dx.doi.org/10.3127/ajis.v29.5573</v>
      </c>
      <c r="BG586" s="1" t="s">
        <v>74</v>
      </c>
      <c r="BH586" s="1" t="s">
        <v>74</v>
      </c>
      <c r="BI586" s="1" t="s">
        <v>74</v>
      </c>
      <c r="BJ586" s="1" t="s">
        <v>74</v>
      </c>
      <c r="BK586" s="1" t="s">
        <v>74</v>
      </c>
      <c r="BL586" s="1" t="s">
        <v>174</v>
      </c>
      <c r="BM586" s="1" t="s">
        <v>74</v>
      </c>
      <c r="BN586" s="1" t="s">
        <v>74</v>
      </c>
      <c r="BO586" s="1" t="s">
        <v>163</v>
      </c>
      <c r="BP586" s="1" t="s">
        <v>74</v>
      </c>
      <c r="BQ586" s="1" t="s">
        <v>74</v>
      </c>
      <c r="BR586" s="1" t="s">
        <v>74</v>
      </c>
      <c r="BS586" s="1" t="s">
        <v>5360</v>
      </c>
      <c r="BT586" s="1" t="str">
        <f>HYPERLINK("https%3A%2F%2Fwww.webofscience.com%2Fwos%2Fwoscc%2Ffull-record%2FWOS:001636465200001","View Full Record in Web of Science")</f>
        <v>View Full Record in Web of Science</v>
      </c>
    </row>
    <row r="587" ht="12.75" customHeight="1">
      <c r="A587" s="1" t="s">
        <v>72</v>
      </c>
      <c r="B587" s="1" t="s">
        <v>5361</v>
      </c>
      <c r="C587" s="1" t="s">
        <v>74</v>
      </c>
      <c r="D587" s="1" t="s">
        <v>74</v>
      </c>
      <c r="E587" s="1" t="s">
        <v>74</v>
      </c>
      <c r="F587" s="1" t="s">
        <v>5362</v>
      </c>
      <c r="G587" s="1" t="s">
        <v>74</v>
      </c>
      <c r="H587" s="1" t="s">
        <v>74</v>
      </c>
      <c r="I587" s="1" t="s">
        <v>5363</v>
      </c>
      <c r="J587" s="1" t="s">
        <v>4230</v>
      </c>
      <c r="K587" s="1" t="s">
        <v>74</v>
      </c>
      <c r="L587" s="1" t="s">
        <v>74</v>
      </c>
      <c r="M587" s="1" t="s">
        <v>74</v>
      </c>
      <c r="N587" s="1" t="s">
        <v>953</v>
      </c>
      <c r="O587" s="1" t="s">
        <v>74</v>
      </c>
      <c r="P587" s="1" t="s">
        <v>74</v>
      </c>
      <c r="Q587" s="1" t="s">
        <v>74</v>
      </c>
      <c r="R587" s="1" t="s">
        <v>74</v>
      </c>
      <c r="S587" s="1" t="s">
        <v>74</v>
      </c>
      <c r="T587" s="1" t="s">
        <v>5364</v>
      </c>
      <c r="U587" s="1" t="s">
        <v>5365</v>
      </c>
      <c r="V587" s="1" t="s">
        <v>5366</v>
      </c>
      <c r="W587" s="1" t="s">
        <v>74</v>
      </c>
      <c r="X587" s="1" t="s">
        <v>74</v>
      </c>
      <c r="Y587" s="1" t="s">
        <v>74</v>
      </c>
      <c r="Z587" s="1" t="s">
        <v>74</v>
      </c>
      <c r="AA587" s="1" t="s">
        <v>74</v>
      </c>
      <c r="AB587" s="1" t="s">
        <v>74</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4234</v>
      </c>
      <c r="AP587" s="1" t="s">
        <v>4235</v>
      </c>
      <c r="AQ587" s="1" t="s">
        <v>74</v>
      </c>
      <c r="AR587" s="1" t="s">
        <v>74</v>
      </c>
      <c r="AS587" s="1" t="s">
        <v>74</v>
      </c>
      <c r="AT587" s="1" t="s">
        <v>5367</v>
      </c>
      <c r="AU587" s="1">
        <v>2025.0</v>
      </c>
      <c r="AV587" s="1" t="s">
        <v>74</v>
      </c>
      <c r="AW587" s="1" t="s">
        <v>74</v>
      </c>
      <c r="AX587" s="1" t="s">
        <v>74</v>
      </c>
      <c r="AY587" s="1" t="s">
        <v>74</v>
      </c>
      <c r="AZ587" s="1" t="s">
        <v>74</v>
      </c>
      <c r="BA587" s="1" t="s">
        <v>74</v>
      </c>
      <c r="BB587" s="1" t="s">
        <v>74</v>
      </c>
      <c r="BC587" s="1" t="s">
        <v>74</v>
      </c>
      <c r="BD587" s="1" t="s">
        <v>74</v>
      </c>
      <c r="BE587" s="1" t="s">
        <v>5368</v>
      </c>
      <c r="BF587" s="2" t="str">
        <f>HYPERLINK("http://dx.doi.org/10.1007/s00146-025-02567-5","http://dx.doi.org/10.1007/s00146-025-02567-5")</f>
        <v>http://dx.doi.org/10.1007/s00146-025-02567-5</v>
      </c>
      <c r="BG587" s="1" t="s">
        <v>74</v>
      </c>
      <c r="BH587" s="1" t="s">
        <v>276</v>
      </c>
      <c r="BI587" s="1" t="s">
        <v>74</v>
      </c>
      <c r="BJ587" s="1" t="s">
        <v>74</v>
      </c>
      <c r="BK587" s="1" t="s">
        <v>74</v>
      </c>
      <c r="BL587" s="1" t="s">
        <v>174</v>
      </c>
      <c r="BM587" s="1" t="s">
        <v>74</v>
      </c>
      <c r="BN587" s="1" t="s">
        <v>74</v>
      </c>
      <c r="BO587" s="1" t="s">
        <v>74</v>
      </c>
      <c r="BP587" s="1" t="s">
        <v>74</v>
      </c>
      <c r="BQ587" s="1" t="s">
        <v>74</v>
      </c>
      <c r="BR587" s="1" t="s">
        <v>74</v>
      </c>
      <c r="BS587" s="1" t="s">
        <v>5369</v>
      </c>
      <c r="BT587" s="1" t="str">
        <f>HYPERLINK("https%3A%2F%2Fwww.webofscience.com%2Fwos%2Fwoscc%2Ffull-record%2FWOS:001556798500001","View Full Record in Web of Science")</f>
        <v>View Full Record in Web of Science</v>
      </c>
    </row>
    <row r="588" ht="12.75" customHeight="1">
      <c r="A588" s="1" t="s">
        <v>72</v>
      </c>
      <c r="B588" s="1" t="s">
        <v>5370</v>
      </c>
      <c r="C588" s="1" t="s">
        <v>74</v>
      </c>
      <c r="D588" s="1" t="s">
        <v>74</v>
      </c>
      <c r="E588" s="1" t="s">
        <v>74</v>
      </c>
      <c r="F588" s="1" t="s">
        <v>5371</v>
      </c>
      <c r="G588" s="1" t="s">
        <v>74</v>
      </c>
      <c r="H588" s="1" t="s">
        <v>74</v>
      </c>
      <c r="I588" s="1" t="s">
        <v>5372</v>
      </c>
      <c r="J588" s="1" t="s">
        <v>5373</v>
      </c>
      <c r="K588" s="1" t="s">
        <v>74</v>
      </c>
      <c r="L588" s="1" t="s">
        <v>74</v>
      </c>
      <c r="M588" s="1" t="s">
        <v>74</v>
      </c>
      <c r="N588" s="1" t="s">
        <v>78</v>
      </c>
      <c r="O588" s="1" t="s">
        <v>74</v>
      </c>
      <c r="P588" s="1" t="s">
        <v>74</v>
      </c>
      <c r="Q588" s="1" t="s">
        <v>74</v>
      </c>
      <c r="R588" s="1" t="s">
        <v>74</v>
      </c>
      <c r="S588" s="1" t="s">
        <v>74</v>
      </c>
      <c r="T588" s="1" t="s">
        <v>5374</v>
      </c>
      <c r="U588" s="1" t="s">
        <v>5375</v>
      </c>
      <c r="V588" s="1" t="s">
        <v>5376</v>
      </c>
      <c r="W588" s="1" t="s">
        <v>74</v>
      </c>
      <c r="X588" s="1" t="s">
        <v>74</v>
      </c>
      <c r="Y588" s="1" t="s">
        <v>74</v>
      </c>
      <c r="Z588" s="1" t="s">
        <v>74</v>
      </c>
      <c r="AA588" s="1" t="s">
        <v>74</v>
      </c>
      <c r="AB588" s="1" t="s">
        <v>74</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5377</v>
      </c>
      <c r="AP588" s="1" t="s">
        <v>5378</v>
      </c>
      <c r="AQ588" s="1" t="s">
        <v>74</v>
      </c>
      <c r="AR588" s="1" t="s">
        <v>74</v>
      </c>
      <c r="AS588" s="1" t="s">
        <v>74</v>
      </c>
      <c r="AT588" s="1" t="s">
        <v>357</v>
      </c>
      <c r="AU588" s="1">
        <v>2025.0</v>
      </c>
      <c r="AV588" s="1">
        <v>20.0</v>
      </c>
      <c r="AW588" s="1">
        <v>4.0</v>
      </c>
      <c r="AX588" s="1" t="s">
        <v>74</v>
      </c>
      <c r="AY588" s="1" t="s">
        <v>74</v>
      </c>
      <c r="AZ588" s="1" t="s">
        <v>74</v>
      </c>
      <c r="BA588" s="1" t="s">
        <v>74</v>
      </c>
      <c r="BB588" s="1">
        <v>3147.0</v>
      </c>
      <c r="BC588" s="1">
        <v>3167.0</v>
      </c>
      <c r="BD588" s="1" t="s">
        <v>74</v>
      </c>
      <c r="BE588" s="1" t="s">
        <v>5379</v>
      </c>
      <c r="BF588" s="2" t="str">
        <f>HYPERLINK("http://dx.doi.org/10.1007/s41060-024-00643-5","http://dx.doi.org/10.1007/s41060-024-00643-5")</f>
        <v>http://dx.doi.org/10.1007/s41060-024-00643-5</v>
      </c>
      <c r="BG588" s="1" t="s">
        <v>74</v>
      </c>
      <c r="BH588" s="1" t="s">
        <v>1080</v>
      </c>
      <c r="BI588" s="1" t="s">
        <v>74</v>
      </c>
      <c r="BJ588" s="1" t="s">
        <v>74</v>
      </c>
      <c r="BK588" s="1" t="s">
        <v>74</v>
      </c>
      <c r="BL588" s="1" t="s">
        <v>174</v>
      </c>
      <c r="BM588" s="1" t="s">
        <v>74</v>
      </c>
      <c r="BN588" s="1" t="s">
        <v>74</v>
      </c>
      <c r="BO588" s="1" t="s">
        <v>74</v>
      </c>
      <c r="BP588" s="1" t="s">
        <v>74</v>
      </c>
      <c r="BQ588" s="1" t="s">
        <v>74</v>
      </c>
      <c r="BR588" s="1" t="s">
        <v>74</v>
      </c>
      <c r="BS588" s="1" t="s">
        <v>5380</v>
      </c>
      <c r="BT588" s="1" t="str">
        <f>HYPERLINK("https%3A%2F%2Fwww.webofscience.com%2Fwos%2Fwoscc%2Ffull-record%2FWOS:001376246200001","View Full Record in Web of Science")</f>
        <v>View Full Record in Web of Science</v>
      </c>
    </row>
    <row r="589" ht="12.75" customHeight="1">
      <c r="A589" s="1" t="s">
        <v>72</v>
      </c>
      <c r="B589" s="1" t="s">
        <v>5381</v>
      </c>
      <c r="C589" s="1" t="s">
        <v>74</v>
      </c>
      <c r="D589" s="1" t="s">
        <v>74</v>
      </c>
      <c r="E589" s="1" t="s">
        <v>74</v>
      </c>
      <c r="F589" s="1" t="s">
        <v>5382</v>
      </c>
      <c r="G589" s="1" t="s">
        <v>74</v>
      </c>
      <c r="H589" s="1" t="s">
        <v>74</v>
      </c>
      <c r="I589" s="1" t="s">
        <v>5383</v>
      </c>
      <c r="J589" s="1" t="s">
        <v>905</v>
      </c>
      <c r="K589" s="1" t="s">
        <v>74</v>
      </c>
      <c r="L589" s="1" t="s">
        <v>74</v>
      </c>
      <c r="M589" s="1" t="s">
        <v>74</v>
      </c>
      <c r="N589" s="1" t="s">
        <v>78</v>
      </c>
      <c r="O589" s="1" t="s">
        <v>74</v>
      </c>
      <c r="P589" s="1" t="s">
        <v>74</v>
      </c>
      <c r="Q589" s="1" t="s">
        <v>74</v>
      </c>
      <c r="R589" s="1" t="s">
        <v>74</v>
      </c>
      <c r="S589" s="1" t="s">
        <v>74</v>
      </c>
      <c r="T589" s="1" t="s">
        <v>5384</v>
      </c>
      <c r="U589" s="1" t="s">
        <v>74</v>
      </c>
      <c r="V589" s="1" t="s">
        <v>5385</v>
      </c>
      <c r="W589" s="1" t="s">
        <v>74</v>
      </c>
      <c r="X589" s="1" t="s">
        <v>74</v>
      </c>
      <c r="Y589" s="1" t="s">
        <v>74</v>
      </c>
      <c r="Z589" s="1" t="s">
        <v>74</v>
      </c>
      <c r="AA589" s="1" t="s">
        <v>74</v>
      </c>
      <c r="AB589" s="1" t="s">
        <v>74</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909</v>
      </c>
      <c r="AP589" s="1" t="s">
        <v>910</v>
      </c>
      <c r="AQ589" s="1" t="s">
        <v>74</v>
      </c>
      <c r="AR589" s="1" t="s">
        <v>74</v>
      </c>
      <c r="AS589" s="1" t="s">
        <v>74</v>
      </c>
      <c r="AT589" s="1" t="s">
        <v>262</v>
      </c>
      <c r="AU589" s="1">
        <v>2024.0</v>
      </c>
      <c r="AV589" s="1">
        <v>113.0</v>
      </c>
      <c r="AW589" s="1">
        <v>9.0</v>
      </c>
      <c r="AX589" s="1" t="s">
        <v>74</v>
      </c>
      <c r="AY589" s="1" t="s">
        <v>74</v>
      </c>
      <c r="AZ589" s="1" t="s">
        <v>74</v>
      </c>
      <c r="BA589" s="1" t="s">
        <v>74</v>
      </c>
      <c r="BB589" s="1">
        <v>7011.0</v>
      </c>
      <c r="BC589" s="1">
        <v>7053.0</v>
      </c>
      <c r="BD589" s="1" t="s">
        <v>74</v>
      </c>
      <c r="BE589" s="1" t="s">
        <v>5386</v>
      </c>
      <c r="BF589" s="2" t="str">
        <f>HYPERLINK("http://dx.doi.org/10.1007/s10994-024-06568-1","http://dx.doi.org/10.1007/s10994-024-06568-1")</f>
        <v>http://dx.doi.org/10.1007/s10994-024-06568-1</v>
      </c>
      <c r="BG589" s="1" t="s">
        <v>74</v>
      </c>
      <c r="BH589" s="1" t="s">
        <v>545</v>
      </c>
      <c r="BI589" s="1" t="s">
        <v>74</v>
      </c>
      <c r="BJ589" s="1" t="s">
        <v>74</v>
      </c>
      <c r="BK589" s="1" t="s">
        <v>74</v>
      </c>
      <c r="BL589" s="1" t="s">
        <v>174</v>
      </c>
      <c r="BM589" s="1" t="s">
        <v>74</v>
      </c>
      <c r="BN589" s="1" t="s">
        <v>74</v>
      </c>
      <c r="BO589" s="1" t="s">
        <v>114</v>
      </c>
      <c r="BP589" s="1" t="s">
        <v>74</v>
      </c>
      <c r="BQ589" s="1" t="s">
        <v>74</v>
      </c>
      <c r="BR589" s="1" t="s">
        <v>74</v>
      </c>
      <c r="BS589" s="1" t="s">
        <v>5387</v>
      </c>
      <c r="BT589" s="1" t="str">
        <f>HYPERLINK("https%3A%2F%2Fwww.webofscience.com%2Fwos%2Fwoscc%2Ffull-record%2FWOS:001272291200001","View Full Record in Web of Science")</f>
        <v>View Full Record in Web of Science</v>
      </c>
    </row>
    <row r="590" ht="12.75" customHeight="1">
      <c r="A590" s="1" t="s">
        <v>72</v>
      </c>
      <c r="B590" s="1" t="s">
        <v>5388</v>
      </c>
      <c r="C590" s="1" t="s">
        <v>74</v>
      </c>
      <c r="D590" s="1" t="s">
        <v>74</v>
      </c>
      <c r="E590" s="1" t="s">
        <v>74</v>
      </c>
      <c r="F590" s="1" t="s">
        <v>5389</v>
      </c>
      <c r="G590" s="1" t="s">
        <v>74</v>
      </c>
      <c r="H590" s="1" t="s">
        <v>74</v>
      </c>
      <c r="I590" s="1" t="s">
        <v>5390</v>
      </c>
      <c r="J590" s="1" t="s">
        <v>966</v>
      </c>
      <c r="K590" s="1" t="s">
        <v>74</v>
      </c>
      <c r="L590" s="1" t="s">
        <v>74</v>
      </c>
      <c r="M590" s="1" t="s">
        <v>74</v>
      </c>
      <c r="N590" s="1" t="s">
        <v>158</v>
      </c>
      <c r="O590" s="1" t="s">
        <v>74</v>
      </c>
      <c r="P590" s="1" t="s">
        <v>74</v>
      </c>
      <c r="Q590" s="1" t="s">
        <v>74</v>
      </c>
      <c r="R590" s="1" t="s">
        <v>74</v>
      </c>
      <c r="S590" s="1" t="s">
        <v>74</v>
      </c>
      <c r="T590" s="1" t="s">
        <v>5391</v>
      </c>
      <c r="U590" s="1" t="s">
        <v>74</v>
      </c>
      <c r="V590" s="1" t="s">
        <v>5392</v>
      </c>
      <c r="W590" s="1" t="s">
        <v>74</v>
      </c>
      <c r="X590" s="1" t="s">
        <v>74</v>
      </c>
      <c r="Y590" s="1" t="s">
        <v>74</v>
      </c>
      <c r="Z590" s="1" t="s">
        <v>74</v>
      </c>
      <c r="AA590" s="1" t="s">
        <v>74</v>
      </c>
      <c r="AB590" s="1" t="s">
        <v>74</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969</v>
      </c>
      <c r="AP590" s="1" t="s">
        <v>970</v>
      </c>
      <c r="AQ590" s="1" t="s">
        <v>74</v>
      </c>
      <c r="AR590" s="1" t="s">
        <v>74</v>
      </c>
      <c r="AS590" s="1" t="s">
        <v>74</v>
      </c>
      <c r="AT590" s="1" t="s">
        <v>5393</v>
      </c>
      <c r="AU590" s="1">
        <v>2025.0</v>
      </c>
      <c r="AV590" s="1">
        <v>328.0</v>
      </c>
      <c r="AW590" s="1" t="s">
        <v>74</v>
      </c>
      <c r="AX590" s="1" t="s">
        <v>74</v>
      </c>
      <c r="AY590" s="1" t="s">
        <v>74</v>
      </c>
      <c r="AZ590" s="1" t="s">
        <v>74</v>
      </c>
      <c r="BA590" s="1" t="s">
        <v>74</v>
      </c>
      <c r="BB590" s="1" t="s">
        <v>74</v>
      </c>
      <c r="BC590" s="1" t="s">
        <v>74</v>
      </c>
      <c r="BD590" s="1">
        <v>114215.0</v>
      </c>
      <c r="BE590" s="1" t="s">
        <v>5394</v>
      </c>
      <c r="BF590" s="2" t="str">
        <f>HYPERLINK("http://dx.doi.org/10.1016/j.knosys.2025.114215","http://dx.doi.org/10.1016/j.knosys.2025.114215")</f>
        <v>http://dx.doi.org/10.1016/j.knosys.2025.114215</v>
      </c>
      <c r="BG590" s="1" t="s">
        <v>74</v>
      </c>
      <c r="BH590" s="1" t="s">
        <v>276</v>
      </c>
      <c r="BI590" s="1" t="s">
        <v>74</v>
      </c>
      <c r="BJ590" s="1" t="s">
        <v>74</v>
      </c>
      <c r="BK590" s="1" t="s">
        <v>74</v>
      </c>
      <c r="BL590" s="1" t="s">
        <v>174</v>
      </c>
      <c r="BM590" s="1" t="s">
        <v>74</v>
      </c>
      <c r="BN590" s="1" t="s">
        <v>74</v>
      </c>
      <c r="BO590" s="1" t="s">
        <v>5395</v>
      </c>
      <c r="BP590" s="1" t="s">
        <v>74</v>
      </c>
      <c r="BQ590" s="1" t="s">
        <v>74</v>
      </c>
      <c r="BR590" s="1" t="s">
        <v>74</v>
      </c>
      <c r="BS590" s="1" t="s">
        <v>5396</v>
      </c>
      <c r="BT590" s="1" t="str">
        <f>HYPERLINK("https%3A%2F%2Fwww.webofscience.com%2Fwos%2Fwoscc%2Ffull-record%2FWOS:001586480400001","View Full Record in Web of Science")</f>
        <v>View Full Record in Web of Science</v>
      </c>
    </row>
    <row r="591" ht="12.75" customHeight="1">
      <c r="A591" s="1" t="s">
        <v>72</v>
      </c>
      <c r="B591" s="1" t="s">
        <v>5397</v>
      </c>
      <c r="C591" s="1" t="s">
        <v>74</v>
      </c>
      <c r="D591" s="1" t="s">
        <v>74</v>
      </c>
      <c r="E591" s="1" t="s">
        <v>74</v>
      </c>
      <c r="F591" s="1" t="s">
        <v>5398</v>
      </c>
      <c r="G591" s="1" t="s">
        <v>74</v>
      </c>
      <c r="H591" s="1" t="s">
        <v>74</v>
      </c>
      <c r="I591" s="1" t="s">
        <v>5399</v>
      </c>
      <c r="J591" s="1" t="s">
        <v>5400</v>
      </c>
      <c r="K591" s="1" t="s">
        <v>74</v>
      </c>
      <c r="L591" s="1" t="s">
        <v>74</v>
      </c>
      <c r="M591" s="1" t="s">
        <v>74</v>
      </c>
      <c r="N591" s="1" t="s">
        <v>953</v>
      </c>
      <c r="O591" s="1" t="s">
        <v>74</v>
      </c>
      <c r="P591" s="1" t="s">
        <v>74</v>
      </c>
      <c r="Q591" s="1" t="s">
        <v>74</v>
      </c>
      <c r="R591" s="1" t="s">
        <v>74</v>
      </c>
      <c r="S591" s="1" t="s">
        <v>74</v>
      </c>
      <c r="T591" s="1" t="s">
        <v>5401</v>
      </c>
      <c r="U591" s="1" t="s">
        <v>74</v>
      </c>
      <c r="V591" s="1" t="s">
        <v>5402</v>
      </c>
      <c r="W591" s="1" t="s">
        <v>74</v>
      </c>
      <c r="X591" s="1" t="s">
        <v>74</v>
      </c>
      <c r="Y591" s="1" t="s">
        <v>74</v>
      </c>
      <c r="Z591" s="1" t="s">
        <v>74</v>
      </c>
      <c r="AA591" s="1" t="s">
        <v>74</v>
      </c>
      <c r="AB591" s="1" t="s">
        <v>74</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5403</v>
      </c>
      <c r="AP591" s="1" t="s">
        <v>5404</v>
      </c>
      <c r="AQ591" s="1" t="s">
        <v>74</v>
      </c>
      <c r="AR591" s="1" t="s">
        <v>74</v>
      </c>
      <c r="AS591" s="1" t="s">
        <v>74</v>
      </c>
      <c r="AT591" s="1">
        <v>2025.0</v>
      </c>
      <c r="AU591" s="1">
        <v>2025.0</v>
      </c>
      <c r="AV591" s="1" t="s">
        <v>74</v>
      </c>
      <c r="AW591" s="1" t="s">
        <v>74</v>
      </c>
      <c r="AX591" s="1" t="s">
        <v>74</v>
      </c>
      <c r="AY591" s="1" t="s">
        <v>74</v>
      </c>
      <c r="AZ591" s="1" t="s">
        <v>74</v>
      </c>
      <c r="BA591" s="1" t="s">
        <v>74</v>
      </c>
      <c r="BB591" s="1" t="s">
        <v>74</v>
      </c>
      <c r="BC591" s="1" t="s">
        <v>74</v>
      </c>
      <c r="BD591" s="1" t="s">
        <v>74</v>
      </c>
      <c r="BE591" s="1" t="s">
        <v>5405</v>
      </c>
      <c r="BF591" s="2" t="str">
        <f>HYPERLINK("http://dx.doi.org/10.1109/MNET.2025.3634409","http://dx.doi.org/10.1109/MNET.2025.3634409")</f>
        <v>http://dx.doi.org/10.1109/MNET.2025.3634409</v>
      </c>
      <c r="BG591" s="1" t="s">
        <v>74</v>
      </c>
      <c r="BH591" s="1" t="s">
        <v>141</v>
      </c>
      <c r="BI591" s="1" t="s">
        <v>74</v>
      </c>
      <c r="BJ591" s="1" t="s">
        <v>74</v>
      </c>
      <c r="BK591" s="1" t="s">
        <v>74</v>
      </c>
      <c r="BL591" s="1" t="s">
        <v>152</v>
      </c>
      <c r="BM591" s="1" t="s">
        <v>74</v>
      </c>
      <c r="BN591" s="1" t="s">
        <v>74</v>
      </c>
      <c r="BO591" s="1" t="s">
        <v>74</v>
      </c>
      <c r="BP591" s="1" t="s">
        <v>74</v>
      </c>
      <c r="BQ591" s="1" t="s">
        <v>74</v>
      </c>
      <c r="BR591" s="1" t="s">
        <v>74</v>
      </c>
      <c r="BS591" s="1" t="s">
        <v>5406</v>
      </c>
      <c r="BT591" s="1" t="str">
        <f>HYPERLINK("https%3A%2F%2Fwww.webofscience.com%2Fwos%2Fwoscc%2Ffull-record%2FWOS:001643501100001","View Full Record in Web of Science")</f>
        <v>View Full Record in Web of Science</v>
      </c>
    </row>
    <row r="592" ht="12.75" customHeight="1">
      <c r="A592" s="1" t="s">
        <v>72</v>
      </c>
      <c r="B592" s="1" t="s">
        <v>5407</v>
      </c>
      <c r="C592" s="1" t="s">
        <v>74</v>
      </c>
      <c r="D592" s="1" t="s">
        <v>74</v>
      </c>
      <c r="E592" s="1" t="s">
        <v>74</v>
      </c>
      <c r="F592" s="1" t="s">
        <v>5408</v>
      </c>
      <c r="G592" s="1" t="s">
        <v>74</v>
      </c>
      <c r="H592" s="1" t="s">
        <v>74</v>
      </c>
      <c r="I592" s="1" t="s">
        <v>5409</v>
      </c>
      <c r="J592" s="1" t="s">
        <v>5410</v>
      </c>
      <c r="K592" s="1" t="s">
        <v>74</v>
      </c>
      <c r="L592" s="1" t="s">
        <v>74</v>
      </c>
      <c r="M592" s="1" t="s">
        <v>74</v>
      </c>
      <c r="N592" s="1" t="s">
        <v>78</v>
      </c>
      <c r="O592" s="1" t="s">
        <v>74</v>
      </c>
      <c r="P592" s="1" t="s">
        <v>74</v>
      </c>
      <c r="Q592" s="1" t="s">
        <v>74</v>
      </c>
      <c r="R592" s="1" t="s">
        <v>74</v>
      </c>
      <c r="S592" s="1" t="s">
        <v>74</v>
      </c>
      <c r="T592" s="1" t="s">
        <v>5411</v>
      </c>
      <c r="U592" s="1" t="s">
        <v>74</v>
      </c>
      <c r="V592" s="1" t="s">
        <v>5412</v>
      </c>
      <c r="W592" s="1" t="s">
        <v>74</v>
      </c>
      <c r="X592" s="1" t="s">
        <v>74</v>
      </c>
      <c r="Y592" s="1" t="s">
        <v>74</v>
      </c>
      <c r="Z592" s="1" t="s">
        <v>74</v>
      </c>
      <c r="AA592" s="1" t="s">
        <v>74</v>
      </c>
      <c r="AB592" s="1" t="s">
        <v>74</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5413</v>
      </c>
      <c r="AP592" s="1" t="s">
        <v>5414</v>
      </c>
      <c r="AQ592" s="1" t="s">
        <v>74</v>
      </c>
      <c r="AR592" s="1" t="s">
        <v>74</v>
      </c>
      <c r="AS592" s="1" t="s">
        <v>74</v>
      </c>
      <c r="AT592" s="1" t="s">
        <v>357</v>
      </c>
      <c r="AU592" s="1">
        <v>2025.0</v>
      </c>
      <c r="AV592" s="1">
        <v>55.0</v>
      </c>
      <c r="AW592" s="1">
        <v>10.0</v>
      </c>
      <c r="AX592" s="1" t="s">
        <v>74</v>
      </c>
      <c r="AY592" s="1" t="s">
        <v>74</v>
      </c>
      <c r="AZ592" s="1" t="s">
        <v>74</v>
      </c>
      <c r="BA592" s="1" t="s">
        <v>74</v>
      </c>
      <c r="BB592" s="1">
        <v>1639.0</v>
      </c>
      <c r="BC592" s="1">
        <v>1656.0</v>
      </c>
      <c r="BD592" s="1" t="s">
        <v>74</v>
      </c>
      <c r="BE592" s="1" t="s">
        <v>5415</v>
      </c>
      <c r="BF592" s="2" t="str">
        <f>HYPERLINK("http://dx.doi.org/10.1002/spe.70002","http://dx.doi.org/10.1002/spe.70002")</f>
        <v>http://dx.doi.org/10.1002/spe.70002</v>
      </c>
      <c r="BG592" s="1" t="s">
        <v>74</v>
      </c>
      <c r="BH592" s="1" t="s">
        <v>112</v>
      </c>
      <c r="BI592" s="1" t="s">
        <v>74</v>
      </c>
      <c r="BJ592" s="1" t="s">
        <v>74</v>
      </c>
      <c r="BK592" s="1" t="s">
        <v>74</v>
      </c>
      <c r="BL592" s="1" t="s">
        <v>174</v>
      </c>
      <c r="BM592" s="1" t="s">
        <v>74</v>
      </c>
      <c r="BN592" s="1" t="s">
        <v>74</v>
      </c>
      <c r="BO592" s="1" t="s">
        <v>74</v>
      </c>
      <c r="BP592" s="1" t="s">
        <v>74</v>
      </c>
      <c r="BQ592" s="1" t="s">
        <v>74</v>
      </c>
      <c r="BR592" s="1" t="s">
        <v>74</v>
      </c>
      <c r="BS592" s="1" t="s">
        <v>5416</v>
      </c>
      <c r="BT592" s="1" t="str">
        <f>HYPERLINK("https%3A%2F%2Fwww.webofscience.com%2Fwos%2Fwoscc%2Ffull-record%2FWOS:001508817500001","View Full Record in Web of Science")</f>
        <v>View Full Record in Web of Science</v>
      </c>
    </row>
    <row r="593" ht="12.75" customHeight="1">
      <c r="A593" s="1" t="s">
        <v>72</v>
      </c>
      <c r="B593" s="1" t="s">
        <v>5417</v>
      </c>
      <c r="C593" s="1" t="s">
        <v>74</v>
      </c>
      <c r="D593" s="1" t="s">
        <v>74</v>
      </c>
      <c r="E593" s="1" t="s">
        <v>74</v>
      </c>
      <c r="F593" s="1" t="s">
        <v>5418</v>
      </c>
      <c r="G593" s="1" t="s">
        <v>74</v>
      </c>
      <c r="H593" s="1" t="s">
        <v>74</v>
      </c>
      <c r="I593" s="1" t="s">
        <v>5419</v>
      </c>
      <c r="J593" s="1" t="s">
        <v>342</v>
      </c>
      <c r="K593" s="1" t="s">
        <v>74</v>
      </c>
      <c r="L593" s="1" t="s">
        <v>74</v>
      </c>
      <c r="M593" s="1" t="s">
        <v>74</v>
      </c>
      <c r="N593" s="1" t="s">
        <v>78</v>
      </c>
      <c r="O593" s="1" t="s">
        <v>74</v>
      </c>
      <c r="P593" s="1" t="s">
        <v>74</v>
      </c>
      <c r="Q593" s="1" t="s">
        <v>74</v>
      </c>
      <c r="R593" s="1" t="s">
        <v>74</v>
      </c>
      <c r="S593" s="1" t="s">
        <v>74</v>
      </c>
      <c r="T593" s="1" t="s">
        <v>5420</v>
      </c>
      <c r="U593" s="1" t="s">
        <v>74</v>
      </c>
      <c r="V593" s="1" t="s">
        <v>5421</v>
      </c>
      <c r="W593" s="1" t="s">
        <v>74</v>
      </c>
      <c r="X593" s="1" t="s">
        <v>74</v>
      </c>
      <c r="Y593" s="1" t="s">
        <v>74</v>
      </c>
      <c r="Z593" s="1" t="s">
        <v>74</v>
      </c>
      <c r="AA593" s="1" t="s">
        <v>74</v>
      </c>
      <c r="AB593" s="1" t="s">
        <v>74</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74</v>
      </c>
      <c r="AP593" s="1" t="s">
        <v>345</v>
      </c>
      <c r="AQ593" s="1" t="s">
        <v>74</v>
      </c>
      <c r="AR593" s="1" t="s">
        <v>74</v>
      </c>
      <c r="AS593" s="1" t="s">
        <v>74</v>
      </c>
      <c r="AT593" s="1" t="s">
        <v>262</v>
      </c>
      <c r="AU593" s="1">
        <v>2025.0</v>
      </c>
      <c r="AV593" s="1">
        <v>48.0</v>
      </c>
      <c r="AW593" s="1" t="s">
        <v>74</v>
      </c>
      <c r="AX593" s="1" t="s">
        <v>74</v>
      </c>
      <c r="AY593" s="1" t="s">
        <v>74</v>
      </c>
      <c r="AZ593" s="1" t="s">
        <v>74</v>
      </c>
      <c r="BA593" s="1" t="s">
        <v>74</v>
      </c>
      <c r="BB593" s="1" t="s">
        <v>74</v>
      </c>
      <c r="BC593" s="1" t="s">
        <v>74</v>
      </c>
      <c r="BD593" s="1">
        <v>100326.0</v>
      </c>
      <c r="BE593" s="1" t="s">
        <v>5422</v>
      </c>
      <c r="BF593" s="2" t="str">
        <f>HYPERLINK("http://dx.doi.org/10.1016/j.osnem.2025.100326","http://dx.doi.org/10.1016/j.osnem.2025.100326")</f>
        <v>http://dx.doi.org/10.1016/j.osnem.2025.100326</v>
      </c>
      <c r="BG593" s="1" t="s">
        <v>74</v>
      </c>
      <c r="BH593" s="1" t="s">
        <v>973</v>
      </c>
      <c r="BI593" s="1" t="s">
        <v>74</v>
      </c>
      <c r="BJ593" s="1" t="s">
        <v>74</v>
      </c>
      <c r="BK593" s="1" t="s">
        <v>74</v>
      </c>
      <c r="BL593" s="1" t="s">
        <v>348</v>
      </c>
      <c r="BM593" s="1" t="s">
        <v>74</v>
      </c>
      <c r="BN593" s="1" t="s">
        <v>74</v>
      </c>
      <c r="BO593" s="1" t="s">
        <v>3736</v>
      </c>
      <c r="BP593" s="1" t="s">
        <v>74</v>
      </c>
      <c r="BQ593" s="1" t="s">
        <v>74</v>
      </c>
      <c r="BR593" s="1" t="s">
        <v>74</v>
      </c>
      <c r="BS593" s="1" t="s">
        <v>5423</v>
      </c>
      <c r="BT593" s="1" t="str">
        <f>HYPERLINK("https%3A%2F%2Fwww.webofscience.com%2Fwos%2Fwoscc%2Ffull-record%2FWOS:001541556500001","View Full Record in Web of Science")</f>
        <v>View Full Record in Web of Science</v>
      </c>
    </row>
    <row r="594" ht="12.75" customHeight="1">
      <c r="A594" s="1" t="s">
        <v>72</v>
      </c>
      <c r="B594" s="1" t="s">
        <v>5424</v>
      </c>
      <c r="C594" s="1" t="s">
        <v>74</v>
      </c>
      <c r="D594" s="1" t="s">
        <v>74</v>
      </c>
      <c r="E594" s="1" t="s">
        <v>74</v>
      </c>
      <c r="F594" s="1" t="s">
        <v>5425</v>
      </c>
      <c r="G594" s="1" t="s">
        <v>74</v>
      </c>
      <c r="H594" s="1" t="s">
        <v>74</v>
      </c>
      <c r="I594" s="1" t="s">
        <v>5426</v>
      </c>
      <c r="J594" s="1" t="s">
        <v>816</v>
      </c>
      <c r="K594" s="1" t="s">
        <v>74</v>
      </c>
      <c r="L594" s="1" t="s">
        <v>74</v>
      </c>
      <c r="M594" s="1" t="s">
        <v>74</v>
      </c>
      <c r="N594" s="1" t="s">
        <v>78</v>
      </c>
      <c r="O594" s="1" t="s">
        <v>74</v>
      </c>
      <c r="P594" s="1" t="s">
        <v>74</v>
      </c>
      <c r="Q594" s="1" t="s">
        <v>74</v>
      </c>
      <c r="R594" s="1" t="s">
        <v>74</v>
      </c>
      <c r="S594" s="1" t="s">
        <v>74</v>
      </c>
      <c r="T594" s="1" t="s">
        <v>5427</v>
      </c>
      <c r="U594" s="1" t="s">
        <v>74</v>
      </c>
      <c r="V594" s="1" t="s">
        <v>5428</v>
      </c>
      <c r="W594" s="1" t="s">
        <v>74</v>
      </c>
      <c r="X594" s="1" t="s">
        <v>74</v>
      </c>
      <c r="Y594" s="1" t="s">
        <v>74</v>
      </c>
      <c r="Z594" s="1" t="s">
        <v>74</v>
      </c>
      <c r="AA594" s="1" t="s">
        <v>74</v>
      </c>
      <c r="AB594" s="1" t="s">
        <v>74</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820</v>
      </c>
      <c r="AP594" s="1" t="s">
        <v>821</v>
      </c>
      <c r="AQ594" s="1" t="s">
        <v>74</v>
      </c>
      <c r="AR594" s="1" t="s">
        <v>74</v>
      </c>
      <c r="AS594" s="1" t="s">
        <v>74</v>
      </c>
      <c r="AT594" s="1" t="s">
        <v>262</v>
      </c>
      <c r="AU594" s="1">
        <v>2025.0</v>
      </c>
      <c r="AV594" s="1">
        <v>169.0</v>
      </c>
      <c r="AW594" s="1" t="s">
        <v>74</v>
      </c>
      <c r="AX594" s="1" t="s">
        <v>74</v>
      </c>
      <c r="AY594" s="1" t="s">
        <v>74</v>
      </c>
      <c r="AZ594" s="1" t="s">
        <v>74</v>
      </c>
      <c r="BA594" s="1" t="s">
        <v>74</v>
      </c>
      <c r="BB594" s="1" t="s">
        <v>74</v>
      </c>
      <c r="BC594" s="1" t="s">
        <v>74</v>
      </c>
      <c r="BD594" s="1">
        <v>104898.0</v>
      </c>
      <c r="BE594" s="1" t="s">
        <v>5429</v>
      </c>
      <c r="BF594" s="2" t="str">
        <f>HYPERLINK("http://dx.doi.org/10.1016/j.jbi.2025.104898","http://dx.doi.org/10.1016/j.jbi.2025.104898")</f>
        <v>http://dx.doi.org/10.1016/j.jbi.2025.104898</v>
      </c>
      <c r="BG594" s="1" t="s">
        <v>74</v>
      </c>
      <c r="BH594" s="1" t="s">
        <v>738</v>
      </c>
      <c r="BI594" s="1" t="s">
        <v>74</v>
      </c>
      <c r="BJ594" s="1" t="s">
        <v>74</v>
      </c>
      <c r="BK594" s="1" t="s">
        <v>74</v>
      </c>
      <c r="BL594" s="1" t="s">
        <v>823</v>
      </c>
      <c r="BM594" s="1" t="s">
        <v>74</v>
      </c>
      <c r="BN594" s="1" t="s">
        <v>74</v>
      </c>
      <c r="BO594" s="1" t="s">
        <v>114</v>
      </c>
      <c r="BP594" s="1" t="s">
        <v>74</v>
      </c>
      <c r="BQ594" s="1" t="s">
        <v>74</v>
      </c>
      <c r="BR594" s="1" t="s">
        <v>74</v>
      </c>
      <c r="BS594" s="1" t="s">
        <v>5430</v>
      </c>
      <c r="BT594" s="1" t="str">
        <f>HYPERLINK("https%3A%2F%2Fwww.webofscience.com%2Fwos%2Fwoscc%2Ffull-record%2FWOS:001561264800001","View Full Record in Web of Science")</f>
        <v>View Full Record in Web of Science</v>
      </c>
    </row>
    <row r="595" ht="12.75" customHeight="1">
      <c r="A595" s="1" t="s">
        <v>72</v>
      </c>
      <c r="B595" s="1" t="s">
        <v>5431</v>
      </c>
      <c r="C595" s="1" t="s">
        <v>74</v>
      </c>
      <c r="D595" s="1" t="s">
        <v>74</v>
      </c>
      <c r="E595" s="1" t="s">
        <v>74</v>
      </c>
      <c r="F595" s="1" t="s">
        <v>5432</v>
      </c>
      <c r="G595" s="1" t="s">
        <v>74</v>
      </c>
      <c r="H595" s="1" t="s">
        <v>74</v>
      </c>
      <c r="I595" s="1" t="s">
        <v>5433</v>
      </c>
      <c r="J595" s="1" t="s">
        <v>239</v>
      </c>
      <c r="K595" s="1" t="s">
        <v>74</v>
      </c>
      <c r="L595" s="1" t="s">
        <v>74</v>
      </c>
      <c r="M595" s="1" t="s">
        <v>74</v>
      </c>
      <c r="N595" s="1" t="s">
        <v>78</v>
      </c>
      <c r="O595" s="1" t="s">
        <v>74</v>
      </c>
      <c r="P595" s="1" t="s">
        <v>74</v>
      </c>
      <c r="Q595" s="1" t="s">
        <v>74</v>
      </c>
      <c r="R595" s="1" t="s">
        <v>74</v>
      </c>
      <c r="S595" s="1" t="s">
        <v>74</v>
      </c>
      <c r="T595" s="1" t="s">
        <v>5434</v>
      </c>
      <c r="U595" s="1" t="s">
        <v>74</v>
      </c>
      <c r="V595" s="1" t="s">
        <v>5435</v>
      </c>
      <c r="W595" s="1" t="s">
        <v>74</v>
      </c>
      <c r="X595" s="1" t="s">
        <v>74</v>
      </c>
      <c r="Y595" s="1" t="s">
        <v>74</v>
      </c>
      <c r="Z595" s="1" t="s">
        <v>74</v>
      </c>
      <c r="AA595" s="1" t="s">
        <v>74</v>
      </c>
      <c r="AB595" s="1" t="s">
        <v>74</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242</v>
      </c>
      <c r="AP595" s="1" t="s">
        <v>74</v>
      </c>
      <c r="AQ595" s="1" t="s">
        <v>74</v>
      </c>
      <c r="AR595" s="1" t="s">
        <v>74</v>
      </c>
      <c r="AS595" s="1" t="s">
        <v>74</v>
      </c>
      <c r="AT595" s="1" t="s">
        <v>5436</v>
      </c>
      <c r="AU595" s="1">
        <v>2025.0</v>
      </c>
      <c r="AV595" s="1">
        <v>14.0</v>
      </c>
      <c r="AW595" s="1">
        <v>23.0</v>
      </c>
      <c r="AX595" s="1" t="s">
        <v>74</v>
      </c>
      <c r="AY595" s="1" t="s">
        <v>74</v>
      </c>
      <c r="AZ595" s="1" t="s">
        <v>74</v>
      </c>
      <c r="BA595" s="1" t="s">
        <v>74</v>
      </c>
      <c r="BB595" s="1" t="s">
        <v>74</v>
      </c>
      <c r="BC595" s="1" t="s">
        <v>74</v>
      </c>
      <c r="BD595" s="1">
        <v>4773.0</v>
      </c>
      <c r="BE595" s="1" t="s">
        <v>5437</v>
      </c>
      <c r="BF595" s="2" t="str">
        <f>HYPERLINK("http://dx.doi.org/10.3390/electronics14234773","http://dx.doi.org/10.3390/electronics14234773")</f>
        <v>http://dx.doi.org/10.3390/electronics14234773</v>
      </c>
      <c r="BG595" s="1" t="s">
        <v>74</v>
      </c>
      <c r="BH595" s="1" t="s">
        <v>74</v>
      </c>
      <c r="BI595" s="1" t="s">
        <v>74</v>
      </c>
      <c r="BJ595" s="1" t="s">
        <v>74</v>
      </c>
      <c r="BK595" s="1" t="s">
        <v>74</v>
      </c>
      <c r="BL595" s="1" t="s">
        <v>244</v>
      </c>
      <c r="BM595" s="1" t="s">
        <v>74</v>
      </c>
      <c r="BN595" s="1" t="s">
        <v>74</v>
      </c>
      <c r="BO595" s="1" t="s">
        <v>163</v>
      </c>
      <c r="BP595" s="1" t="s">
        <v>74</v>
      </c>
      <c r="BQ595" s="1" t="s">
        <v>74</v>
      </c>
      <c r="BR595" s="1" t="s">
        <v>74</v>
      </c>
      <c r="BS595" s="1" t="s">
        <v>5438</v>
      </c>
      <c r="BT595" s="1" t="str">
        <f>HYPERLINK("https%3A%2F%2Fwww.webofscience.com%2Fwos%2Fwoscc%2Ffull-record%2FWOS:001634299400001","View Full Record in Web of Science")</f>
        <v>View Full Record in Web of Science</v>
      </c>
    </row>
    <row r="596" ht="12.75" customHeight="1">
      <c r="A596" s="1" t="s">
        <v>72</v>
      </c>
      <c r="B596" s="1" t="s">
        <v>5439</v>
      </c>
      <c r="C596" s="1" t="s">
        <v>74</v>
      </c>
      <c r="D596" s="1" t="s">
        <v>74</v>
      </c>
      <c r="E596" s="1" t="s">
        <v>74</v>
      </c>
      <c r="F596" s="1" t="s">
        <v>5440</v>
      </c>
      <c r="G596" s="1" t="s">
        <v>74</v>
      </c>
      <c r="H596" s="1" t="s">
        <v>74</v>
      </c>
      <c r="I596" s="1" t="s">
        <v>5441</v>
      </c>
      <c r="J596" s="1" t="s">
        <v>1482</v>
      </c>
      <c r="K596" s="1" t="s">
        <v>74</v>
      </c>
      <c r="L596" s="1" t="s">
        <v>74</v>
      </c>
      <c r="M596" s="1" t="s">
        <v>74</v>
      </c>
      <c r="N596" s="1" t="s">
        <v>78</v>
      </c>
      <c r="O596" s="1" t="s">
        <v>74</v>
      </c>
      <c r="P596" s="1" t="s">
        <v>74</v>
      </c>
      <c r="Q596" s="1" t="s">
        <v>74</v>
      </c>
      <c r="R596" s="1" t="s">
        <v>74</v>
      </c>
      <c r="S596" s="1" t="s">
        <v>74</v>
      </c>
      <c r="T596" s="1" t="s">
        <v>5442</v>
      </c>
      <c r="U596" s="1" t="s">
        <v>1199</v>
      </c>
      <c r="V596" s="1" t="s">
        <v>5443</v>
      </c>
      <c r="W596" s="1" t="s">
        <v>74</v>
      </c>
      <c r="X596" s="1" t="s">
        <v>74</v>
      </c>
      <c r="Y596" s="1" t="s">
        <v>74</v>
      </c>
      <c r="Z596" s="1" t="s">
        <v>74</v>
      </c>
      <c r="AA596" s="1" t="s">
        <v>74</v>
      </c>
      <c r="AB596" s="1" t="s">
        <v>74</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1486</v>
      </c>
      <c r="AP596" s="1" t="s">
        <v>74</v>
      </c>
      <c r="AQ596" s="1" t="s">
        <v>74</v>
      </c>
      <c r="AR596" s="1" t="s">
        <v>74</v>
      </c>
      <c r="AS596" s="1" t="s">
        <v>74</v>
      </c>
      <c r="AT596" s="1" t="s">
        <v>262</v>
      </c>
      <c r="AU596" s="1">
        <v>2025.0</v>
      </c>
      <c r="AV596" s="1">
        <v>21.0</v>
      </c>
      <c r="AW596" s="1" t="s">
        <v>74</v>
      </c>
      <c r="AX596" s="1" t="s">
        <v>74</v>
      </c>
      <c r="AY596" s="1" t="s">
        <v>74</v>
      </c>
      <c r="AZ596" s="1" t="s">
        <v>74</v>
      </c>
      <c r="BA596" s="1" t="s">
        <v>74</v>
      </c>
      <c r="BB596" s="1" t="s">
        <v>74</v>
      </c>
      <c r="BC596" s="1" t="s">
        <v>74</v>
      </c>
      <c r="BD596" s="1">
        <v>100582.0</v>
      </c>
      <c r="BE596" s="1" t="s">
        <v>5444</v>
      </c>
      <c r="BF596" s="2" t="str">
        <f>HYPERLINK("http://dx.doi.org/10.1016/j.egyai.2025.100582","http://dx.doi.org/10.1016/j.egyai.2025.100582")</f>
        <v>http://dx.doi.org/10.1016/j.egyai.2025.100582</v>
      </c>
      <c r="BG596" s="1" t="s">
        <v>74</v>
      </c>
      <c r="BH596" s="1" t="s">
        <v>276</v>
      </c>
      <c r="BI596" s="1" t="s">
        <v>74</v>
      </c>
      <c r="BJ596" s="1" t="s">
        <v>74</v>
      </c>
      <c r="BK596" s="1" t="s">
        <v>74</v>
      </c>
      <c r="BL596" s="1" t="s">
        <v>1488</v>
      </c>
      <c r="BM596" s="1" t="s">
        <v>74</v>
      </c>
      <c r="BN596" s="1" t="s">
        <v>74</v>
      </c>
      <c r="BO596" s="1" t="s">
        <v>153</v>
      </c>
      <c r="BP596" s="1" t="s">
        <v>74</v>
      </c>
      <c r="BQ596" s="1" t="s">
        <v>74</v>
      </c>
      <c r="BR596" s="1" t="s">
        <v>74</v>
      </c>
      <c r="BS596" s="1" t="s">
        <v>5445</v>
      </c>
      <c r="BT596" s="1" t="str">
        <f>HYPERLINK("https%3A%2F%2Fwww.webofscience.com%2Fwos%2Fwoscc%2Ffull-record%2FWOS:001545679400001","View Full Record in Web of Science")</f>
        <v>View Full Record in Web of Science</v>
      </c>
    </row>
    <row r="597" ht="12.75" customHeight="1">
      <c r="A597" s="1" t="s">
        <v>72</v>
      </c>
      <c r="B597" s="1" t="s">
        <v>5446</v>
      </c>
      <c r="C597" s="1" t="s">
        <v>74</v>
      </c>
      <c r="D597" s="1" t="s">
        <v>74</v>
      </c>
      <c r="E597" s="1" t="s">
        <v>74</v>
      </c>
      <c r="F597" s="1" t="s">
        <v>5447</v>
      </c>
      <c r="G597" s="1" t="s">
        <v>74</v>
      </c>
      <c r="H597" s="1" t="s">
        <v>74</v>
      </c>
      <c r="I597" s="1" t="s">
        <v>5448</v>
      </c>
      <c r="J597" s="1" t="s">
        <v>5449</v>
      </c>
      <c r="K597" s="1" t="s">
        <v>74</v>
      </c>
      <c r="L597" s="1" t="s">
        <v>74</v>
      </c>
      <c r="M597" s="1" t="s">
        <v>74</v>
      </c>
      <c r="N597" s="1" t="s">
        <v>78</v>
      </c>
      <c r="O597" s="1" t="s">
        <v>74</v>
      </c>
      <c r="P597" s="1" t="s">
        <v>74</v>
      </c>
      <c r="Q597" s="1" t="s">
        <v>74</v>
      </c>
      <c r="R597" s="1" t="s">
        <v>74</v>
      </c>
      <c r="S597" s="1" t="s">
        <v>74</v>
      </c>
      <c r="T597" s="1" t="s">
        <v>5450</v>
      </c>
      <c r="U597" s="1" t="s">
        <v>74</v>
      </c>
      <c r="V597" s="1" t="s">
        <v>5451</v>
      </c>
      <c r="W597" s="1" t="s">
        <v>74</v>
      </c>
      <c r="X597" s="1" t="s">
        <v>74</v>
      </c>
      <c r="Y597" s="1" t="s">
        <v>74</v>
      </c>
      <c r="Z597" s="1" t="s">
        <v>74</v>
      </c>
      <c r="AA597" s="1" t="s">
        <v>74</v>
      </c>
      <c r="AB597" s="1" t="s">
        <v>74</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5452</v>
      </c>
      <c r="AP597" s="1" t="s">
        <v>5453</v>
      </c>
      <c r="AQ597" s="1" t="s">
        <v>74</v>
      </c>
      <c r="AR597" s="1" t="s">
        <v>74</v>
      </c>
      <c r="AS597" s="1" t="s">
        <v>74</v>
      </c>
      <c r="AT597" s="1" t="s">
        <v>262</v>
      </c>
      <c r="AU597" s="1">
        <v>2025.0</v>
      </c>
      <c r="AV597" s="1">
        <v>185.0</v>
      </c>
      <c r="AW597" s="1" t="s">
        <v>74</v>
      </c>
      <c r="AX597" s="1" t="s">
        <v>74</v>
      </c>
      <c r="AY597" s="1" t="s">
        <v>74</v>
      </c>
      <c r="AZ597" s="1" t="s">
        <v>74</v>
      </c>
      <c r="BA597" s="1" t="s">
        <v>74</v>
      </c>
      <c r="BB597" s="1" t="s">
        <v>74</v>
      </c>
      <c r="BC597" s="1" t="s">
        <v>74</v>
      </c>
      <c r="BD597" s="1">
        <v>107787.0</v>
      </c>
      <c r="BE597" s="1" t="s">
        <v>5454</v>
      </c>
      <c r="BF597" s="2" t="str">
        <f>HYPERLINK("http://dx.doi.org/10.1016/j.infsof.2025.107787","http://dx.doi.org/10.1016/j.infsof.2025.107787")</f>
        <v>http://dx.doi.org/10.1016/j.infsof.2025.107787</v>
      </c>
      <c r="BG597" s="1" t="s">
        <v>74</v>
      </c>
      <c r="BH597" s="1" t="s">
        <v>1150</v>
      </c>
      <c r="BI597" s="1" t="s">
        <v>74</v>
      </c>
      <c r="BJ597" s="1" t="s">
        <v>74</v>
      </c>
      <c r="BK597" s="1" t="s">
        <v>74</v>
      </c>
      <c r="BL597" s="1" t="s">
        <v>174</v>
      </c>
      <c r="BM597" s="1" t="s">
        <v>74</v>
      </c>
      <c r="BN597" s="1" t="s">
        <v>74</v>
      </c>
      <c r="BO597" s="1" t="s">
        <v>74</v>
      </c>
      <c r="BP597" s="1" t="s">
        <v>74</v>
      </c>
      <c r="BQ597" s="1" t="s">
        <v>74</v>
      </c>
      <c r="BR597" s="1" t="s">
        <v>74</v>
      </c>
      <c r="BS597" s="1" t="s">
        <v>5455</v>
      </c>
      <c r="BT597" s="1" t="str">
        <f>HYPERLINK("https%3A%2F%2Fwww.webofscience.com%2Fwos%2Fwoscc%2Ffull-record%2FWOS:001502582300001","View Full Record in Web of Science")</f>
        <v>View Full Record in Web of Science</v>
      </c>
    </row>
    <row r="598" ht="12.75" customHeight="1">
      <c r="A598" s="1" t="s">
        <v>72</v>
      </c>
      <c r="B598" s="1" t="s">
        <v>5456</v>
      </c>
      <c r="C598" s="1" t="s">
        <v>74</v>
      </c>
      <c r="D598" s="1" t="s">
        <v>74</v>
      </c>
      <c r="E598" s="1" t="s">
        <v>74</v>
      </c>
      <c r="F598" s="1" t="s">
        <v>5457</v>
      </c>
      <c r="G598" s="1" t="s">
        <v>74</v>
      </c>
      <c r="H598" s="1" t="s">
        <v>74</v>
      </c>
      <c r="I598" s="1" t="s">
        <v>5458</v>
      </c>
      <c r="J598" s="1" t="s">
        <v>765</v>
      </c>
      <c r="K598" s="1" t="s">
        <v>74</v>
      </c>
      <c r="L598" s="1" t="s">
        <v>74</v>
      </c>
      <c r="M598" s="1" t="s">
        <v>74</v>
      </c>
      <c r="N598" s="1" t="s">
        <v>78</v>
      </c>
      <c r="O598" s="1" t="s">
        <v>74</v>
      </c>
      <c r="P598" s="1" t="s">
        <v>74</v>
      </c>
      <c r="Q598" s="1" t="s">
        <v>74</v>
      </c>
      <c r="R598" s="1" t="s">
        <v>74</v>
      </c>
      <c r="S598" s="1" t="s">
        <v>74</v>
      </c>
      <c r="T598" s="1" t="s">
        <v>5459</v>
      </c>
      <c r="U598" s="1" t="s">
        <v>5460</v>
      </c>
      <c r="V598" s="1" t="s">
        <v>5461</v>
      </c>
      <c r="W598" s="1" t="s">
        <v>74</v>
      </c>
      <c r="X598" s="1" t="s">
        <v>74</v>
      </c>
      <c r="Y598" s="1" t="s">
        <v>74</v>
      </c>
      <c r="Z598" s="1" t="s">
        <v>74</v>
      </c>
      <c r="AA598" s="1" t="s">
        <v>74</v>
      </c>
      <c r="AB598" s="1" t="s">
        <v>74</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768</v>
      </c>
      <c r="AP598" s="1" t="s">
        <v>769</v>
      </c>
      <c r="AQ598" s="1" t="s">
        <v>74</v>
      </c>
      <c r="AR598" s="1" t="s">
        <v>74</v>
      </c>
      <c r="AS598" s="1" t="s">
        <v>74</v>
      </c>
      <c r="AT598" s="1" t="s">
        <v>594</v>
      </c>
      <c r="AU598" s="1">
        <v>2025.0</v>
      </c>
      <c r="AV598" s="1">
        <v>28.0</v>
      </c>
      <c r="AW598" s="1">
        <v>1.0</v>
      </c>
      <c r="AX598" s="1" t="s">
        <v>74</v>
      </c>
      <c r="AY598" s="1" t="s">
        <v>74</v>
      </c>
      <c r="AZ598" s="1" t="s">
        <v>74</v>
      </c>
      <c r="BA598" s="1" t="s">
        <v>74</v>
      </c>
      <c r="BB598" s="1" t="s">
        <v>74</v>
      </c>
      <c r="BC598" s="1" t="s">
        <v>74</v>
      </c>
      <c r="BD598" s="1">
        <v>138.0</v>
      </c>
      <c r="BE598" s="1" t="s">
        <v>5462</v>
      </c>
      <c r="BF598" s="2" t="str">
        <f>HYPERLINK("http://dx.doi.org/10.1007/s10791-025-09667-2","http://dx.doi.org/10.1007/s10791-025-09667-2")</f>
        <v>http://dx.doi.org/10.1007/s10791-025-09667-2</v>
      </c>
      <c r="BG598" s="1" t="s">
        <v>74</v>
      </c>
      <c r="BH598" s="1" t="s">
        <v>74</v>
      </c>
      <c r="BI598" s="1" t="s">
        <v>74</v>
      </c>
      <c r="BJ598" s="1" t="s">
        <v>74</v>
      </c>
      <c r="BK598" s="1" t="s">
        <v>74</v>
      </c>
      <c r="BL598" s="1" t="s">
        <v>174</v>
      </c>
      <c r="BM598" s="1" t="s">
        <v>74</v>
      </c>
      <c r="BN598" s="1" t="s">
        <v>74</v>
      </c>
      <c r="BO598" s="1" t="s">
        <v>163</v>
      </c>
      <c r="BP598" s="1" t="s">
        <v>74</v>
      </c>
      <c r="BQ598" s="1" t="s">
        <v>74</v>
      </c>
      <c r="BR598" s="1" t="s">
        <v>74</v>
      </c>
      <c r="BS598" s="1" t="s">
        <v>5463</v>
      </c>
      <c r="BT598" s="1" t="str">
        <f>HYPERLINK("https%3A%2F%2Fwww.webofscience.com%2Fwos%2Fwoscc%2Ffull-record%2FWOS:001522742800001","View Full Record in Web of Science")</f>
        <v>View Full Record in Web of Science</v>
      </c>
    </row>
    <row r="599" ht="12.75" customHeight="1">
      <c r="A599" s="1" t="s">
        <v>72</v>
      </c>
      <c r="B599" s="1" t="s">
        <v>5464</v>
      </c>
      <c r="C599" s="1" t="s">
        <v>74</v>
      </c>
      <c r="D599" s="1" t="s">
        <v>74</v>
      </c>
      <c r="E599" s="1" t="s">
        <v>74</v>
      </c>
      <c r="F599" s="1" t="s">
        <v>5465</v>
      </c>
      <c r="G599" s="1" t="s">
        <v>74</v>
      </c>
      <c r="H599" s="1" t="s">
        <v>74</v>
      </c>
      <c r="I599" s="1" t="s">
        <v>5466</v>
      </c>
      <c r="J599" s="1" t="s">
        <v>147</v>
      </c>
      <c r="K599" s="1" t="s">
        <v>74</v>
      </c>
      <c r="L599" s="1" t="s">
        <v>74</v>
      </c>
      <c r="M599" s="1" t="s">
        <v>74</v>
      </c>
      <c r="N599" s="1" t="s">
        <v>78</v>
      </c>
      <c r="O599" s="1" t="s">
        <v>74</v>
      </c>
      <c r="P599" s="1" t="s">
        <v>74</v>
      </c>
      <c r="Q599" s="1" t="s">
        <v>74</v>
      </c>
      <c r="R599" s="1" t="s">
        <v>74</v>
      </c>
      <c r="S599" s="1" t="s">
        <v>74</v>
      </c>
      <c r="T599" s="1" t="s">
        <v>5467</v>
      </c>
      <c r="U599" s="1" t="s">
        <v>74</v>
      </c>
      <c r="V599" s="1" t="s">
        <v>5468</v>
      </c>
      <c r="W599" s="1" t="s">
        <v>74</v>
      </c>
      <c r="X599" s="1" t="s">
        <v>74</v>
      </c>
      <c r="Y599" s="1" t="s">
        <v>74</v>
      </c>
      <c r="Z599" s="1" t="s">
        <v>74</v>
      </c>
      <c r="AA599" s="1" t="s">
        <v>74</v>
      </c>
      <c r="AB599" s="1" t="s">
        <v>74</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150</v>
      </c>
      <c r="AP599" s="1" t="s">
        <v>74</v>
      </c>
      <c r="AQ599" s="1" t="s">
        <v>74</v>
      </c>
      <c r="AR599" s="1" t="s">
        <v>74</v>
      </c>
      <c r="AS599" s="1" t="s">
        <v>74</v>
      </c>
      <c r="AT599" s="1" t="s">
        <v>74</v>
      </c>
      <c r="AU599" s="1">
        <v>2025.0</v>
      </c>
      <c r="AV599" s="1">
        <v>13.0</v>
      </c>
      <c r="AW599" s="1" t="s">
        <v>74</v>
      </c>
      <c r="AX599" s="1" t="s">
        <v>74</v>
      </c>
      <c r="AY599" s="1" t="s">
        <v>74</v>
      </c>
      <c r="AZ599" s="1" t="s">
        <v>74</v>
      </c>
      <c r="BA599" s="1" t="s">
        <v>74</v>
      </c>
      <c r="BB599" s="1">
        <v>37522.0</v>
      </c>
      <c r="BC599" s="1">
        <v>37533.0</v>
      </c>
      <c r="BD599" s="1" t="s">
        <v>74</v>
      </c>
      <c r="BE599" s="1" t="s">
        <v>5469</v>
      </c>
      <c r="BF599" s="2" t="str">
        <f>HYPERLINK("http://dx.doi.org/10.1109/ACCESS.2025.3544637","http://dx.doi.org/10.1109/ACCESS.2025.3544637")</f>
        <v>http://dx.doi.org/10.1109/ACCESS.2025.3544637</v>
      </c>
      <c r="BG599" s="1" t="s">
        <v>74</v>
      </c>
      <c r="BH599" s="1" t="s">
        <v>74</v>
      </c>
      <c r="BI599" s="1" t="s">
        <v>74</v>
      </c>
      <c r="BJ599" s="1" t="s">
        <v>74</v>
      </c>
      <c r="BK599" s="1" t="s">
        <v>74</v>
      </c>
      <c r="BL599" s="1" t="s">
        <v>152</v>
      </c>
      <c r="BM599" s="1" t="s">
        <v>74</v>
      </c>
      <c r="BN599" s="1" t="s">
        <v>74</v>
      </c>
      <c r="BO599" s="1" t="s">
        <v>153</v>
      </c>
      <c r="BP599" s="1" t="s">
        <v>74</v>
      </c>
      <c r="BQ599" s="1" t="s">
        <v>74</v>
      </c>
      <c r="BR599" s="1" t="s">
        <v>74</v>
      </c>
      <c r="BS599" s="1" t="s">
        <v>5470</v>
      </c>
      <c r="BT599" s="1" t="str">
        <f>HYPERLINK("https%3A%2F%2Fwww.webofscience.com%2Fwos%2Fwoscc%2Ffull-record%2FWOS:001494114100014","View Full Record in Web of Science")</f>
        <v>View Full Record in Web of Science</v>
      </c>
    </row>
    <row r="600" ht="12.75" customHeight="1">
      <c r="A600" s="1" t="s">
        <v>72</v>
      </c>
      <c r="B600" s="1" t="s">
        <v>5471</v>
      </c>
      <c r="C600" s="1" t="s">
        <v>74</v>
      </c>
      <c r="D600" s="1" t="s">
        <v>74</v>
      </c>
      <c r="E600" s="1" t="s">
        <v>74</v>
      </c>
      <c r="F600" s="1" t="s">
        <v>5472</v>
      </c>
      <c r="G600" s="1" t="s">
        <v>74</v>
      </c>
      <c r="H600" s="1" t="s">
        <v>74</v>
      </c>
      <c r="I600" s="1" t="s">
        <v>5473</v>
      </c>
      <c r="J600" s="1" t="s">
        <v>103</v>
      </c>
      <c r="K600" s="1" t="s">
        <v>74</v>
      </c>
      <c r="L600" s="1" t="s">
        <v>74</v>
      </c>
      <c r="M600" s="1" t="s">
        <v>74</v>
      </c>
      <c r="N600" s="1" t="s">
        <v>78</v>
      </c>
      <c r="O600" s="1" t="s">
        <v>74</v>
      </c>
      <c r="P600" s="1" t="s">
        <v>74</v>
      </c>
      <c r="Q600" s="1" t="s">
        <v>74</v>
      </c>
      <c r="R600" s="1" t="s">
        <v>74</v>
      </c>
      <c r="S600" s="1" t="s">
        <v>74</v>
      </c>
      <c r="T600" s="1" t="s">
        <v>5474</v>
      </c>
      <c r="U600" s="1" t="s">
        <v>74</v>
      </c>
      <c r="V600" s="1" t="s">
        <v>5475</v>
      </c>
      <c r="W600" s="1" t="s">
        <v>74</v>
      </c>
      <c r="X600" s="1" t="s">
        <v>74</v>
      </c>
      <c r="Y600" s="1" t="s">
        <v>74</v>
      </c>
      <c r="Z600" s="1" t="s">
        <v>74</v>
      </c>
      <c r="AA600" s="1" t="s">
        <v>74</v>
      </c>
      <c r="AB600" s="1" t="s">
        <v>74</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107</v>
      </c>
      <c r="AP600" s="1" t="s">
        <v>108</v>
      </c>
      <c r="AQ600" s="1" t="s">
        <v>74</v>
      </c>
      <c r="AR600" s="1" t="s">
        <v>74</v>
      </c>
      <c r="AS600" s="1" t="s">
        <v>74</v>
      </c>
      <c r="AT600" s="1" t="s">
        <v>3436</v>
      </c>
      <c r="AU600" s="1">
        <v>2025.0</v>
      </c>
      <c r="AV600" s="1">
        <v>161.0</v>
      </c>
      <c r="AW600" s="1" t="s">
        <v>74</v>
      </c>
      <c r="AX600" s="1" t="s">
        <v>1409</v>
      </c>
      <c r="AY600" s="1" t="s">
        <v>74</v>
      </c>
      <c r="AZ600" s="1" t="s">
        <v>74</v>
      </c>
      <c r="BA600" s="1" t="s">
        <v>74</v>
      </c>
      <c r="BB600" s="1" t="s">
        <v>74</v>
      </c>
      <c r="BC600" s="1" t="s">
        <v>74</v>
      </c>
      <c r="BD600" s="1">
        <v>112010.0</v>
      </c>
      <c r="BE600" s="1" t="s">
        <v>5476</v>
      </c>
      <c r="BF600" s="2" t="str">
        <f>HYPERLINK("http://dx.doi.org/10.1016/j.engappai.2025.112010","http://dx.doi.org/10.1016/j.engappai.2025.112010")</f>
        <v>http://dx.doi.org/10.1016/j.engappai.2025.112010</v>
      </c>
      <c r="BG600" s="1" t="s">
        <v>74</v>
      </c>
      <c r="BH600" s="1" t="s">
        <v>276</v>
      </c>
      <c r="BI600" s="1" t="s">
        <v>74</v>
      </c>
      <c r="BJ600" s="1" t="s">
        <v>74</v>
      </c>
      <c r="BK600" s="1" t="s">
        <v>74</v>
      </c>
      <c r="BL600" s="1" t="s">
        <v>113</v>
      </c>
      <c r="BM600" s="1" t="s">
        <v>74</v>
      </c>
      <c r="BN600" s="1" t="s">
        <v>74</v>
      </c>
      <c r="BO600" s="1" t="s">
        <v>114</v>
      </c>
      <c r="BP600" s="1" t="s">
        <v>74</v>
      </c>
      <c r="BQ600" s="1" t="s">
        <v>74</v>
      </c>
      <c r="BR600" s="1" t="s">
        <v>74</v>
      </c>
      <c r="BS600" s="1" t="s">
        <v>5477</v>
      </c>
      <c r="BT600" s="1" t="str">
        <f>HYPERLINK("https%3A%2F%2Fwww.webofscience.com%2Fwos%2Fwoscc%2Ffull-record%2FWOS:001576917200005","View Full Record in Web of Science")</f>
        <v>View Full Record in Web of Science</v>
      </c>
    </row>
    <row r="601" ht="12.75" customHeight="1">
      <c r="A601" s="1" t="s">
        <v>72</v>
      </c>
      <c r="B601" s="1" t="s">
        <v>5478</v>
      </c>
      <c r="C601" s="1" t="s">
        <v>74</v>
      </c>
      <c r="D601" s="1" t="s">
        <v>74</v>
      </c>
      <c r="E601" s="1" t="s">
        <v>74</v>
      </c>
      <c r="F601" s="1" t="s">
        <v>5479</v>
      </c>
      <c r="G601" s="1" t="s">
        <v>74</v>
      </c>
      <c r="H601" s="1" t="s">
        <v>74</v>
      </c>
      <c r="I601" s="1" t="s">
        <v>5480</v>
      </c>
      <c r="J601" s="1" t="s">
        <v>5481</v>
      </c>
      <c r="K601" s="1" t="s">
        <v>74</v>
      </c>
      <c r="L601" s="1" t="s">
        <v>74</v>
      </c>
      <c r="M601" s="1" t="s">
        <v>74</v>
      </c>
      <c r="N601" s="1" t="s">
        <v>953</v>
      </c>
      <c r="O601" s="1" t="s">
        <v>74</v>
      </c>
      <c r="P601" s="1" t="s">
        <v>74</v>
      </c>
      <c r="Q601" s="1" t="s">
        <v>74</v>
      </c>
      <c r="R601" s="1" t="s">
        <v>74</v>
      </c>
      <c r="S601" s="1" t="s">
        <v>74</v>
      </c>
      <c r="T601" s="1" t="s">
        <v>5482</v>
      </c>
      <c r="U601" s="1" t="s">
        <v>5483</v>
      </c>
      <c r="V601" s="1" t="s">
        <v>5484</v>
      </c>
      <c r="W601" s="1" t="s">
        <v>74</v>
      </c>
      <c r="X601" s="1" t="s">
        <v>74</v>
      </c>
      <c r="Y601" s="1" t="s">
        <v>74</v>
      </c>
      <c r="Z601" s="1" t="s">
        <v>74</v>
      </c>
      <c r="AA601" s="1" t="s">
        <v>74</v>
      </c>
      <c r="AB601" s="1" t="s">
        <v>74</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5485</v>
      </c>
      <c r="AP601" s="1" t="s">
        <v>5486</v>
      </c>
      <c r="AQ601" s="1" t="s">
        <v>74</v>
      </c>
      <c r="AR601" s="1" t="s">
        <v>74</v>
      </c>
      <c r="AS601" s="1" t="s">
        <v>74</v>
      </c>
      <c r="AT601" s="1" t="s">
        <v>5487</v>
      </c>
      <c r="AU601" s="1">
        <v>2024.0</v>
      </c>
      <c r="AV601" s="1" t="s">
        <v>74</v>
      </c>
      <c r="AW601" s="1" t="s">
        <v>74</v>
      </c>
      <c r="AX601" s="1" t="s">
        <v>74</v>
      </c>
      <c r="AY601" s="1" t="s">
        <v>74</v>
      </c>
      <c r="AZ601" s="1" t="s">
        <v>74</v>
      </c>
      <c r="BA601" s="1" t="s">
        <v>74</v>
      </c>
      <c r="BB601" s="1" t="s">
        <v>74</v>
      </c>
      <c r="BC601" s="1" t="s">
        <v>74</v>
      </c>
      <c r="BD601" s="1" t="s">
        <v>74</v>
      </c>
      <c r="BE601" s="1" t="s">
        <v>5488</v>
      </c>
      <c r="BF601" s="2" t="str">
        <f>HYPERLINK("http://dx.doi.org/10.1007/s00521-024-09564-7","http://dx.doi.org/10.1007/s00521-024-09564-7")</f>
        <v>http://dx.doi.org/10.1007/s00521-024-09564-7</v>
      </c>
      <c r="BG601" s="1" t="s">
        <v>74</v>
      </c>
      <c r="BH601" s="1" t="s">
        <v>3033</v>
      </c>
      <c r="BI601" s="1" t="s">
        <v>74</v>
      </c>
      <c r="BJ601" s="1" t="s">
        <v>74</v>
      </c>
      <c r="BK601" s="1" t="s">
        <v>74</v>
      </c>
      <c r="BL601" s="1" t="s">
        <v>174</v>
      </c>
      <c r="BM601" s="1" t="s">
        <v>74</v>
      </c>
      <c r="BN601" s="1" t="s">
        <v>74</v>
      </c>
      <c r="BO601" s="1" t="s">
        <v>74</v>
      </c>
      <c r="BP601" s="1" t="s">
        <v>74</v>
      </c>
      <c r="BQ601" s="1" t="s">
        <v>74</v>
      </c>
      <c r="BR601" s="1" t="s">
        <v>74</v>
      </c>
      <c r="BS601" s="1" t="s">
        <v>5489</v>
      </c>
      <c r="BT601" s="1" t="str">
        <f>HYPERLINK("https%3A%2F%2Fwww.webofscience.com%2Fwos%2Fwoscc%2Ffull-record%2FWOS:001167510900004","View Full Record in Web of Science")</f>
        <v>View Full Record in Web of Science</v>
      </c>
    </row>
    <row r="602" ht="12.75" customHeight="1">
      <c r="A602" s="1" t="s">
        <v>72</v>
      </c>
      <c r="B602" s="1" t="s">
        <v>5490</v>
      </c>
      <c r="C602" s="1" t="s">
        <v>74</v>
      </c>
      <c r="D602" s="1" t="s">
        <v>74</v>
      </c>
      <c r="E602" s="1" t="s">
        <v>74</v>
      </c>
      <c r="F602" s="1" t="s">
        <v>5491</v>
      </c>
      <c r="G602" s="1" t="s">
        <v>74</v>
      </c>
      <c r="H602" s="1" t="s">
        <v>74</v>
      </c>
      <c r="I602" s="1" t="s">
        <v>5492</v>
      </c>
      <c r="J602" s="1" t="s">
        <v>588</v>
      </c>
      <c r="K602" s="1" t="s">
        <v>74</v>
      </c>
      <c r="L602" s="1" t="s">
        <v>74</v>
      </c>
      <c r="M602" s="1" t="s">
        <v>74</v>
      </c>
      <c r="N602" s="1" t="s">
        <v>953</v>
      </c>
      <c r="O602" s="1" t="s">
        <v>74</v>
      </c>
      <c r="P602" s="1" t="s">
        <v>74</v>
      </c>
      <c r="Q602" s="1" t="s">
        <v>74</v>
      </c>
      <c r="R602" s="1" t="s">
        <v>74</v>
      </c>
      <c r="S602" s="1" t="s">
        <v>74</v>
      </c>
      <c r="T602" s="1" t="s">
        <v>5493</v>
      </c>
      <c r="U602" s="1" t="s">
        <v>5494</v>
      </c>
      <c r="V602" s="1" t="s">
        <v>5495</v>
      </c>
      <c r="W602" s="1" t="s">
        <v>74</v>
      </c>
      <c r="X602" s="1" t="s">
        <v>74</v>
      </c>
      <c r="Y602" s="1" t="s">
        <v>74</v>
      </c>
      <c r="Z602" s="1" t="s">
        <v>74</v>
      </c>
      <c r="AA602" s="1" t="s">
        <v>74</v>
      </c>
      <c r="AB602" s="1" t="s">
        <v>74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592</v>
      </c>
      <c r="AP602" s="1" t="s">
        <v>593</v>
      </c>
      <c r="AQ602" s="1" t="s">
        <v>74</v>
      </c>
      <c r="AR602" s="1" t="s">
        <v>74</v>
      </c>
      <c r="AS602" s="1" t="s">
        <v>74</v>
      </c>
      <c r="AT602" s="1" t="s">
        <v>959</v>
      </c>
      <c r="AU602" s="1">
        <v>2025.0</v>
      </c>
      <c r="AV602" s="1" t="s">
        <v>74</v>
      </c>
      <c r="AW602" s="1" t="s">
        <v>74</v>
      </c>
      <c r="AX602" s="1" t="s">
        <v>74</v>
      </c>
      <c r="AY602" s="1" t="s">
        <v>74</v>
      </c>
      <c r="AZ602" s="1" t="s">
        <v>74</v>
      </c>
      <c r="BA602" s="1" t="s">
        <v>74</v>
      </c>
      <c r="BB602" s="1" t="s">
        <v>74</v>
      </c>
      <c r="BC602" s="1" t="s">
        <v>74</v>
      </c>
      <c r="BD602" s="1" t="s">
        <v>74</v>
      </c>
      <c r="BE602" s="1" t="s">
        <v>5496</v>
      </c>
      <c r="BF602" s="2" t="str">
        <f>HYPERLINK("http://dx.doi.org/10.1080/10447318.2025.2579785","http://dx.doi.org/10.1080/10447318.2025.2579785")</f>
        <v>http://dx.doi.org/10.1080/10447318.2025.2579785</v>
      </c>
      <c r="BG602" s="1" t="s">
        <v>74</v>
      </c>
      <c r="BH602" s="1" t="s">
        <v>255</v>
      </c>
      <c r="BI602" s="1" t="s">
        <v>74</v>
      </c>
      <c r="BJ602" s="1" t="s">
        <v>74</v>
      </c>
      <c r="BK602" s="1" t="s">
        <v>74</v>
      </c>
      <c r="BL602" s="1" t="s">
        <v>98</v>
      </c>
      <c r="BM602" s="1" t="s">
        <v>74</v>
      </c>
      <c r="BN602" s="1" t="s">
        <v>74</v>
      </c>
      <c r="BO602" s="1" t="s">
        <v>74</v>
      </c>
      <c r="BP602" s="1" t="s">
        <v>74</v>
      </c>
      <c r="BQ602" s="1" t="s">
        <v>74</v>
      </c>
      <c r="BR602" s="1" t="s">
        <v>74</v>
      </c>
      <c r="BS602" s="1" t="s">
        <v>5497</v>
      </c>
      <c r="BT602" s="1" t="str">
        <f>HYPERLINK("https%3A%2F%2Fwww.webofscience.com%2Fwos%2Fwoscc%2Ffull-record%2FWOS:001611841700001","View Full Record in Web of Science")</f>
        <v>View Full Record in Web of Science</v>
      </c>
    </row>
    <row r="603" ht="12.75" customHeight="1">
      <c r="A603" s="1" t="s">
        <v>72</v>
      </c>
      <c r="B603" s="1" t="s">
        <v>5498</v>
      </c>
      <c r="C603" s="1" t="s">
        <v>74</v>
      </c>
      <c r="D603" s="1" t="s">
        <v>74</v>
      </c>
      <c r="E603" s="1" t="s">
        <v>74</v>
      </c>
      <c r="F603" s="1" t="s">
        <v>5499</v>
      </c>
      <c r="G603" s="1" t="s">
        <v>74</v>
      </c>
      <c r="H603" s="1" t="s">
        <v>74</v>
      </c>
      <c r="I603" s="1" t="s">
        <v>5500</v>
      </c>
      <c r="J603" s="1" t="s">
        <v>4483</v>
      </c>
      <c r="K603" s="1" t="s">
        <v>74</v>
      </c>
      <c r="L603" s="1" t="s">
        <v>74</v>
      </c>
      <c r="M603" s="1" t="s">
        <v>74</v>
      </c>
      <c r="N603" s="1" t="s">
        <v>78</v>
      </c>
      <c r="O603" s="1" t="s">
        <v>74</v>
      </c>
      <c r="P603" s="1" t="s">
        <v>74</v>
      </c>
      <c r="Q603" s="1" t="s">
        <v>74</v>
      </c>
      <c r="R603" s="1" t="s">
        <v>74</v>
      </c>
      <c r="S603" s="1" t="s">
        <v>74</v>
      </c>
      <c r="T603" s="1" t="s">
        <v>5501</v>
      </c>
      <c r="U603" s="1" t="s">
        <v>5502</v>
      </c>
      <c r="V603" s="1" t="s">
        <v>5503</v>
      </c>
      <c r="W603" s="1" t="s">
        <v>74</v>
      </c>
      <c r="X603" s="1" t="s">
        <v>74</v>
      </c>
      <c r="Y603" s="1" t="s">
        <v>74</v>
      </c>
      <c r="Z603" s="1" t="s">
        <v>74</v>
      </c>
      <c r="AA603" s="1" t="s">
        <v>74</v>
      </c>
      <c r="AB603" s="1" t="s">
        <v>74</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4487</v>
      </c>
      <c r="AP603" s="1" t="s">
        <v>4488</v>
      </c>
      <c r="AQ603" s="1" t="s">
        <v>74</v>
      </c>
      <c r="AR603" s="1" t="s">
        <v>74</v>
      </c>
      <c r="AS603" s="1" t="s">
        <v>74</v>
      </c>
      <c r="AT603" s="1" t="s">
        <v>262</v>
      </c>
      <c r="AU603" s="1">
        <v>2025.0</v>
      </c>
      <c r="AV603" s="1">
        <v>203.0</v>
      </c>
      <c r="AW603" s="1" t="s">
        <v>74</v>
      </c>
      <c r="AX603" s="1" t="s">
        <v>74</v>
      </c>
      <c r="AY603" s="1" t="s">
        <v>74</v>
      </c>
      <c r="AZ603" s="1" t="s">
        <v>74</v>
      </c>
      <c r="BA603" s="1" t="s">
        <v>74</v>
      </c>
      <c r="BB603" s="1" t="s">
        <v>74</v>
      </c>
      <c r="BC603" s="1" t="s">
        <v>74</v>
      </c>
      <c r="BD603" s="1">
        <v>103589.0</v>
      </c>
      <c r="BE603" s="1" t="s">
        <v>5504</v>
      </c>
      <c r="BF603" s="2" t="str">
        <f>HYPERLINK("http://dx.doi.org/10.1016/j.ijhcs.2025.103589","http://dx.doi.org/10.1016/j.ijhcs.2025.103589")</f>
        <v>http://dx.doi.org/10.1016/j.ijhcs.2025.103589</v>
      </c>
      <c r="BG603" s="1" t="s">
        <v>74</v>
      </c>
      <c r="BH603" s="1" t="s">
        <v>276</v>
      </c>
      <c r="BI603" s="1" t="s">
        <v>74</v>
      </c>
      <c r="BJ603" s="1" t="s">
        <v>74</v>
      </c>
      <c r="BK603" s="1" t="s">
        <v>74</v>
      </c>
      <c r="BL603" s="1" t="s">
        <v>4490</v>
      </c>
      <c r="BM603" s="1" t="s">
        <v>74</v>
      </c>
      <c r="BN603" s="1" t="s">
        <v>74</v>
      </c>
      <c r="BO603" s="1" t="s">
        <v>3736</v>
      </c>
      <c r="BP603" s="1" t="s">
        <v>74</v>
      </c>
      <c r="BQ603" s="1" t="s">
        <v>74</v>
      </c>
      <c r="BR603" s="1" t="s">
        <v>74</v>
      </c>
      <c r="BS603" s="1" t="s">
        <v>5505</v>
      </c>
      <c r="BT603" s="1" t="str">
        <f>HYPERLINK("https%3A%2F%2Fwww.webofscience.com%2Fwos%2Fwoscc%2Ffull-record%2FWOS:001558367300001","View Full Record in Web of Science")</f>
        <v>View Full Record in Web of Science</v>
      </c>
    </row>
    <row r="604" ht="12.75" customHeight="1">
      <c r="A604" s="1" t="s">
        <v>72</v>
      </c>
      <c r="B604" s="1" t="s">
        <v>5506</v>
      </c>
      <c r="C604" s="1" t="s">
        <v>74</v>
      </c>
      <c r="D604" s="1" t="s">
        <v>74</v>
      </c>
      <c r="E604" s="1" t="s">
        <v>74</v>
      </c>
      <c r="F604" s="1" t="s">
        <v>5507</v>
      </c>
      <c r="G604" s="1" t="s">
        <v>74</v>
      </c>
      <c r="H604" s="1" t="s">
        <v>74</v>
      </c>
      <c r="I604" s="1" t="s">
        <v>5508</v>
      </c>
      <c r="J604" s="1" t="s">
        <v>1155</v>
      </c>
      <c r="K604" s="1" t="s">
        <v>74</v>
      </c>
      <c r="L604" s="1" t="s">
        <v>74</v>
      </c>
      <c r="M604" s="1" t="s">
        <v>74</v>
      </c>
      <c r="N604" s="1" t="s">
        <v>953</v>
      </c>
      <c r="O604" s="1" t="s">
        <v>74</v>
      </c>
      <c r="P604" s="1" t="s">
        <v>74</v>
      </c>
      <c r="Q604" s="1" t="s">
        <v>74</v>
      </c>
      <c r="R604" s="1" t="s">
        <v>74</v>
      </c>
      <c r="S604" s="1" t="s">
        <v>74</v>
      </c>
      <c r="T604" s="1" t="s">
        <v>5509</v>
      </c>
      <c r="U604" s="1" t="s">
        <v>74</v>
      </c>
      <c r="V604" s="1" t="s">
        <v>5510</v>
      </c>
      <c r="W604" s="1" t="s">
        <v>74</v>
      </c>
      <c r="X604" s="1" t="s">
        <v>74</v>
      </c>
      <c r="Y604" s="1" t="s">
        <v>74</v>
      </c>
      <c r="Z604" s="1" t="s">
        <v>74</v>
      </c>
      <c r="AA604" s="1" t="s">
        <v>74</v>
      </c>
      <c r="AB604" s="1" t="s">
        <v>74</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1158</v>
      </c>
      <c r="AP604" s="1" t="s">
        <v>74</v>
      </c>
      <c r="AQ604" s="1" t="s">
        <v>74</v>
      </c>
      <c r="AR604" s="1" t="s">
        <v>74</v>
      </c>
      <c r="AS604" s="1" t="s">
        <v>74</v>
      </c>
      <c r="AT604" s="1" t="s">
        <v>5511</v>
      </c>
      <c r="AU604" s="1">
        <v>2025.0</v>
      </c>
      <c r="AV604" s="1" t="s">
        <v>74</v>
      </c>
      <c r="AW604" s="1" t="s">
        <v>74</v>
      </c>
      <c r="AX604" s="1" t="s">
        <v>74</v>
      </c>
      <c r="AY604" s="1" t="s">
        <v>74</v>
      </c>
      <c r="AZ604" s="1" t="s">
        <v>74</v>
      </c>
      <c r="BA604" s="1" t="s">
        <v>74</v>
      </c>
      <c r="BB604" s="1" t="s">
        <v>74</v>
      </c>
      <c r="BC604" s="1" t="s">
        <v>74</v>
      </c>
      <c r="BD604" s="1" t="s">
        <v>74</v>
      </c>
      <c r="BE604" s="1" t="s">
        <v>5512</v>
      </c>
      <c r="BF604" s="2" t="str">
        <f>HYPERLINK("http://dx.doi.org/10.1109/TCSS.2025.3593323","http://dx.doi.org/10.1109/TCSS.2025.3593323")</f>
        <v>http://dx.doi.org/10.1109/TCSS.2025.3593323</v>
      </c>
      <c r="BG604" s="1" t="s">
        <v>74</v>
      </c>
      <c r="BH604" s="1" t="s">
        <v>276</v>
      </c>
      <c r="BI604" s="1" t="s">
        <v>74</v>
      </c>
      <c r="BJ604" s="1" t="s">
        <v>74</v>
      </c>
      <c r="BK604" s="1" t="s">
        <v>74</v>
      </c>
      <c r="BL604" s="1" t="s">
        <v>174</v>
      </c>
      <c r="BM604" s="1" t="s">
        <v>74</v>
      </c>
      <c r="BN604" s="1" t="s">
        <v>74</v>
      </c>
      <c r="BO604" s="1" t="s">
        <v>127</v>
      </c>
      <c r="BP604" s="1" t="s">
        <v>74</v>
      </c>
      <c r="BQ604" s="1" t="s">
        <v>74</v>
      </c>
      <c r="BR604" s="1" t="s">
        <v>74</v>
      </c>
      <c r="BS604" s="1" t="s">
        <v>5513</v>
      </c>
      <c r="BT604" s="1" t="str">
        <f>HYPERLINK("https%3A%2F%2Fwww.webofscience.com%2Fwos%2Fwoscc%2Ffull-record%2FWOS:001551571600001","View Full Record in Web of Science")</f>
        <v>View Full Record in Web of Science</v>
      </c>
    </row>
    <row r="605" ht="12.75" customHeight="1">
      <c r="A605" s="1" t="s">
        <v>72</v>
      </c>
      <c r="B605" s="1" t="s">
        <v>5514</v>
      </c>
      <c r="C605" s="1" t="s">
        <v>74</v>
      </c>
      <c r="D605" s="1" t="s">
        <v>74</v>
      </c>
      <c r="E605" s="1" t="s">
        <v>74</v>
      </c>
      <c r="F605" s="1" t="s">
        <v>5515</v>
      </c>
      <c r="G605" s="1" t="s">
        <v>74</v>
      </c>
      <c r="H605" s="1" t="s">
        <v>74</v>
      </c>
      <c r="I605" s="1" t="s">
        <v>5516</v>
      </c>
      <c r="J605" s="1" t="s">
        <v>2995</v>
      </c>
      <c r="K605" s="1" t="s">
        <v>74</v>
      </c>
      <c r="L605" s="1" t="s">
        <v>74</v>
      </c>
      <c r="M605" s="1" t="s">
        <v>74</v>
      </c>
      <c r="N605" s="1" t="s">
        <v>78</v>
      </c>
      <c r="O605" s="1" t="s">
        <v>74</v>
      </c>
      <c r="P605" s="1" t="s">
        <v>74</v>
      </c>
      <c r="Q605" s="1" t="s">
        <v>74</v>
      </c>
      <c r="R605" s="1" t="s">
        <v>74</v>
      </c>
      <c r="S605" s="1" t="s">
        <v>74</v>
      </c>
      <c r="T605" s="1" t="s">
        <v>5517</v>
      </c>
      <c r="U605" s="1" t="s">
        <v>74</v>
      </c>
      <c r="V605" s="1" t="s">
        <v>5518</v>
      </c>
      <c r="W605" s="1" t="s">
        <v>74</v>
      </c>
      <c r="X605" s="1" t="s">
        <v>74</v>
      </c>
      <c r="Y605" s="1" t="s">
        <v>74</v>
      </c>
      <c r="Z605" s="1" t="s">
        <v>74</v>
      </c>
      <c r="AA605" s="1" t="s">
        <v>74</v>
      </c>
      <c r="AB605" s="1" t="s">
        <v>74</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2998</v>
      </c>
      <c r="AP605" s="1" t="s">
        <v>2999</v>
      </c>
      <c r="AQ605" s="1" t="s">
        <v>74</v>
      </c>
      <c r="AR605" s="1" t="s">
        <v>74</v>
      </c>
      <c r="AS605" s="1" t="s">
        <v>74</v>
      </c>
      <c r="AT605" s="1" t="s">
        <v>124</v>
      </c>
      <c r="AU605" s="1">
        <v>2025.0</v>
      </c>
      <c r="AV605" s="1">
        <v>186.0</v>
      </c>
      <c r="AW605" s="1" t="s">
        <v>74</v>
      </c>
      <c r="AX605" s="1" t="s">
        <v>74</v>
      </c>
      <c r="AY605" s="1" t="s">
        <v>74</v>
      </c>
      <c r="AZ605" s="1" t="s">
        <v>74</v>
      </c>
      <c r="BA605" s="1" t="s">
        <v>74</v>
      </c>
      <c r="BB605" s="1" t="s">
        <v>74</v>
      </c>
      <c r="BC605" s="1" t="s">
        <v>74</v>
      </c>
      <c r="BD605" s="1">
        <v>104913.0</v>
      </c>
      <c r="BE605" s="1" t="s">
        <v>5519</v>
      </c>
      <c r="BF605" s="2" t="str">
        <f>HYPERLINK("http://dx.doi.org/10.1016/j.robot.2024.104913","http://dx.doi.org/10.1016/j.robot.2024.104913")</f>
        <v>http://dx.doi.org/10.1016/j.robot.2024.104913</v>
      </c>
      <c r="BG605" s="1" t="s">
        <v>74</v>
      </c>
      <c r="BH605" s="1" t="s">
        <v>141</v>
      </c>
      <c r="BI605" s="1" t="s">
        <v>74</v>
      </c>
      <c r="BJ605" s="1" t="s">
        <v>74</v>
      </c>
      <c r="BK605" s="1" t="s">
        <v>74</v>
      </c>
      <c r="BL605" s="1" t="s">
        <v>3001</v>
      </c>
      <c r="BM605" s="1" t="s">
        <v>74</v>
      </c>
      <c r="BN605" s="1" t="s">
        <v>74</v>
      </c>
      <c r="BO605" s="1" t="s">
        <v>74</v>
      </c>
      <c r="BP605" s="1" t="s">
        <v>74</v>
      </c>
      <c r="BQ605" s="1" t="s">
        <v>74</v>
      </c>
      <c r="BR605" s="1" t="s">
        <v>74</v>
      </c>
      <c r="BS605" s="1" t="s">
        <v>5520</v>
      </c>
      <c r="BT605" s="1" t="str">
        <f>HYPERLINK("https%3A%2F%2Fwww.webofscience.com%2Fwos%2Fwoscc%2Ffull-record%2FWOS:001411140300001","View Full Record in Web of Science")</f>
        <v>View Full Record in Web of Science</v>
      </c>
    </row>
    <row r="606" ht="12.75" customHeight="1">
      <c r="A606" s="1" t="s">
        <v>72</v>
      </c>
      <c r="B606" s="1" t="s">
        <v>5521</v>
      </c>
      <c r="C606" s="1" t="s">
        <v>74</v>
      </c>
      <c r="D606" s="1" t="s">
        <v>74</v>
      </c>
      <c r="E606" s="1" t="s">
        <v>74</v>
      </c>
      <c r="F606" s="1" t="s">
        <v>5522</v>
      </c>
      <c r="G606" s="1" t="s">
        <v>74</v>
      </c>
      <c r="H606" s="1" t="s">
        <v>74</v>
      </c>
      <c r="I606" s="1" t="s">
        <v>5523</v>
      </c>
      <c r="J606" s="1" t="s">
        <v>2868</v>
      </c>
      <c r="K606" s="1" t="s">
        <v>74</v>
      </c>
      <c r="L606" s="1" t="s">
        <v>74</v>
      </c>
      <c r="M606" s="1" t="s">
        <v>74</v>
      </c>
      <c r="N606" s="1" t="s">
        <v>78</v>
      </c>
      <c r="O606" s="1" t="s">
        <v>74</v>
      </c>
      <c r="P606" s="1" t="s">
        <v>74</v>
      </c>
      <c r="Q606" s="1" t="s">
        <v>74</v>
      </c>
      <c r="R606" s="1" t="s">
        <v>74</v>
      </c>
      <c r="S606" s="1" t="s">
        <v>74</v>
      </c>
      <c r="T606" s="1" t="s">
        <v>5524</v>
      </c>
      <c r="U606" s="1" t="s">
        <v>74</v>
      </c>
      <c r="V606" s="1" t="s">
        <v>5525</v>
      </c>
      <c r="W606" s="1" t="s">
        <v>74</v>
      </c>
      <c r="X606" s="1" t="s">
        <v>74</v>
      </c>
      <c r="Y606" s="1" t="s">
        <v>74</v>
      </c>
      <c r="Z606" s="1" t="s">
        <v>74</v>
      </c>
      <c r="AA606" s="1" t="s">
        <v>74</v>
      </c>
      <c r="AB606" s="1" t="s">
        <v>74</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2871</v>
      </c>
      <c r="AP606" s="1" t="s">
        <v>2872</v>
      </c>
      <c r="AQ606" s="1" t="s">
        <v>74</v>
      </c>
      <c r="AR606" s="1" t="s">
        <v>74</v>
      </c>
      <c r="AS606" s="1" t="s">
        <v>74</v>
      </c>
      <c r="AT606" s="1" t="s">
        <v>225</v>
      </c>
      <c r="AU606" s="1">
        <v>2025.0</v>
      </c>
      <c r="AV606" s="1">
        <v>62.0</v>
      </c>
      <c r="AW606" s="1">
        <v>4.0</v>
      </c>
      <c r="AX606" s="1" t="s">
        <v>74</v>
      </c>
      <c r="AY606" s="1" t="s">
        <v>74</v>
      </c>
      <c r="AZ606" s="1" t="s">
        <v>74</v>
      </c>
      <c r="BA606" s="1" t="s">
        <v>74</v>
      </c>
      <c r="BB606" s="1" t="s">
        <v>74</v>
      </c>
      <c r="BC606" s="1" t="s">
        <v>74</v>
      </c>
      <c r="BD606" s="1">
        <v>104097.0</v>
      </c>
      <c r="BE606" s="1" t="s">
        <v>5526</v>
      </c>
      <c r="BF606" s="2" t="str">
        <f>HYPERLINK("http://dx.doi.org/10.1016/j.ipm.2025.104097","http://dx.doi.org/10.1016/j.ipm.2025.104097")</f>
        <v>http://dx.doi.org/10.1016/j.ipm.2025.104097</v>
      </c>
      <c r="BG606" s="1" t="s">
        <v>74</v>
      </c>
      <c r="BH606" s="1" t="s">
        <v>314</v>
      </c>
      <c r="BI606" s="1" t="s">
        <v>74</v>
      </c>
      <c r="BJ606" s="1" t="s">
        <v>74</v>
      </c>
      <c r="BK606" s="1" t="s">
        <v>74</v>
      </c>
      <c r="BL606" s="1" t="s">
        <v>2874</v>
      </c>
      <c r="BM606" s="1" t="s">
        <v>74</v>
      </c>
      <c r="BN606" s="1" t="s">
        <v>74</v>
      </c>
      <c r="BO606" s="1" t="s">
        <v>74</v>
      </c>
      <c r="BP606" s="1" t="s">
        <v>74</v>
      </c>
      <c r="BQ606" s="1" t="s">
        <v>74</v>
      </c>
      <c r="BR606" s="1" t="s">
        <v>74</v>
      </c>
      <c r="BS606" s="1" t="s">
        <v>5527</v>
      </c>
      <c r="BT606" s="1" t="str">
        <f>HYPERLINK("https%3A%2F%2Fwww.webofscience.com%2Fwos%2Fwoscc%2Ffull-record%2FWOS:001429051600001","View Full Record in Web of Science")</f>
        <v>View Full Record in Web of Science</v>
      </c>
    </row>
    <row r="607" ht="12.75" customHeight="1">
      <c r="A607" s="1" t="s">
        <v>72</v>
      </c>
      <c r="B607" s="1" t="s">
        <v>5528</v>
      </c>
      <c r="C607" s="1" t="s">
        <v>74</v>
      </c>
      <c r="D607" s="1" t="s">
        <v>74</v>
      </c>
      <c r="E607" s="1" t="s">
        <v>74</v>
      </c>
      <c r="F607" s="1" t="s">
        <v>5529</v>
      </c>
      <c r="G607" s="1" t="s">
        <v>74</v>
      </c>
      <c r="H607" s="1" t="s">
        <v>74</v>
      </c>
      <c r="I607" s="1" t="s">
        <v>5530</v>
      </c>
      <c r="J607" s="1" t="s">
        <v>1376</v>
      </c>
      <c r="K607" s="1" t="s">
        <v>74</v>
      </c>
      <c r="L607" s="1" t="s">
        <v>74</v>
      </c>
      <c r="M607" s="1" t="s">
        <v>74</v>
      </c>
      <c r="N607" s="1" t="s">
        <v>78</v>
      </c>
      <c r="O607" s="1" t="s">
        <v>74</v>
      </c>
      <c r="P607" s="1" t="s">
        <v>74</v>
      </c>
      <c r="Q607" s="1" t="s">
        <v>74</v>
      </c>
      <c r="R607" s="1" t="s">
        <v>74</v>
      </c>
      <c r="S607" s="1" t="s">
        <v>74</v>
      </c>
      <c r="T607" s="1" t="s">
        <v>5531</v>
      </c>
      <c r="U607" s="1" t="s">
        <v>74</v>
      </c>
      <c r="V607" s="1" t="s">
        <v>5532</v>
      </c>
      <c r="W607" s="1" t="s">
        <v>74</v>
      </c>
      <c r="X607" s="1" t="s">
        <v>74</v>
      </c>
      <c r="Y607" s="1" t="s">
        <v>74</v>
      </c>
      <c r="Z607" s="1" t="s">
        <v>74</v>
      </c>
      <c r="AA607" s="1" t="s">
        <v>74</v>
      </c>
      <c r="AB607" s="1" t="s">
        <v>74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74</v>
      </c>
      <c r="AP607" s="1" t="s">
        <v>2256</v>
      </c>
      <c r="AQ607" s="1" t="s">
        <v>74</v>
      </c>
      <c r="AR607" s="1" t="s">
        <v>74</v>
      </c>
      <c r="AS607" s="1" t="s">
        <v>74</v>
      </c>
      <c r="AT607" s="1" t="s">
        <v>3236</v>
      </c>
      <c r="AU607" s="1">
        <v>2025.0</v>
      </c>
      <c r="AV607" s="1">
        <v>6.0</v>
      </c>
      <c r="AW607" s="1">
        <v>10.0</v>
      </c>
      <c r="AX607" s="1" t="s">
        <v>74</v>
      </c>
      <c r="AY607" s="1" t="s">
        <v>74</v>
      </c>
      <c r="AZ607" s="1" t="s">
        <v>74</v>
      </c>
      <c r="BA607" s="1" t="s">
        <v>74</v>
      </c>
      <c r="BB607" s="1" t="s">
        <v>74</v>
      </c>
      <c r="BC607" s="1" t="s">
        <v>74</v>
      </c>
      <c r="BD607" s="1">
        <v>256.0</v>
      </c>
      <c r="BE607" s="1" t="s">
        <v>5533</v>
      </c>
      <c r="BF607" s="2" t="str">
        <f>HYPERLINK("http://dx.doi.org/10.3390/ai6100256","http://dx.doi.org/10.3390/ai6100256")</f>
        <v>http://dx.doi.org/10.3390/ai6100256</v>
      </c>
      <c r="BG607" s="1" t="s">
        <v>74</v>
      </c>
      <c r="BH607" s="1" t="s">
        <v>74</v>
      </c>
      <c r="BI607" s="1" t="s">
        <v>74</v>
      </c>
      <c r="BJ607" s="1" t="s">
        <v>74</v>
      </c>
      <c r="BK607" s="1" t="s">
        <v>74</v>
      </c>
      <c r="BL607" s="1" t="s">
        <v>174</v>
      </c>
      <c r="BM607" s="1" t="s">
        <v>74</v>
      </c>
      <c r="BN607" s="1" t="s">
        <v>74</v>
      </c>
      <c r="BO607" s="1" t="s">
        <v>163</v>
      </c>
      <c r="BP607" s="1" t="s">
        <v>74</v>
      </c>
      <c r="BQ607" s="1" t="s">
        <v>74</v>
      </c>
      <c r="BR607" s="1" t="s">
        <v>74</v>
      </c>
      <c r="BS607" s="1" t="s">
        <v>5534</v>
      </c>
      <c r="BT607" s="1" t="str">
        <f>HYPERLINK("https%3A%2F%2Fwww.webofscience.com%2Fwos%2Fwoscc%2Ffull-record%2FWOS:001603143400001","View Full Record in Web of Science")</f>
        <v>View Full Record in Web of Science</v>
      </c>
    </row>
    <row r="608" ht="12.75" customHeight="1">
      <c r="A608" s="1" t="s">
        <v>72</v>
      </c>
      <c r="B608" s="1" t="s">
        <v>5535</v>
      </c>
      <c r="C608" s="1" t="s">
        <v>74</v>
      </c>
      <c r="D608" s="1" t="s">
        <v>74</v>
      </c>
      <c r="E608" s="1" t="s">
        <v>74</v>
      </c>
      <c r="F608" s="1" t="s">
        <v>5536</v>
      </c>
      <c r="G608" s="1" t="s">
        <v>74</v>
      </c>
      <c r="H608" s="1" t="s">
        <v>74</v>
      </c>
      <c r="I608" s="1" t="s">
        <v>5537</v>
      </c>
      <c r="J608" s="1" t="s">
        <v>3201</v>
      </c>
      <c r="K608" s="1" t="s">
        <v>74</v>
      </c>
      <c r="L608" s="1" t="s">
        <v>74</v>
      </c>
      <c r="M608" s="1" t="s">
        <v>74</v>
      </c>
      <c r="N608" s="1" t="s">
        <v>78</v>
      </c>
      <c r="O608" s="1" t="s">
        <v>74</v>
      </c>
      <c r="P608" s="1" t="s">
        <v>74</v>
      </c>
      <c r="Q608" s="1" t="s">
        <v>74</v>
      </c>
      <c r="R608" s="1" t="s">
        <v>74</v>
      </c>
      <c r="S608" s="1" t="s">
        <v>74</v>
      </c>
      <c r="T608" s="1" t="s">
        <v>5538</v>
      </c>
      <c r="U608" s="1" t="s">
        <v>74</v>
      </c>
      <c r="V608" s="1" t="s">
        <v>5539</v>
      </c>
      <c r="W608" s="1" t="s">
        <v>74</v>
      </c>
      <c r="X608" s="1" t="s">
        <v>74</v>
      </c>
      <c r="Y608" s="1" t="s">
        <v>74</v>
      </c>
      <c r="Z608" s="1" t="s">
        <v>74</v>
      </c>
      <c r="AA608" s="1" t="s">
        <v>74</v>
      </c>
      <c r="AB608" s="1" t="s">
        <v>74</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74</v>
      </c>
      <c r="AP608" s="1" t="s">
        <v>3205</v>
      </c>
      <c r="AQ608" s="1" t="s">
        <v>74</v>
      </c>
      <c r="AR608" s="1" t="s">
        <v>74</v>
      </c>
      <c r="AS608" s="1" t="s">
        <v>74</v>
      </c>
      <c r="AT608" s="1" t="s">
        <v>262</v>
      </c>
      <c r="AU608" s="1">
        <v>2025.0</v>
      </c>
      <c r="AV608" s="1">
        <v>54.0</v>
      </c>
      <c r="AW608" s="1" t="s">
        <v>74</v>
      </c>
      <c r="AX608" s="1" t="s">
        <v>74</v>
      </c>
      <c r="AY608" s="1" t="s">
        <v>74</v>
      </c>
      <c r="AZ608" s="1" t="s">
        <v>74</v>
      </c>
      <c r="BA608" s="1" t="s">
        <v>74</v>
      </c>
      <c r="BB608" s="1" t="s">
        <v>74</v>
      </c>
      <c r="BC608" s="1" t="s">
        <v>74</v>
      </c>
      <c r="BD608" s="1">
        <v>301974.0</v>
      </c>
      <c r="BE608" s="1" t="s">
        <v>5540</v>
      </c>
      <c r="BF608" s="2" t="str">
        <f>HYPERLINK("http://dx.doi.org/10.1016/j.fsidi.2025.301974","http://dx.doi.org/10.1016/j.fsidi.2025.301974")</f>
        <v>http://dx.doi.org/10.1016/j.fsidi.2025.301974</v>
      </c>
      <c r="BG608" s="1" t="s">
        <v>74</v>
      </c>
      <c r="BH608" s="1" t="s">
        <v>276</v>
      </c>
      <c r="BI608" s="1" t="s">
        <v>74</v>
      </c>
      <c r="BJ608" s="1" t="s">
        <v>74</v>
      </c>
      <c r="BK608" s="1" t="s">
        <v>74</v>
      </c>
      <c r="BL608" s="1" t="s">
        <v>174</v>
      </c>
      <c r="BM608" s="1" t="s">
        <v>74</v>
      </c>
      <c r="BN608" s="1" t="s">
        <v>74</v>
      </c>
      <c r="BO608" s="1" t="s">
        <v>114</v>
      </c>
      <c r="BP608" s="1" t="s">
        <v>74</v>
      </c>
      <c r="BQ608" s="1" t="s">
        <v>74</v>
      </c>
      <c r="BR608" s="1" t="s">
        <v>74</v>
      </c>
      <c r="BS608" s="1" t="s">
        <v>5541</v>
      </c>
      <c r="BT608" s="1" t="str">
        <f>HYPERLINK("https%3A%2F%2Fwww.webofscience.com%2Fwos%2Fwoscc%2Ffull-record%2FWOS:001556421500001","View Full Record in Web of Science")</f>
        <v>View Full Record in Web of Science</v>
      </c>
    </row>
    <row r="609" ht="12.75" customHeight="1">
      <c r="A609" s="1" t="s">
        <v>72</v>
      </c>
      <c r="B609" s="1" t="s">
        <v>5542</v>
      </c>
      <c r="C609" s="1" t="s">
        <v>74</v>
      </c>
      <c r="D609" s="1" t="s">
        <v>74</v>
      </c>
      <c r="E609" s="1" t="s">
        <v>74</v>
      </c>
      <c r="F609" s="1" t="s">
        <v>5543</v>
      </c>
      <c r="G609" s="1" t="s">
        <v>74</v>
      </c>
      <c r="H609" s="1" t="s">
        <v>74</v>
      </c>
      <c r="I609" s="1" t="s">
        <v>5544</v>
      </c>
      <c r="J609" s="1" t="s">
        <v>5545</v>
      </c>
      <c r="K609" s="1" t="s">
        <v>74</v>
      </c>
      <c r="L609" s="1" t="s">
        <v>74</v>
      </c>
      <c r="M609" s="1" t="s">
        <v>74</v>
      </c>
      <c r="N609" s="1" t="s">
        <v>953</v>
      </c>
      <c r="O609" s="1" t="s">
        <v>74</v>
      </c>
      <c r="P609" s="1" t="s">
        <v>74</v>
      </c>
      <c r="Q609" s="1" t="s">
        <v>74</v>
      </c>
      <c r="R609" s="1" t="s">
        <v>74</v>
      </c>
      <c r="S609" s="1" t="s">
        <v>74</v>
      </c>
      <c r="T609" s="1" t="s">
        <v>5546</v>
      </c>
      <c r="U609" s="1" t="s">
        <v>5547</v>
      </c>
      <c r="V609" s="1" t="s">
        <v>5548</v>
      </c>
      <c r="W609" s="1" t="s">
        <v>74</v>
      </c>
      <c r="X609" s="1" t="s">
        <v>74</v>
      </c>
      <c r="Y609" s="1" t="s">
        <v>74</v>
      </c>
      <c r="Z609" s="1" t="s">
        <v>74</v>
      </c>
      <c r="AA609" s="1" t="s">
        <v>74</v>
      </c>
      <c r="AB609" s="1" t="s">
        <v>74</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5549</v>
      </c>
      <c r="AP609" s="1" t="s">
        <v>5550</v>
      </c>
      <c r="AQ609" s="1" t="s">
        <v>74</v>
      </c>
      <c r="AR609" s="1" t="s">
        <v>74</v>
      </c>
      <c r="AS609" s="1" t="s">
        <v>74</v>
      </c>
      <c r="AT609" s="1" t="s">
        <v>5551</v>
      </c>
      <c r="AU609" s="1">
        <v>2025.0</v>
      </c>
      <c r="AV609" s="1" t="s">
        <v>74</v>
      </c>
      <c r="AW609" s="1" t="s">
        <v>74</v>
      </c>
      <c r="AX609" s="1" t="s">
        <v>74</v>
      </c>
      <c r="AY609" s="1" t="s">
        <v>74</v>
      </c>
      <c r="AZ609" s="1" t="s">
        <v>74</v>
      </c>
      <c r="BA609" s="1" t="s">
        <v>74</v>
      </c>
      <c r="BB609" s="1" t="s">
        <v>74</v>
      </c>
      <c r="BC609" s="1" t="s">
        <v>74</v>
      </c>
      <c r="BD609" s="1" t="s">
        <v>74</v>
      </c>
      <c r="BE609" s="1" t="s">
        <v>5552</v>
      </c>
      <c r="BF609" s="2" t="str">
        <f>HYPERLINK("http://dx.doi.org/10.1080/02642069.2025.2479723","http://dx.doi.org/10.1080/02642069.2025.2479723")</f>
        <v>http://dx.doi.org/10.1080/02642069.2025.2479723</v>
      </c>
      <c r="BG609" s="1" t="s">
        <v>74</v>
      </c>
      <c r="BH609" s="1" t="s">
        <v>347</v>
      </c>
      <c r="BI609" s="1" t="s">
        <v>74</v>
      </c>
      <c r="BJ609" s="1" t="s">
        <v>74</v>
      </c>
      <c r="BK609" s="1" t="s">
        <v>74</v>
      </c>
      <c r="BL609" s="1" t="s">
        <v>214</v>
      </c>
      <c r="BM609" s="1" t="s">
        <v>74</v>
      </c>
      <c r="BN609" s="1" t="s">
        <v>74</v>
      </c>
      <c r="BO609" s="1" t="s">
        <v>114</v>
      </c>
      <c r="BP609" s="1" t="s">
        <v>74</v>
      </c>
      <c r="BQ609" s="1" t="s">
        <v>74</v>
      </c>
      <c r="BR609" s="1" t="s">
        <v>74</v>
      </c>
      <c r="BS609" s="1" t="s">
        <v>5553</v>
      </c>
      <c r="BT609" s="1" t="str">
        <f>HYPERLINK("https%3A%2F%2Fwww.webofscience.com%2Fwos%2Fwoscc%2Ffull-record%2FWOS:001455827300001","View Full Record in Web of Science")</f>
        <v>View Full Record in Web of Science</v>
      </c>
    </row>
    <row r="610" ht="12.75" customHeight="1">
      <c r="A610" s="1" t="s">
        <v>72</v>
      </c>
      <c r="B610" s="1" t="s">
        <v>5554</v>
      </c>
      <c r="C610" s="1" t="s">
        <v>74</v>
      </c>
      <c r="D610" s="1" t="s">
        <v>74</v>
      </c>
      <c r="E610" s="1" t="s">
        <v>74</v>
      </c>
      <c r="F610" s="1" t="s">
        <v>5555</v>
      </c>
      <c r="G610" s="1" t="s">
        <v>74</v>
      </c>
      <c r="H610" s="1" t="s">
        <v>74</v>
      </c>
      <c r="I610" s="1" t="s">
        <v>5556</v>
      </c>
      <c r="J610" s="1" t="s">
        <v>239</v>
      </c>
      <c r="K610" s="1" t="s">
        <v>74</v>
      </c>
      <c r="L610" s="1" t="s">
        <v>74</v>
      </c>
      <c r="M610" s="1" t="s">
        <v>74</v>
      </c>
      <c r="N610" s="1" t="s">
        <v>78</v>
      </c>
      <c r="O610" s="1" t="s">
        <v>74</v>
      </c>
      <c r="P610" s="1" t="s">
        <v>74</v>
      </c>
      <c r="Q610" s="1" t="s">
        <v>74</v>
      </c>
      <c r="R610" s="1" t="s">
        <v>74</v>
      </c>
      <c r="S610" s="1" t="s">
        <v>74</v>
      </c>
      <c r="T610" s="1" t="s">
        <v>5557</v>
      </c>
      <c r="U610" s="1" t="s">
        <v>74</v>
      </c>
      <c r="V610" s="1" t="s">
        <v>5558</v>
      </c>
      <c r="W610" s="1" t="s">
        <v>74</v>
      </c>
      <c r="X610" s="1" t="s">
        <v>74</v>
      </c>
      <c r="Y610" s="1" t="s">
        <v>74</v>
      </c>
      <c r="Z610" s="1" t="s">
        <v>74</v>
      </c>
      <c r="AA610" s="1" t="s">
        <v>74</v>
      </c>
      <c r="AB610" s="1" t="s">
        <v>74</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74</v>
      </c>
      <c r="AP610" s="1" t="s">
        <v>242</v>
      </c>
      <c r="AQ610" s="1" t="s">
        <v>74</v>
      </c>
      <c r="AR610" s="1" t="s">
        <v>74</v>
      </c>
      <c r="AS610" s="1" t="s">
        <v>74</v>
      </c>
      <c r="AT610" s="1" t="s">
        <v>335</v>
      </c>
      <c r="AU610" s="1">
        <v>2024.0</v>
      </c>
      <c r="AV610" s="1">
        <v>13.0</v>
      </c>
      <c r="AW610" s="1">
        <v>12.0</v>
      </c>
      <c r="AX610" s="1" t="s">
        <v>74</v>
      </c>
      <c r="AY610" s="1" t="s">
        <v>74</v>
      </c>
      <c r="AZ610" s="1" t="s">
        <v>74</v>
      </c>
      <c r="BA610" s="1" t="s">
        <v>74</v>
      </c>
      <c r="BB610" s="1" t="s">
        <v>74</v>
      </c>
      <c r="BC610" s="1" t="s">
        <v>74</v>
      </c>
      <c r="BD610" s="1">
        <v>2273.0</v>
      </c>
      <c r="BE610" s="1" t="s">
        <v>5559</v>
      </c>
      <c r="BF610" s="2" t="str">
        <f>HYPERLINK("http://dx.doi.org/10.3390/electronics13122273","http://dx.doi.org/10.3390/electronics13122273")</f>
        <v>http://dx.doi.org/10.3390/electronics13122273</v>
      </c>
      <c r="BG610" s="1" t="s">
        <v>74</v>
      </c>
      <c r="BH610" s="1" t="s">
        <v>74</v>
      </c>
      <c r="BI610" s="1" t="s">
        <v>74</v>
      </c>
      <c r="BJ610" s="1" t="s">
        <v>74</v>
      </c>
      <c r="BK610" s="1" t="s">
        <v>74</v>
      </c>
      <c r="BL610" s="1" t="s">
        <v>244</v>
      </c>
      <c r="BM610" s="1" t="s">
        <v>74</v>
      </c>
      <c r="BN610" s="1" t="s">
        <v>74</v>
      </c>
      <c r="BO610" s="1" t="s">
        <v>163</v>
      </c>
      <c r="BP610" s="1" t="s">
        <v>74</v>
      </c>
      <c r="BQ610" s="1" t="s">
        <v>74</v>
      </c>
      <c r="BR610" s="1" t="s">
        <v>74</v>
      </c>
      <c r="BS610" s="1" t="s">
        <v>5560</v>
      </c>
      <c r="BT610" s="1" t="str">
        <f>HYPERLINK("https%3A%2F%2Fwww.webofscience.com%2Fwos%2Fwoscc%2Ffull-record%2FWOS:001256578600001","View Full Record in Web of Science")</f>
        <v>View Full Record in Web of Science</v>
      </c>
    </row>
    <row r="611" ht="12.75" customHeight="1">
      <c r="A611" s="1" t="s">
        <v>72</v>
      </c>
      <c r="B611" s="1" t="s">
        <v>5561</v>
      </c>
      <c r="C611" s="1" t="s">
        <v>74</v>
      </c>
      <c r="D611" s="1" t="s">
        <v>74</v>
      </c>
      <c r="E611" s="1" t="s">
        <v>74</v>
      </c>
      <c r="F611" s="1" t="s">
        <v>5562</v>
      </c>
      <c r="G611" s="1" t="s">
        <v>74</v>
      </c>
      <c r="H611" s="1" t="s">
        <v>74</v>
      </c>
      <c r="I611" s="1" t="s">
        <v>5563</v>
      </c>
      <c r="J611" s="1" t="s">
        <v>147</v>
      </c>
      <c r="K611" s="1" t="s">
        <v>74</v>
      </c>
      <c r="L611" s="1" t="s">
        <v>74</v>
      </c>
      <c r="M611" s="1" t="s">
        <v>74</v>
      </c>
      <c r="N611" s="1" t="s">
        <v>78</v>
      </c>
      <c r="O611" s="1" t="s">
        <v>74</v>
      </c>
      <c r="P611" s="1" t="s">
        <v>74</v>
      </c>
      <c r="Q611" s="1" t="s">
        <v>74</v>
      </c>
      <c r="R611" s="1" t="s">
        <v>74</v>
      </c>
      <c r="S611" s="1" t="s">
        <v>74</v>
      </c>
      <c r="T611" s="1" t="s">
        <v>5564</v>
      </c>
      <c r="U611" s="1" t="s">
        <v>74</v>
      </c>
      <c r="V611" s="1" t="s">
        <v>5565</v>
      </c>
      <c r="W611" s="1" t="s">
        <v>74</v>
      </c>
      <c r="X611" s="1" t="s">
        <v>74</v>
      </c>
      <c r="Y611" s="1" t="s">
        <v>74</v>
      </c>
      <c r="Z611" s="1" t="s">
        <v>74</v>
      </c>
      <c r="AA611" s="1" t="s">
        <v>74</v>
      </c>
      <c r="AB611" s="1" t="s">
        <v>74</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150</v>
      </c>
      <c r="AP611" s="1" t="s">
        <v>74</v>
      </c>
      <c r="AQ611" s="1" t="s">
        <v>74</v>
      </c>
      <c r="AR611" s="1" t="s">
        <v>74</v>
      </c>
      <c r="AS611" s="1" t="s">
        <v>74</v>
      </c>
      <c r="AT611" s="1" t="s">
        <v>74</v>
      </c>
      <c r="AU611" s="1">
        <v>2025.0</v>
      </c>
      <c r="AV611" s="1">
        <v>13.0</v>
      </c>
      <c r="AW611" s="1" t="s">
        <v>74</v>
      </c>
      <c r="AX611" s="1" t="s">
        <v>74</v>
      </c>
      <c r="AY611" s="1" t="s">
        <v>74</v>
      </c>
      <c r="AZ611" s="1" t="s">
        <v>74</v>
      </c>
      <c r="BA611" s="1" t="s">
        <v>74</v>
      </c>
      <c r="BB611" s="1">
        <v>183589.0</v>
      </c>
      <c r="BC611" s="1">
        <v>183597.0</v>
      </c>
      <c r="BD611" s="1" t="s">
        <v>74</v>
      </c>
      <c r="BE611" s="1" t="s">
        <v>5566</v>
      </c>
      <c r="BF611" s="2" t="str">
        <f>HYPERLINK("http://dx.doi.org/10.1109/ACCESS.2025.3623898","http://dx.doi.org/10.1109/ACCESS.2025.3623898")</f>
        <v>http://dx.doi.org/10.1109/ACCESS.2025.3623898</v>
      </c>
      <c r="BG611" s="1" t="s">
        <v>74</v>
      </c>
      <c r="BH611" s="1" t="s">
        <v>74</v>
      </c>
      <c r="BI611" s="1" t="s">
        <v>74</v>
      </c>
      <c r="BJ611" s="1" t="s">
        <v>74</v>
      </c>
      <c r="BK611" s="1" t="s">
        <v>74</v>
      </c>
      <c r="BL611" s="1" t="s">
        <v>152</v>
      </c>
      <c r="BM611" s="1" t="s">
        <v>74</v>
      </c>
      <c r="BN611" s="1" t="s">
        <v>74</v>
      </c>
      <c r="BO611" s="1" t="s">
        <v>153</v>
      </c>
      <c r="BP611" s="1" t="s">
        <v>74</v>
      </c>
      <c r="BQ611" s="1" t="s">
        <v>74</v>
      </c>
      <c r="BR611" s="1" t="s">
        <v>74</v>
      </c>
      <c r="BS611" s="1" t="s">
        <v>5567</v>
      </c>
      <c r="BT611" s="1" t="str">
        <f>HYPERLINK("https%3A%2F%2Fwww.webofscience.com%2Fwos%2Fwoscc%2Ffull-record%2FWOS:001606717700018","View Full Record in Web of Science")</f>
        <v>View Full Record in Web of Science</v>
      </c>
    </row>
    <row r="612" ht="12.75" customHeight="1">
      <c r="A612" s="1" t="s">
        <v>72</v>
      </c>
      <c r="B612" s="1" t="s">
        <v>5568</v>
      </c>
      <c r="C612" s="1" t="s">
        <v>74</v>
      </c>
      <c r="D612" s="1" t="s">
        <v>74</v>
      </c>
      <c r="E612" s="1" t="s">
        <v>74</v>
      </c>
      <c r="F612" s="1" t="s">
        <v>5569</v>
      </c>
      <c r="G612" s="1" t="s">
        <v>74</v>
      </c>
      <c r="H612" s="1" t="s">
        <v>74</v>
      </c>
      <c r="I612" s="1" t="s">
        <v>5570</v>
      </c>
      <c r="J612" s="1" t="s">
        <v>458</v>
      </c>
      <c r="K612" s="1" t="s">
        <v>74</v>
      </c>
      <c r="L612" s="1" t="s">
        <v>74</v>
      </c>
      <c r="M612" s="1" t="s">
        <v>74</v>
      </c>
      <c r="N612" s="1" t="s">
        <v>78</v>
      </c>
      <c r="O612" s="1" t="s">
        <v>74</v>
      </c>
      <c r="P612" s="1" t="s">
        <v>74</v>
      </c>
      <c r="Q612" s="1" t="s">
        <v>74</v>
      </c>
      <c r="R612" s="1" t="s">
        <v>74</v>
      </c>
      <c r="S612" s="1" t="s">
        <v>74</v>
      </c>
      <c r="T612" s="1" t="s">
        <v>5571</v>
      </c>
      <c r="U612" s="1" t="s">
        <v>74</v>
      </c>
      <c r="V612" s="1" t="s">
        <v>5572</v>
      </c>
      <c r="W612" s="1" t="s">
        <v>74</v>
      </c>
      <c r="X612" s="1" t="s">
        <v>74</v>
      </c>
      <c r="Y612" s="1" t="s">
        <v>74</v>
      </c>
      <c r="Z612" s="1" t="s">
        <v>74</v>
      </c>
      <c r="AA612" s="1" t="s">
        <v>74</v>
      </c>
      <c r="AB612" s="1" t="s">
        <v>74</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462</v>
      </c>
      <c r="AP612" s="1" t="s">
        <v>463</v>
      </c>
      <c r="AQ612" s="1" t="s">
        <v>74</v>
      </c>
      <c r="AR612" s="1" t="s">
        <v>74</v>
      </c>
      <c r="AS612" s="1" t="s">
        <v>74</v>
      </c>
      <c r="AT612" s="1" t="s">
        <v>172</v>
      </c>
      <c r="AU612" s="1">
        <v>2025.0</v>
      </c>
      <c r="AV612" s="1">
        <v>202.0</v>
      </c>
      <c r="AW612" s="1" t="s">
        <v>74</v>
      </c>
      <c r="AX612" s="1" t="s">
        <v>74</v>
      </c>
      <c r="AY612" s="1" t="s">
        <v>74</v>
      </c>
      <c r="AZ612" s="1" t="s">
        <v>74</v>
      </c>
      <c r="BA612" s="1" t="s">
        <v>74</v>
      </c>
      <c r="BB612" s="1" t="s">
        <v>74</v>
      </c>
      <c r="BC612" s="1" t="s">
        <v>74</v>
      </c>
      <c r="BD612" s="1">
        <v>109282.0</v>
      </c>
      <c r="BE612" s="1" t="s">
        <v>5573</v>
      </c>
      <c r="BF612" s="2" t="str">
        <f>HYPERLINK("http://dx.doi.org/10.1016/j.compchemeng.2025.109282","http://dx.doi.org/10.1016/j.compchemeng.2025.109282")</f>
        <v>http://dx.doi.org/10.1016/j.compchemeng.2025.109282</v>
      </c>
      <c r="BG612" s="1" t="s">
        <v>74</v>
      </c>
      <c r="BH612" s="1" t="s">
        <v>276</v>
      </c>
      <c r="BI612" s="1" t="s">
        <v>74</v>
      </c>
      <c r="BJ612" s="1" t="s">
        <v>74</v>
      </c>
      <c r="BK612" s="1" t="s">
        <v>74</v>
      </c>
      <c r="BL612" s="1" t="s">
        <v>98</v>
      </c>
      <c r="BM612" s="1" t="s">
        <v>74</v>
      </c>
      <c r="BN612" s="1" t="s">
        <v>74</v>
      </c>
      <c r="BO612" s="1" t="s">
        <v>74</v>
      </c>
      <c r="BP612" s="1" t="s">
        <v>74</v>
      </c>
      <c r="BQ612" s="1" t="s">
        <v>74</v>
      </c>
      <c r="BR612" s="1" t="s">
        <v>74</v>
      </c>
      <c r="BS612" s="1" t="s">
        <v>5574</v>
      </c>
      <c r="BT612" s="1" t="str">
        <f>HYPERLINK("https%3A%2F%2Fwww.webofscience.com%2Fwos%2Fwoscc%2Ffull-record%2FWOS:001545858400001","View Full Record in Web of Science")</f>
        <v>View Full Record in Web of Science</v>
      </c>
    </row>
    <row r="613" ht="12.75" customHeight="1">
      <c r="A613" s="1" t="s">
        <v>72</v>
      </c>
      <c r="B613" s="1" t="s">
        <v>5575</v>
      </c>
      <c r="C613" s="1" t="s">
        <v>74</v>
      </c>
      <c r="D613" s="1" t="s">
        <v>74</v>
      </c>
      <c r="E613" s="1" t="s">
        <v>74</v>
      </c>
      <c r="F613" s="1" t="s">
        <v>5576</v>
      </c>
      <c r="G613" s="1" t="s">
        <v>74</v>
      </c>
      <c r="H613" s="1" t="s">
        <v>74</v>
      </c>
      <c r="I613" s="1" t="s">
        <v>5577</v>
      </c>
      <c r="J613" s="1" t="s">
        <v>2479</v>
      </c>
      <c r="K613" s="1" t="s">
        <v>74</v>
      </c>
      <c r="L613" s="1" t="s">
        <v>74</v>
      </c>
      <c r="M613" s="1" t="s">
        <v>74</v>
      </c>
      <c r="N613" s="1" t="s">
        <v>78</v>
      </c>
      <c r="O613" s="1" t="s">
        <v>74</v>
      </c>
      <c r="P613" s="1" t="s">
        <v>74</v>
      </c>
      <c r="Q613" s="1" t="s">
        <v>74</v>
      </c>
      <c r="R613" s="1" t="s">
        <v>74</v>
      </c>
      <c r="S613" s="1" t="s">
        <v>74</v>
      </c>
      <c r="T613" s="1" t="s">
        <v>5578</v>
      </c>
      <c r="U613" s="1" t="s">
        <v>5579</v>
      </c>
      <c r="V613" s="1" t="s">
        <v>5580</v>
      </c>
      <c r="W613" s="1" t="s">
        <v>74</v>
      </c>
      <c r="X613" s="1" t="s">
        <v>74</v>
      </c>
      <c r="Y613" s="1" t="s">
        <v>74</v>
      </c>
      <c r="Z613" s="1" t="s">
        <v>74</v>
      </c>
      <c r="AA613" s="1" t="s">
        <v>74</v>
      </c>
      <c r="AB613" s="1" t="s">
        <v>74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2483</v>
      </c>
      <c r="AP613" s="1" t="s">
        <v>2484</v>
      </c>
      <c r="AQ613" s="1" t="s">
        <v>74</v>
      </c>
      <c r="AR613" s="1" t="s">
        <v>74</v>
      </c>
      <c r="AS613" s="1" t="s">
        <v>74</v>
      </c>
      <c r="AT613" s="1" t="s">
        <v>688</v>
      </c>
      <c r="AU613" s="1">
        <v>2025.0</v>
      </c>
      <c r="AV613" s="1">
        <v>43.0</v>
      </c>
      <c r="AW613" s="1">
        <v>2.0</v>
      </c>
      <c r="AX613" s="1" t="s">
        <v>74</v>
      </c>
      <c r="AY613" s="1" t="s">
        <v>74</v>
      </c>
      <c r="AZ613" s="1" t="s">
        <v>74</v>
      </c>
      <c r="BA613" s="1" t="s">
        <v>74</v>
      </c>
      <c r="BB613" s="1" t="s">
        <v>74</v>
      </c>
      <c r="BC613" s="1" t="s">
        <v>74</v>
      </c>
      <c r="BD613" s="1">
        <v>55.0</v>
      </c>
      <c r="BE613" s="1" t="s">
        <v>5581</v>
      </c>
      <c r="BF613" s="2" t="str">
        <f>HYPERLINK("http://dx.doi.org/10.1145/3708985","http://dx.doi.org/10.1145/3708985")</f>
        <v>http://dx.doi.org/10.1145/3708985</v>
      </c>
      <c r="BG613" s="1" t="s">
        <v>74</v>
      </c>
      <c r="BH613" s="1" t="s">
        <v>74</v>
      </c>
      <c r="BI613" s="1" t="s">
        <v>74</v>
      </c>
      <c r="BJ613" s="1" t="s">
        <v>74</v>
      </c>
      <c r="BK613" s="1" t="s">
        <v>74</v>
      </c>
      <c r="BL613" s="1" t="s">
        <v>174</v>
      </c>
      <c r="BM613" s="1" t="s">
        <v>74</v>
      </c>
      <c r="BN613" s="1" t="s">
        <v>74</v>
      </c>
      <c r="BO613" s="1" t="s">
        <v>74</v>
      </c>
      <c r="BP613" s="1" t="s">
        <v>74</v>
      </c>
      <c r="BQ613" s="1" t="s">
        <v>74</v>
      </c>
      <c r="BR613" s="1" t="s">
        <v>74</v>
      </c>
      <c r="BS613" s="1" t="s">
        <v>5582</v>
      </c>
      <c r="BT613" s="1" t="str">
        <f>HYPERLINK("https%3A%2F%2Fwww.webofscience.com%2Fwos%2Fwoscc%2Ffull-record%2FWOS:001434271500001","View Full Record in Web of Science")</f>
        <v>View Full Record in Web of Science</v>
      </c>
    </row>
    <row r="614" ht="12.75" customHeight="1">
      <c r="A614" s="1" t="s">
        <v>72</v>
      </c>
      <c r="B614" s="1" t="s">
        <v>5583</v>
      </c>
      <c r="C614" s="1" t="s">
        <v>74</v>
      </c>
      <c r="D614" s="1" t="s">
        <v>74</v>
      </c>
      <c r="E614" s="1" t="s">
        <v>74</v>
      </c>
      <c r="F614" s="1" t="s">
        <v>5584</v>
      </c>
      <c r="G614" s="1" t="s">
        <v>74</v>
      </c>
      <c r="H614" s="1" t="s">
        <v>74</v>
      </c>
      <c r="I614" s="1" t="s">
        <v>5585</v>
      </c>
      <c r="J614" s="1" t="s">
        <v>5586</v>
      </c>
      <c r="K614" s="1" t="s">
        <v>74</v>
      </c>
      <c r="L614" s="1" t="s">
        <v>74</v>
      </c>
      <c r="M614" s="1" t="s">
        <v>74</v>
      </c>
      <c r="N614" s="1" t="s">
        <v>78</v>
      </c>
      <c r="O614" s="1" t="s">
        <v>74</v>
      </c>
      <c r="P614" s="1" t="s">
        <v>74</v>
      </c>
      <c r="Q614" s="1" t="s">
        <v>74</v>
      </c>
      <c r="R614" s="1" t="s">
        <v>74</v>
      </c>
      <c r="S614" s="1" t="s">
        <v>74</v>
      </c>
      <c r="T614" s="1" t="s">
        <v>5587</v>
      </c>
      <c r="U614" s="1" t="s">
        <v>5588</v>
      </c>
      <c r="V614" s="1" t="s">
        <v>5589</v>
      </c>
      <c r="W614" s="1" t="s">
        <v>74</v>
      </c>
      <c r="X614" s="1" t="s">
        <v>74</v>
      </c>
      <c r="Y614" s="1" t="s">
        <v>74</v>
      </c>
      <c r="Z614" s="1" t="s">
        <v>74</v>
      </c>
      <c r="AA614" s="1" t="s">
        <v>74</v>
      </c>
      <c r="AB614" s="1" t="s">
        <v>74</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5590</v>
      </c>
      <c r="AP614" s="1" t="s">
        <v>5591</v>
      </c>
      <c r="AQ614" s="1" t="s">
        <v>74</v>
      </c>
      <c r="AR614" s="1" t="s">
        <v>74</v>
      </c>
      <c r="AS614" s="1" t="s">
        <v>74</v>
      </c>
      <c r="AT614" s="1" t="s">
        <v>688</v>
      </c>
      <c r="AU614" s="1">
        <v>2025.0</v>
      </c>
      <c r="AV614" s="1">
        <v>46.0</v>
      </c>
      <c r="AW614" s="1">
        <v>3.0</v>
      </c>
      <c r="AX614" s="1" t="s">
        <v>74</v>
      </c>
      <c r="AY614" s="1" t="s">
        <v>74</v>
      </c>
      <c r="AZ614" s="1" t="s">
        <v>74</v>
      </c>
      <c r="BA614" s="1" t="s">
        <v>74</v>
      </c>
      <c r="BB614" s="1">
        <v>583.0</v>
      </c>
      <c r="BC614" s="1">
        <v>610.0</v>
      </c>
      <c r="BD614" s="1" t="s">
        <v>74</v>
      </c>
      <c r="BE614" s="1" t="s">
        <v>5592</v>
      </c>
      <c r="BF614" s="2" t="str">
        <f>HYPERLINK("http://dx.doi.org/10.1002/smj.3677","http://dx.doi.org/10.1002/smj.3677")</f>
        <v>http://dx.doi.org/10.1002/smj.3677</v>
      </c>
      <c r="BG614" s="1" t="s">
        <v>74</v>
      </c>
      <c r="BH614" s="1" t="s">
        <v>2216</v>
      </c>
      <c r="BI614" s="1" t="s">
        <v>74</v>
      </c>
      <c r="BJ614" s="1" t="s">
        <v>74</v>
      </c>
      <c r="BK614" s="1" t="s">
        <v>74</v>
      </c>
      <c r="BL614" s="1" t="s">
        <v>214</v>
      </c>
      <c r="BM614" s="1" t="s">
        <v>74</v>
      </c>
      <c r="BN614" s="1" t="s">
        <v>74</v>
      </c>
      <c r="BO614" s="1" t="s">
        <v>114</v>
      </c>
      <c r="BP614" s="1" t="s">
        <v>74</v>
      </c>
      <c r="BQ614" s="1" t="s">
        <v>74</v>
      </c>
      <c r="BR614" s="1" t="s">
        <v>74</v>
      </c>
      <c r="BS614" s="1" t="s">
        <v>5593</v>
      </c>
      <c r="BT614" s="1" t="str">
        <f>HYPERLINK("https%3A%2F%2Fwww.webofscience.com%2Fwos%2Fwoscc%2Ffull-record%2FWOS:001356917200001","View Full Record in Web of Science")</f>
        <v>View Full Record in Web of Science</v>
      </c>
    </row>
    <row r="615" ht="12.75" customHeight="1">
      <c r="A615" s="1" t="s">
        <v>72</v>
      </c>
      <c r="B615" s="1" t="s">
        <v>5594</v>
      </c>
      <c r="C615" s="1" t="s">
        <v>74</v>
      </c>
      <c r="D615" s="1" t="s">
        <v>74</v>
      </c>
      <c r="E615" s="1" t="s">
        <v>74</v>
      </c>
      <c r="F615" s="1" t="s">
        <v>5595</v>
      </c>
      <c r="G615" s="1" t="s">
        <v>74</v>
      </c>
      <c r="H615" s="1" t="s">
        <v>74</v>
      </c>
      <c r="I615" s="1" t="s">
        <v>5596</v>
      </c>
      <c r="J615" s="1" t="s">
        <v>147</v>
      </c>
      <c r="K615" s="1" t="s">
        <v>74</v>
      </c>
      <c r="L615" s="1" t="s">
        <v>74</v>
      </c>
      <c r="M615" s="1" t="s">
        <v>74</v>
      </c>
      <c r="N615" s="1" t="s">
        <v>78</v>
      </c>
      <c r="O615" s="1" t="s">
        <v>74</v>
      </c>
      <c r="P615" s="1" t="s">
        <v>74</v>
      </c>
      <c r="Q615" s="1" t="s">
        <v>74</v>
      </c>
      <c r="R615" s="1" t="s">
        <v>74</v>
      </c>
      <c r="S615" s="1" t="s">
        <v>74</v>
      </c>
      <c r="T615" s="1" t="s">
        <v>5597</v>
      </c>
      <c r="U615" s="1" t="s">
        <v>5598</v>
      </c>
      <c r="V615" s="1" t="s">
        <v>5599</v>
      </c>
      <c r="W615" s="1" t="s">
        <v>74</v>
      </c>
      <c r="X615" s="1" t="s">
        <v>74</v>
      </c>
      <c r="Y615" s="1" t="s">
        <v>74</v>
      </c>
      <c r="Z615" s="1" t="s">
        <v>74</v>
      </c>
      <c r="AA615" s="1" t="s">
        <v>74</v>
      </c>
      <c r="AB615" s="1" t="s">
        <v>74</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150</v>
      </c>
      <c r="AP615" s="1" t="s">
        <v>74</v>
      </c>
      <c r="AQ615" s="1" t="s">
        <v>74</v>
      </c>
      <c r="AR615" s="1" t="s">
        <v>74</v>
      </c>
      <c r="AS615" s="1" t="s">
        <v>74</v>
      </c>
      <c r="AT615" s="1" t="s">
        <v>74</v>
      </c>
      <c r="AU615" s="1">
        <v>2025.0</v>
      </c>
      <c r="AV615" s="1">
        <v>13.0</v>
      </c>
      <c r="AW615" s="1" t="s">
        <v>74</v>
      </c>
      <c r="AX615" s="1" t="s">
        <v>74</v>
      </c>
      <c r="AY615" s="1" t="s">
        <v>74</v>
      </c>
      <c r="AZ615" s="1" t="s">
        <v>74</v>
      </c>
      <c r="BA615" s="1" t="s">
        <v>74</v>
      </c>
      <c r="BB615" s="1">
        <v>122386.0</v>
      </c>
      <c r="BC615" s="1">
        <v>122407.0</v>
      </c>
      <c r="BD615" s="1" t="s">
        <v>74</v>
      </c>
      <c r="BE615" s="1" t="s">
        <v>5600</v>
      </c>
      <c r="BF615" s="2" t="str">
        <f>HYPERLINK("http://dx.doi.org/10.1109/ACCESS.2025.3585629","http://dx.doi.org/10.1109/ACCESS.2025.3585629")</f>
        <v>http://dx.doi.org/10.1109/ACCESS.2025.3585629</v>
      </c>
      <c r="BG615" s="1" t="s">
        <v>74</v>
      </c>
      <c r="BH615" s="1" t="s">
        <v>74</v>
      </c>
      <c r="BI615" s="1" t="s">
        <v>74</v>
      </c>
      <c r="BJ615" s="1" t="s">
        <v>74</v>
      </c>
      <c r="BK615" s="1" t="s">
        <v>74</v>
      </c>
      <c r="BL615" s="1" t="s">
        <v>152</v>
      </c>
      <c r="BM615" s="1" t="s">
        <v>74</v>
      </c>
      <c r="BN615" s="1" t="s">
        <v>74</v>
      </c>
      <c r="BO615" s="1" t="s">
        <v>153</v>
      </c>
      <c r="BP615" s="1" t="s">
        <v>74</v>
      </c>
      <c r="BQ615" s="1" t="s">
        <v>74</v>
      </c>
      <c r="BR615" s="1" t="s">
        <v>74</v>
      </c>
      <c r="BS615" s="1" t="s">
        <v>5601</v>
      </c>
      <c r="BT615" s="1" t="str">
        <f>HYPERLINK("https%3A%2F%2Fwww.webofscience.com%2Fwos%2Fwoscc%2Ffull-record%2FWOS:001531856700002","View Full Record in Web of Science")</f>
        <v>View Full Record in Web of Science</v>
      </c>
    </row>
    <row r="616" ht="12.75" customHeight="1">
      <c r="A616" s="1" t="s">
        <v>72</v>
      </c>
      <c r="B616" s="1" t="s">
        <v>5602</v>
      </c>
      <c r="C616" s="1" t="s">
        <v>74</v>
      </c>
      <c r="D616" s="1" t="s">
        <v>74</v>
      </c>
      <c r="E616" s="1" t="s">
        <v>74</v>
      </c>
      <c r="F616" s="1" t="s">
        <v>5603</v>
      </c>
      <c r="G616" s="1" t="s">
        <v>74</v>
      </c>
      <c r="H616" s="1" t="s">
        <v>74</v>
      </c>
      <c r="I616" s="1" t="s">
        <v>5604</v>
      </c>
      <c r="J616" s="1" t="s">
        <v>2409</v>
      </c>
      <c r="K616" s="1" t="s">
        <v>74</v>
      </c>
      <c r="L616" s="1" t="s">
        <v>74</v>
      </c>
      <c r="M616" s="1" t="s">
        <v>74</v>
      </c>
      <c r="N616" s="1" t="s">
        <v>78</v>
      </c>
      <c r="O616" s="1" t="s">
        <v>74</v>
      </c>
      <c r="P616" s="1" t="s">
        <v>74</v>
      </c>
      <c r="Q616" s="1" t="s">
        <v>74</v>
      </c>
      <c r="R616" s="1" t="s">
        <v>74</v>
      </c>
      <c r="S616" s="1" t="s">
        <v>74</v>
      </c>
      <c r="T616" s="1" t="s">
        <v>5605</v>
      </c>
      <c r="U616" s="1" t="s">
        <v>74</v>
      </c>
      <c r="V616" s="1" t="s">
        <v>5606</v>
      </c>
      <c r="W616" s="1" t="s">
        <v>74</v>
      </c>
      <c r="X616" s="1" t="s">
        <v>74</v>
      </c>
      <c r="Y616" s="1" t="s">
        <v>74</v>
      </c>
      <c r="Z616" s="1" t="s">
        <v>74</v>
      </c>
      <c r="AA616" s="1" t="s">
        <v>74</v>
      </c>
      <c r="AB616" s="1" t="s">
        <v>74</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74</v>
      </c>
      <c r="AP616" s="1" t="s">
        <v>2412</v>
      </c>
      <c r="AQ616" s="1" t="s">
        <v>74</v>
      </c>
      <c r="AR616" s="1" t="s">
        <v>74</v>
      </c>
      <c r="AS616" s="1" t="s">
        <v>74</v>
      </c>
      <c r="AT616" s="1" t="s">
        <v>5607</v>
      </c>
      <c r="AU616" s="1">
        <v>2025.0</v>
      </c>
      <c r="AV616" s="1">
        <v>5.0</v>
      </c>
      <c r="AW616" s="1">
        <v>2.0</v>
      </c>
      <c r="AX616" s="1" t="s">
        <v>74</v>
      </c>
      <c r="AY616" s="1" t="s">
        <v>74</v>
      </c>
      <c r="AZ616" s="1" t="s">
        <v>74</v>
      </c>
      <c r="BA616" s="1" t="s">
        <v>74</v>
      </c>
      <c r="BB616" s="1" t="s">
        <v>74</v>
      </c>
      <c r="BC616" s="1" t="s">
        <v>74</v>
      </c>
      <c r="BD616" s="1">
        <v>32.0</v>
      </c>
      <c r="BE616" s="1" t="s">
        <v>5608</v>
      </c>
      <c r="BF616" s="2" t="str">
        <f>HYPERLINK("http://dx.doi.org/10.3390/jcp5020032","http://dx.doi.org/10.3390/jcp5020032")</f>
        <v>http://dx.doi.org/10.3390/jcp5020032</v>
      </c>
      <c r="BG616" s="1" t="s">
        <v>74</v>
      </c>
      <c r="BH616" s="1" t="s">
        <v>74</v>
      </c>
      <c r="BI616" s="1" t="s">
        <v>74</v>
      </c>
      <c r="BJ616" s="1" t="s">
        <v>74</v>
      </c>
      <c r="BK616" s="1" t="s">
        <v>74</v>
      </c>
      <c r="BL616" s="1" t="s">
        <v>174</v>
      </c>
      <c r="BM616" s="1" t="s">
        <v>74</v>
      </c>
      <c r="BN616" s="1" t="s">
        <v>74</v>
      </c>
      <c r="BO616" s="1" t="s">
        <v>163</v>
      </c>
      <c r="BP616" s="1" t="s">
        <v>74</v>
      </c>
      <c r="BQ616" s="1" t="s">
        <v>74</v>
      </c>
      <c r="BR616" s="1" t="s">
        <v>74</v>
      </c>
      <c r="BS616" s="1" t="s">
        <v>5609</v>
      </c>
      <c r="BT616" s="1" t="str">
        <f>HYPERLINK("https%3A%2F%2Fwww.webofscience.com%2Fwos%2Fwoscc%2Ffull-record%2FWOS:001541388900001","View Full Record in Web of Science")</f>
        <v>View Full Record in Web of Science</v>
      </c>
    </row>
    <row r="617" ht="12.75" customHeight="1">
      <c r="A617" s="1" t="s">
        <v>72</v>
      </c>
      <c r="B617" s="1" t="s">
        <v>5610</v>
      </c>
      <c r="C617" s="1" t="s">
        <v>74</v>
      </c>
      <c r="D617" s="1" t="s">
        <v>74</v>
      </c>
      <c r="E617" s="1" t="s">
        <v>74</v>
      </c>
      <c r="F617" s="1" t="s">
        <v>5611</v>
      </c>
      <c r="G617" s="1" t="s">
        <v>74</v>
      </c>
      <c r="H617" s="1" t="s">
        <v>74</v>
      </c>
      <c r="I617" s="1" t="s">
        <v>5612</v>
      </c>
      <c r="J617" s="1" t="s">
        <v>2655</v>
      </c>
      <c r="K617" s="1" t="s">
        <v>74</v>
      </c>
      <c r="L617" s="1" t="s">
        <v>74</v>
      </c>
      <c r="M617" s="1" t="s">
        <v>74</v>
      </c>
      <c r="N617" s="1" t="s">
        <v>78</v>
      </c>
      <c r="O617" s="1" t="s">
        <v>74</v>
      </c>
      <c r="P617" s="1" t="s">
        <v>74</v>
      </c>
      <c r="Q617" s="1" t="s">
        <v>74</v>
      </c>
      <c r="R617" s="1" t="s">
        <v>74</v>
      </c>
      <c r="S617" s="1" t="s">
        <v>74</v>
      </c>
      <c r="T617" s="1" t="s">
        <v>5613</v>
      </c>
      <c r="U617" s="1" t="s">
        <v>74</v>
      </c>
      <c r="V617" s="1" t="s">
        <v>5614</v>
      </c>
      <c r="W617" s="1" t="s">
        <v>74</v>
      </c>
      <c r="X617" s="1" t="s">
        <v>74</v>
      </c>
      <c r="Y617" s="1" t="s">
        <v>74</v>
      </c>
      <c r="Z617" s="1" t="s">
        <v>74</v>
      </c>
      <c r="AA617" s="1" t="s">
        <v>74</v>
      </c>
      <c r="AB617" s="1" t="s">
        <v>74</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2659</v>
      </c>
      <c r="AP617" s="1" t="s">
        <v>2660</v>
      </c>
      <c r="AQ617" s="1" t="s">
        <v>74</v>
      </c>
      <c r="AR617" s="1" t="s">
        <v>74</v>
      </c>
      <c r="AS617" s="1" t="s">
        <v>74</v>
      </c>
      <c r="AT617" s="1" t="s">
        <v>172</v>
      </c>
      <c r="AU617" s="1">
        <v>2025.0</v>
      </c>
      <c r="AV617" s="1">
        <v>203.0</v>
      </c>
      <c r="AW617" s="1" t="s">
        <v>74</v>
      </c>
      <c r="AX617" s="1" t="s">
        <v>74</v>
      </c>
      <c r="AY617" s="1" t="s">
        <v>74</v>
      </c>
      <c r="AZ617" s="1" t="s">
        <v>74</v>
      </c>
      <c r="BA617" s="1" t="s">
        <v>74</v>
      </c>
      <c r="BB617" s="1" t="s">
        <v>74</v>
      </c>
      <c r="BC617" s="1" t="s">
        <v>74</v>
      </c>
      <c r="BD617" s="1">
        <v>106006.0</v>
      </c>
      <c r="BE617" s="1" t="s">
        <v>5615</v>
      </c>
      <c r="BF617" s="2" t="str">
        <f>HYPERLINK("http://dx.doi.org/10.1016/j.ijmedinf.2025.106006","http://dx.doi.org/10.1016/j.ijmedinf.2025.106006")</f>
        <v>http://dx.doi.org/10.1016/j.ijmedinf.2025.106006</v>
      </c>
      <c r="BG617" s="1" t="s">
        <v>74</v>
      </c>
      <c r="BH617" s="1" t="s">
        <v>112</v>
      </c>
      <c r="BI617" s="1" t="s">
        <v>74</v>
      </c>
      <c r="BJ617" s="1" t="s">
        <v>74</v>
      </c>
      <c r="BK617" s="1" t="s">
        <v>74</v>
      </c>
      <c r="BL617" s="1" t="s">
        <v>1171</v>
      </c>
      <c r="BM617" s="1" t="s">
        <v>74</v>
      </c>
      <c r="BN617" s="1" t="s">
        <v>74</v>
      </c>
      <c r="BO617" s="1" t="s">
        <v>114</v>
      </c>
      <c r="BP617" s="1" t="s">
        <v>74</v>
      </c>
      <c r="BQ617" s="1" t="s">
        <v>74</v>
      </c>
      <c r="BR617" s="1" t="s">
        <v>74</v>
      </c>
      <c r="BS617" s="1" t="s">
        <v>5616</v>
      </c>
      <c r="BT617" s="1" t="str">
        <f>HYPERLINK("https%3A%2F%2Fwww.webofscience.com%2Fwos%2Fwoscc%2Ffull-record%2FWOS:001507513500001","View Full Record in Web of Science")</f>
        <v>View Full Record in Web of Science</v>
      </c>
    </row>
    <row r="618" ht="12.75" customHeight="1">
      <c r="A618" s="1" t="s">
        <v>72</v>
      </c>
      <c r="B618" s="1" t="s">
        <v>5617</v>
      </c>
      <c r="C618" s="1" t="s">
        <v>74</v>
      </c>
      <c r="D618" s="1" t="s">
        <v>74</v>
      </c>
      <c r="E618" s="1" t="s">
        <v>74</v>
      </c>
      <c r="F618" s="1" t="s">
        <v>5618</v>
      </c>
      <c r="G618" s="1" t="s">
        <v>74</v>
      </c>
      <c r="H618" s="1" t="s">
        <v>74</v>
      </c>
      <c r="I618" s="1" t="s">
        <v>5619</v>
      </c>
      <c r="J618" s="1" t="s">
        <v>320</v>
      </c>
      <c r="K618" s="1" t="s">
        <v>74</v>
      </c>
      <c r="L618" s="1" t="s">
        <v>74</v>
      </c>
      <c r="M618" s="1" t="s">
        <v>74</v>
      </c>
      <c r="N618" s="1" t="s">
        <v>78</v>
      </c>
      <c r="O618" s="1" t="s">
        <v>74</v>
      </c>
      <c r="P618" s="1" t="s">
        <v>74</v>
      </c>
      <c r="Q618" s="1" t="s">
        <v>74</v>
      </c>
      <c r="R618" s="1" t="s">
        <v>74</v>
      </c>
      <c r="S618" s="1" t="s">
        <v>74</v>
      </c>
      <c r="T618" s="1" t="s">
        <v>5620</v>
      </c>
      <c r="U618" s="1" t="s">
        <v>74</v>
      </c>
      <c r="V618" s="1" t="s">
        <v>5621</v>
      </c>
      <c r="W618" s="1" t="s">
        <v>74</v>
      </c>
      <c r="X618" s="1" t="s">
        <v>74</v>
      </c>
      <c r="Y618" s="1" t="s">
        <v>74</v>
      </c>
      <c r="Z618" s="1" t="s">
        <v>74</v>
      </c>
      <c r="AA618" s="1" t="s">
        <v>74</v>
      </c>
      <c r="AB618" s="1" t="s">
        <v>74</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74</v>
      </c>
      <c r="AP618" s="1" t="s">
        <v>324</v>
      </c>
      <c r="AQ618" s="1" t="s">
        <v>74</v>
      </c>
      <c r="AR618" s="1" t="s">
        <v>74</v>
      </c>
      <c r="AS618" s="1" t="s">
        <v>74</v>
      </c>
      <c r="AT618" s="1" t="s">
        <v>5622</v>
      </c>
      <c r="AU618" s="1">
        <v>2025.0</v>
      </c>
      <c r="AV618" s="1">
        <v>9.0</v>
      </c>
      <c r="AW618" s="1">
        <v>6.0</v>
      </c>
      <c r="AX618" s="1" t="s">
        <v>74</v>
      </c>
      <c r="AY618" s="1" t="s">
        <v>74</v>
      </c>
      <c r="AZ618" s="1" t="s">
        <v>74</v>
      </c>
      <c r="BA618" s="1" t="s">
        <v>74</v>
      </c>
      <c r="BB618" s="1" t="s">
        <v>74</v>
      </c>
      <c r="BC618" s="1" t="s">
        <v>74</v>
      </c>
      <c r="BD618" s="1">
        <v>149.0</v>
      </c>
      <c r="BE618" s="1" t="s">
        <v>5623</v>
      </c>
      <c r="BF618" s="2" t="str">
        <f>HYPERLINK("http://dx.doi.org/10.3390/bdcc9060149","http://dx.doi.org/10.3390/bdcc9060149")</f>
        <v>http://dx.doi.org/10.3390/bdcc9060149</v>
      </c>
      <c r="BG618" s="1" t="s">
        <v>74</v>
      </c>
      <c r="BH618" s="1" t="s">
        <v>74</v>
      </c>
      <c r="BI618" s="1" t="s">
        <v>74</v>
      </c>
      <c r="BJ618" s="1" t="s">
        <v>74</v>
      </c>
      <c r="BK618" s="1" t="s">
        <v>74</v>
      </c>
      <c r="BL618" s="1" t="s">
        <v>174</v>
      </c>
      <c r="BM618" s="1" t="s">
        <v>74</v>
      </c>
      <c r="BN618" s="1" t="s">
        <v>74</v>
      </c>
      <c r="BO618" s="1" t="s">
        <v>163</v>
      </c>
      <c r="BP618" s="1" t="s">
        <v>74</v>
      </c>
      <c r="BQ618" s="1" t="s">
        <v>74</v>
      </c>
      <c r="BR618" s="1" t="s">
        <v>74</v>
      </c>
      <c r="BS618" s="1" t="s">
        <v>5624</v>
      </c>
      <c r="BT618" s="1" t="str">
        <f>HYPERLINK("https%3A%2F%2Fwww.webofscience.com%2Fwos%2Fwoscc%2Ffull-record%2FWOS:001516280000001","View Full Record in Web of Science")</f>
        <v>View Full Record in Web of Science</v>
      </c>
    </row>
    <row r="619" ht="12.75" customHeight="1">
      <c r="A619" s="1" t="s">
        <v>72</v>
      </c>
      <c r="B619" s="1" t="s">
        <v>5625</v>
      </c>
      <c r="C619" s="1" t="s">
        <v>74</v>
      </c>
      <c r="D619" s="1" t="s">
        <v>74</v>
      </c>
      <c r="E619" s="1" t="s">
        <v>74</v>
      </c>
      <c r="F619" s="1" t="s">
        <v>5626</v>
      </c>
      <c r="G619" s="1" t="s">
        <v>74</v>
      </c>
      <c r="H619" s="1" t="s">
        <v>74</v>
      </c>
      <c r="I619" s="1" t="s">
        <v>5627</v>
      </c>
      <c r="J619" s="1" t="s">
        <v>5628</v>
      </c>
      <c r="K619" s="1" t="s">
        <v>74</v>
      </c>
      <c r="L619" s="1" t="s">
        <v>74</v>
      </c>
      <c r="M619" s="1" t="s">
        <v>74</v>
      </c>
      <c r="N619" s="1" t="s">
        <v>78</v>
      </c>
      <c r="O619" s="1" t="s">
        <v>74</v>
      </c>
      <c r="P619" s="1" t="s">
        <v>74</v>
      </c>
      <c r="Q619" s="1" t="s">
        <v>74</v>
      </c>
      <c r="R619" s="1" t="s">
        <v>74</v>
      </c>
      <c r="S619" s="1" t="s">
        <v>74</v>
      </c>
      <c r="T619" s="1" t="s">
        <v>5629</v>
      </c>
      <c r="U619" s="1" t="s">
        <v>5630</v>
      </c>
      <c r="V619" s="1" t="s">
        <v>5631</v>
      </c>
      <c r="W619" s="1" t="s">
        <v>74</v>
      </c>
      <c r="X619" s="1" t="s">
        <v>74</v>
      </c>
      <c r="Y619" s="1" t="s">
        <v>74</v>
      </c>
      <c r="Z619" s="1" t="s">
        <v>74</v>
      </c>
      <c r="AA619" s="1" t="s">
        <v>74</v>
      </c>
      <c r="AB619" s="1" t="s">
        <v>74</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5632</v>
      </c>
      <c r="AP619" s="1" t="s">
        <v>5633</v>
      </c>
      <c r="AQ619" s="1" t="s">
        <v>74</v>
      </c>
      <c r="AR619" s="1" t="s">
        <v>74</v>
      </c>
      <c r="AS619" s="1" t="s">
        <v>74</v>
      </c>
      <c r="AT619" s="1" t="s">
        <v>172</v>
      </c>
      <c r="AU619" s="1">
        <v>2025.0</v>
      </c>
      <c r="AV619" s="1">
        <v>6.0</v>
      </c>
      <c r="AW619" s="1">
        <v>4.0</v>
      </c>
      <c r="AX619" s="1" t="s">
        <v>74</v>
      </c>
      <c r="AY619" s="1" t="s">
        <v>74</v>
      </c>
      <c r="AZ619" s="1" t="s">
        <v>707</v>
      </c>
      <c r="BA619" s="1" t="s">
        <v>74</v>
      </c>
      <c r="BB619" s="1" t="s">
        <v>74</v>
      </c>
      <c r="BC619" s="1" t="s">
        <v>74</v>
      </c>
      <c r="BD619" s="1">
        <v>23.0</v>
      </c>
      <c r="BE619" s="1" t="s">
        <v>5634</v>
      </c>
      <c r="BF619" s="2" t="str">
        <f>HYPERLINK("http://dx.doi.org/10.1145/3762669","http://dx.doi.org/10.1145/3762669")</f>
        <v>http://dx.doi.org/10.1145/3762669</v>
      </c>
      <c r="BG619" s="1" t="s">
        <v>74</v>
      </c>
      <c r="BH619" s="1" t="s">
        <v>74</v>
      </c>
      <c r="BI619" s="1" t="s">
        <v>74</v>
      </c>
      <c r="BJ619" s="1" t="s">
        <v>74</v>
      </c>
      <c r="BK619" s="1" t="s">
        <v>74</v>
      </c>
      <c r="BL619" s="1" t="s">
        <v>152</v>
      </c>
      <c r="BM619" s="1" t="s">
        <v>74</v>
      </c>
      <c r="BN619" s="1" t="s">
        <v>74</v>
      </c>
      <c r="BO619" s="1" t="s">
        <v>114</v>
      </c>
      <c r="BP619" s="1" t="s">
        <v>74</v>
      </c>
      <c r="BQ619" s="1" t="s">
        <v>74</v>
      </c>
      <c r="BR619" s="1" t="s">
        <v>74</v>
      </c>
      <c r="BS619" s="1" t="s">
        <v>5635</v>
      </c>
      <c r="BT619" s="1" t="str">
        <f>HYPERLINK("https%3A%2F%2Fwww.webofscience.com%2Fwos%2Fwoscc%2Ffull-record%2FWOS:001631686000003","View Full Record in Web of Science")</f>
        <v>View Full Record in Web of Science</v>
      </c>
    </row>
    <row r="620" ht="12.75" customHeight="1">
      <c r="A620" s="1" t="s">
        <v>72</v>
      </c>
      <c r="B620" s="1" t="s">
        <v>5636</v>
      </c>
      <c r="C620" s="1" t="s">
        <v>74</v>
      </c>
      <c r="D620" s="1" t="s">
        <v>74</v>
      </c>
      <c r="E620" s="1" t="s">
        <v>74</v>
      </c>
      <c r="F620" s="1" t="s">
        <v>5637</v>
      </c>
      <c r="G620" s="1" t="s">
        <v>74</v>
      </c>
      <c r="H620" s="1" t="s">
        <v>74</v>
      </c>
      <c r="I620" s="1" t="s">
        <v>5638</v>
      </c>
      <c r="J620" s="1" t="s">
        <v>3305</v>
      </c>
      <c r="K620" s="1" t="s">
        <v>74</v>
      </c>
      <c r="L620" s="1" t="s">
        <v>74</v>
      </c>
      <c r="M620" s="1" t="s">
        <v>74</v>
      </c>
      <c r="N620" s="1" t="s">
        <v>78</v>
      </c>
      <c r="O620" s="1" t="s">
        <v>74</v>
      </c>
      <c r="P620" s="1" t="s">
        <v>74</v>
      </c>
      <c r="Q620" s="1" t="s">
        <v>74</v>
      </c>
      <c r="R620" s="1" t="s">
        <v>74</v>
      </c>
      <c r="S620" s="1" t="s">
        <v>74</v>
      </c>
      <c r="T620" s="1" t="s">
        <v>5639</v>
      </c>
      <c r="U620" s="1" t="s">
        <v>5640</v>
      </c>
      <c r="V620" s="1" t="s">
        <v>5641</v>
      </c>
      <c r="W620" s="1" t="s">
        <v>74</v>
      </c>
      <c r="X620" s="1" t="s">
        <v>74</v>
      </c>
      <c r="Y620" s="1" t="s">
        <v>74</v>
      </c>
      <c r="Z620" s="1" t="s">
        <v>74</v>
      </c>
      <c r="AA620" s="1" t="s">
        <v>74</v>
      </c>
      <c r="AB620" s="1" t="s">
        <v>74</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3308</v>
      </c>
      <c r="AP620" s="1" t="s">
        <v>3309</v>
      </c>
      <c r="AQ620" s="1" t="s">
        <v>74</v>
      </c>
      <c r="AR620" s="1" t="s">
        <v>74</v>
      </c>
      <c r="AS620" s="1" t="s">
        <v>74</v>
      </c>
      <c r="AT620" s="1" t="s">
        <v>124</v>
      </c>
      <c r="AU620" s="1">
        <v>2025.0</v>
      </c>
      <c r="AV620" s="1">
        <v>123.0</v>
      </c>
      <c r="AW620" s="1" t="s">
        <v>74</v>
      </c>
      <c r="AX620" s="1" t="s">
        <v>1409</v>
      </c>
      <c r="AY620" s="1" t="s">
        <v>74</v>
      </c>
      <c r="AZ620" s="1" t="s">
        <v>74</v>
      </c>
      <c r="BA620" s="1" t="s">
        <v>74</v>
      </c>
      <c r="BB620" s="1" t="s">
        <v>74</v>
      </c>
      <c r="BC620" s="1" t="s">
        <v>74</v>
      </c>
      <c r="BD620" s="1">
        <v>110027.0</v>
      </c>
      <c r="BE620" s="1" t="s">
        <v>5642</v>
      </c>
      <c r="BF620" s="2" t="str">
        <f>HYPERLINK("http://dx.doi.org/10.1016/j.compeleceng.2024.110027","http://dx.doi.org/10.1016/j.compeleceng.2024.110027")</f>
        <v>http://dx.doi.org/10.1016/j.compeleceng.2024.110027</v>
      </c>
      <c r="BG620" s="1" t="s">
        <v>74</v>
      </c>
      <c r="BH620" s="1" t="s">
        <v>141</v>
      </c>
      <c r="BI620" s="1" t="s">
        <v>74</v>
      </c>
      <c r="BJ620" s="1" t="s">
        <v>74</v>
      </c>
      <c r="BK620" s="1" t="s">
        <v>74</v>
      </c>
      <c r="BL620" s="1" t="s">
        <v>98</v>
      </c>
      <c r="BM620" s="1" t="s">
        <v>74</v>
      </c>
      <c r="BN620" s="1" t="s">
        <v>74</v>
      </c>
      <c r="BO620" s="1" t="s">
        <v>74</v>
      </c>
      <c r="BP620" s="1" t="s">
        <v>74</v>
      </c>
      <c r="BQ620" s="1" t="s">
        <v>74</v>
      </c>
      <c r="BR620" s="1" t="s">
        <v>74</v>
      </c>
      <c r="BS620" s="1" t="s">
        <v>5643</v>
      </c>
      <c r="BT620" s="1" t="str">
        <f>HYPERLINK("https%3A%2F%2Fwww.webofscience.com%2Fwos%2Fwoscc%2Ffull-record%2FWOS:001407688100001","View Full Record in Web of Science")</f>
        <v>View Full Record in Web of Science</v>
      </c>
    </row>
    <row r="621" ht="12.75" customHeight="1">
      <c r="A621" s="1" t="s">
        <v>72</v>
      </c>
      <c r="B621" s="1" t="s">
        <v>5644</v>
      </c>
      <c r="C621" s="1" t="s">
        <v>74</v>
      </c>
      <c r="D621" s="1" t="s">
        <v>74</v>
      </c>
      <c r="E621" s="1" t="s">
        <v>74</v>
      </c>
      <c r="F621" s="1" t="s">
        <v>5645</v>
      </c>
      <c r="G621" s="1" t="s">
        <v>74</v>
      </c>
      <c r="H621" s="1" t="s">
        <v>74</v>
      </c>
      <c r="I621" s="1" t="s">
        <v>5646</v>
      </c>
      <c r="J621" s="1" t="s">
        <v>147</v>
      </c>
      <c r="K621" s="1" t="s">
        <v>74</v>
      </c>
      <c r="L621" s="1" t="s">
        <v>74</v>
      </c>
      <c r="M621" s="1" t="s">
        <v>74</v>
      </c>
      <c r="N621" s="1" t="s">
        <v>78</v>
      </c>
      <c r="O621" s="1" t="s">
        <v>74</v>
      </c>
      <c r="P621" s="1" t="s">
        <v>74</v>
      </c>
      <c r="Q621" s="1" t="s">
        <v>74</v>
      </c>
      <c r="R621" s="1" t="s">
        <v>74</v>
      </c>
      <c r="S621" s="1" t="s">
        <v>74</v>
      </c>
      <c r="T621" s="1" t="s">
        <v>5647</v>
      </c>
      <c r="U621" s="1" t="s">
        <v>5648</v>
      </c>
      <c r="V621" s="1" t="s">
        <v>5649</v>
      </c>
      <c r="W621" s="1" t="s">
        <v>74</v>
      </c>
      <c r="X621" s="1" t="s">
        <v>74</v>
      </c>
      <c r="Y621" s="1" t="s">
        <v>74</v>
      </c>
      <c r="Z621" s="1" t="s">
        <v>74</v>
      </c>
      <c r="AA621" s="1" t="s">
        <v>74</v>
      </c>
      <c r="AB621" s="1" t="s">
        <v>74</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150</v>
      </c>
      <c r="AP621" s="1" t="s">
        <v>74</v>
      </c>
      <c r="AQ621" s="1" t="s">
        <v>74</v>
      </c>
      <c r="AR621" s="1" t="s">
        <v>74</v>
      </c>
      <c r="AS621" s="1" t="s">
        <v>74</v>
      </c>
      <c r="AT621" s="1" t="s">
        <v>74</v>
      </c>
      <c r="AU621" s="1">
        <v>2025.0</v>
      </c>
      <c r="AV621" s="1">
        <v>13.0</v>
      </c>
      <c r="AW621" s="1" t="s">
        <v>74</v>
      </c>
      <c r="AX621" s="1" t="s">
        <v>74</v>
      </c>
      <c r="AY621" s="1" t="s">
        <v>74</v>
      </c>
      <c r="AZ621" s="1" t="s">
        <v>74</v>
      </c>
      <c r="BA621" s="1" t="s">
        <v>74</v>
      </c>
      <c r="BB621" s="1">
        <v>30235.0</v>
      </c>
      <c r="BC621" s="1">
        <v>30261.0</v>
      </c>
      <c r="BD621" s="1" t="s">
        <v>74</v>
      </c>
      <c r="BE621" s="1" t="s">
        <v>5650</v>
      </c>
      <c r="BF621" s="2" t="str">
        <f>HYPERLINK("http://dx.doi.org/10.1109/ACCESS.2025.3535782","http://dx.doi.org/10.1109/ACCESS.2025.3535782")</f>
        <v>http://dx.doi.org/10.1109/ACCESS.2025.3535782</v>
      </c>
      <c r="BG621" s="1" t="s">
        <v>74</v>
      </c>
      <c r="BH621" s="1" t="s">
        <v>74</v>
      </c>
      <c r="BI621" s="1" t="s">
        <v>74</v>
      </c>
      <c r="BJ621" s="1" t="s">
        <v>74</v>
      </c>
      <c r="BK621" s="1" t="s">
        <v>74</v>
      </c>
      <c r="BL621" s="1" t="s">
        <v>152</v>
      </c>
      <c r="BM621" s="1" t="s">
        <v>74</v>
      </c>
      <c r="BN621" s="1" t="s">
        <v>74</v>
      </c>
      <c r="BO621" s="1" t="s">
        <v>153</v>
      </c>
      <c r="BP621" s="1" t="s">
        <v>74</v>
      </c>
      <c r="BQ621" s="1" t="s">
        <v>74</v>
      </c>
      <c r="BR621" s="1" t="s">
        <v>74</v>
      </c>
      <c r="BS621" s="1" t="s">
        <v>5651</v>
      </c>
      <c r="BT621" s="1" t="str">
        <f>HYPERLINK("https%3A%2F%2Fwww.webofscience.com%2Fwos%2Fwoscc%2Ffull-record%2FWOS:001425531400046","View Full Record in Web of Science")</f>
        <v>View Full Record in Web of Science</v>
      </c>
    </row>
    <row r="622" ht="12.75" customHeight="1">
      <c r="A622" s="1" t="s">
        <v>72</v>
      </c>
      <c r="B622" s="1" t="s">
        <v>5652</v>
      </c>
      <c r="C622" s="1" t="s">
        <v>74</v>
      </c>
      <c r="D622" s="1" t="s">
        <v>74</v>
      </c>
      <c r="E622" s="1" t="s">
        <v>74</v>
      </c>
      <c r="F622" s="1" t="s">
        <v>5653</v>
      </c>
      <c r="G622" s="1" t="s">
        <v>74</v>
      </c>
      <c r="H622" s="1" t="s">
        <v>74</v>
      </c>
      <c r="I622" s="1" t="s">
        <v>5654</v>
      </c>
      <c r="J622" s="1" t="s">
        <v>147</v>
      </c>
      <c r="K622" s="1" t="s">
        <v>74</v>
      </c>
      <c r="L622" s="1" t="s">
        <v>74</v>
      </c>
      <c r="M622" s="1" t="s">
        <v>74</v>
      </c>
      <c r="N622" s="1" t="s">
        <v>78</v>
      </c>
      <c r="O622" s="1" t="s">
        <v>74</v>
      </c>
      <c r="P622" s="1" t="s">
        <v>74</v>
      </c>
      <c r="Q622" s="1" t="s">
        <v>74</v>
      </c>
      <c r="R622" s="1" t="s">
        <v>74</v>
      </c>
      <c r="S622" s="1" t="s">
        <v>74</v>
      </c>
      <c r="T622" s="1" t="s">
        <v>5655</v>
      </c>
      <c r="U622" s="1" t="s">
        <v>74</v>
      </c>
      <c r="V622" s="1" t="s">
        <v>5656</v>
      </c>
      <c r="W622" s="1" t="s">
        <v>74</v>
      </c>
      <c r="X622" s="1" t="s">
        <v>74</v>
      </c>
      <c r="Y622" s="1" t="s">
        <v>74</v>
      </c>
      <c r="Z622" s="1" t="s">
        <v>74</v>
      </c>
      <c r="AA622" s="1" t="s">
        <v>74</v>
      </c>
      <c r="AB622" s="1" t="s">
        <v>74</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150</v>
      </c>
      <c r="AP622" s="1" t="s">
        <v>74</v>
      </c>
      <c r="AQ622" s="1" t="s">
        <v>74</v>
      </c>
      <c r="AR622" s="1" t="s">
        <v>74</v>
      </c>
      <c r="AS622" s="1" t="s">
        <v>74</v>
      </c>
      <c r="AT622" s="1" t="s">
        <v>74</v>
      </c>
      <c r="AU622" s="1">
        <v>2025.0</v>
      </c>
      <c r="AV622" s="1">
        <v>13.0</v>
      </c>
      <c r="AW622" s="1" t="s">
        <v>74</v>
      </c>
      <c r="AX622" s="1" t="s">
        <v>74</v>
      </c>
      <c r="AY622" s="1" t="s">
        <v>74</v>
      </c>
      <c r="AZ622" s="1" t="s">
        <v>74</v>
      </c>
      <c r="BA622" s="1" t="s">
        <v>74</v>
      </c>
      <c r="BB622" s="1">
        <v>133755.0</v>
      </c>
      <c r="BC622" s="1">
        <v>133772.0</v>
      </c>
      <c r="BD622" s="1" t="s">
        <v>74</v>
      </c>
      <c r="BE622" s="1" t="s">
        <v>5657</v>
      </c>
      <c r="BF622" s="2" t="str">
        <f>HYPERLINK("http://dx.doi.org/10.1109/ACCESS.2025.3592030","http://dx.doi.org/10.1109/ACCESS.2025.3592030")</f>
        <v>http://dx.doi.org/10.1109/ACCESS.2025.3592030</v>
      </c>
      <c r="BG622" s="1" t="s">
        <v>74</v>
      </c>
      <c r="BH622" s="1" t="s">
        <v>74</v>
      </c>
      <c r="BI622" s="1" t="s">
        <v>74</v>
      </c>
      <c r="BJ622" s="1" t="s">
        <v>74</v>
      </c>
      <c r="BK622" s="1" t="s">
        <v>74</v>
      </c>
      <c r="BL622" s="1" t="s">
        <v>152</v>
      </c>
      <c r="BM622" s="1" t="s">
        <v>74</v>
      </c>
      <c r="BN622" s="1" t="s">
        <v>74</v>
      </c>
      <c r="BO622" s="1" t="s">
        <v>153</v>
      </c>
      <c r="BP622" s="1" t="s">
        <v>74</v>
      </c>
      <c r="BQ622" s="1" t="s">
        <v>74</v>
      </c>
      <c r="BR622" s="1" t="s">
        <v>74</v>
      </c>
      <c r="BS622" s="1" t="s">
        <v>5658</v>
      </c>
      <c r="BT622" s="1" t="str">
        <f>HYPERLINK("https%3A%2F%2Fwww.webofscience.com%2Fwos%2Fwoscc%2Ffull-record%2FWOS:001542450400013","View Full Record in Web of Science")</f>
        <v>View Full Record in Web of Science</v>
      </c>
    </row>
    <row r="623" ht="12.75" customHeight="1">
      <c r="A623" s="1" t="s">
        <v>72</v>
      </c>
      <c r="B623" s="1" t="s">
        <v>5659</v>
      </c>
      <c r="C623" s="1" t="s">
        <v>74</v>
      </c>
      <c r="D623" s="1" t="s">
        <v>74</v>
      </c>
      <c r="E623" s="1" t="s">
        <v>74</v>
      </c>
      <c r="F623" s="1" t="s">
        <v>5660</v>
      </c>
      <c r="G623" s="1" t="s">
        <v>74</v>
      </c>
      <c r="H623" s="1" t="s">
        <v>74</v>
      </c>
      <c r="I623" s="1" t="s">
        <v>5661</v>
      </c>
      <c r="J623" s="1" t="s">
        <v>1230</v>
      </c>
      <c r="K623" s="1" t="s">
        <v>74</v>
      </c>
      <c r="L623" s="1" t="s">
        <v>74</v>
      </c>
      <c r="M623" s="1" t="s">
        <v>74</v>
      </c>
      <c r="N623" s="1" t="s">
        <v>78</v>
      </c>
      <c r="O623" s="1" t="s">
        <v>74</v>
      </c>
      <c r="P623" s="1" t="s">
        <v>74</v>
      </c>
      <c r="Q623" s="1" t="s">
        <v>74</v>
      </c>
      <c r="R623" s="1" t="s">
        <v>74</v>
      </c>
      <c r="S623" s="1" t="s">
        <v>74</v>
      </c>
      <c r="T623" s="1" t="s">
        <v>5662</v>
      </c>
      <c r="U623" s="1" t="s">
        <v>74</v>
      </c>
      <c r="V623" s="1" t="s">
        <v>5663</v>
      </c>
      <c r="W623" s="1" t="s">
        <v>74</v>
      </c>
      <c r="X623" s="1" t="s">
        <v>74</v>
      </c>
      <c r="Y623" s="1" t="s">
        <v>74</v>
      </c>
      <c r="Z623" s="1" t="s">
        <v>74</v>
      </c>
      <c r="AA623" s="1" t="s">
        <v>74</v>
      </c>
      <c r="AB623" s="1" t="s">
        <v>74</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1233</v>
      </c>
      <c r="AP623" s="1" t="s">
        <v>1234</v>
      </c>
      <c r="AQ623" s="1" t="s">
        <v>74</v>
      </c>
      <c r="AR623" s="1" t="s">
        <v>74</v>
      </c>
      <c r="AS623" s="1" t="s">
        <v>74</v>
      </c>
      <c r="AT623" s="1" t="s">
        <v>5664</v>
      </c>
      <c r="AU623" s="1">
        <v>2025.0</v>
      </c>
      <c r="AV623" s="1">
        <v>264.0</v>
      </c>
      <c r="AW623" s="1" t="s">
        <v>74</v>
      </c>
      <c r="AX623" s="1" t="s">
        <v>74</v>
      </c>
      <c r="AY623" s="1" t="s">
        <v>74</v>
      </c>
      <c r="AZ623" s="1" t="s">
        <v>74</v>
      </c>
      <c r="BA623" s="1" t="s">
        <v>74</v>
      </c>
      <c r="BB623" s="1" t="s">
        <v>74</v>
      </c>
      <c r="BC623" s="1" t="s">
        <v>74</v>
      </c>
      <c r="BD623" s="1">
        <v>125868.0</v>
      </c>
      <c r="BE623" s="1" t="s">
        <v>5665</v>
      </c>
      <c r="BF623" s="2" t="str">
        <f>HYPERLINK("http://dx.doi.org/10.1016/j.eswa.2024.125868","http://dx.doi.org/10.1016/j.eswa.2024.125868")</f>
        <v>http://dx.doi.org/10.1016/j.eswa.2024.125868</v>
      </c>
      <c r="BG623" s="1" t="s">
        <v>74</v>
      </c>
      <c r="BH623" s="1" t="s">
        <v>1080</v>
      </c>
      <c r="BI623" s="1" t="s">
        <v>74</v>
      </c>
      <c r="BJ623" s="1" t="s">
        <v>74</v>
      </c>
      <c r="BK623" s="1" t="s">
        <v>74</v>
      </c>
      <c r="BL623" s="1" t="s">
        <v>1237</v>
      </c>
      <c r="BM623" s="1" t="s">
        <v>74</v>
      </c>
      <c r="BN623" s="1" t="s">
        <v>74</v>
      </c>
      <c r="BO623" s="1" t="s">
        <v>114</v>
      </c>
      <c r="BP623" s="1" t="s">
        <v>74</v>
      </c>
      <c r="BQ623" s="1" t="s">
        <v>74</v>
      </c>
      <c r="BR623" s="1" t="s">
        <v>74</v>
      </c>
      <c r="BS623" s="1" t="s">
        <v>5666</v>
      </c>
      <c r="BT623" s="1" t="str">
        <f>HYPERLINK("https%3A%2F%2Fwww.webofscience.com%2Fwos%2Fwoscc%2Ffull-record%2FWOS:001375583300001","View Full Record in Web of Science")</f>
        <v>View Full Record in Web of Science</v>
      </c>
    </row>
    <row r="624" ht="12.75" customHeight="1">
      <c r="A624" s="1" t="s">
        <v>72</v>
      </c>
      <c r="B624" s="1" t="s">
        <v>5667</v>
      </c>
      <c r="C624" s="1" t="s">
        <v>74</v>
      </c>
      <c r="D624" s="1" t="s">
        <v>74</v>
      </c>
      <c r="E624" s="1" t="s">
        <v>74</v>
      </c>
      <c r="F624" s="1" t="s">
        <v>5668</v>
      </c>
      <c r="G624" s="1" t="s">
        <v>74</v>
      </c>
      <c r="H624" s="1" t="s">
        <v>74</v>
      </c>
      <c r="I624" s="1" t="s">
        <v>5669</v>
      </c>
      <c r="J624" s="1" t="s">
        <v>5670</v>
      </c>
      <c r="K624" s="1" t="s">
        <v>74</v>
      </c>
      <c r="L624" s="1" t="s">
        <v>74</v>
      </c>
      <c r="M624" s="1" t="s">
        <v>74</v>
      </c>
      <c r="N624" s="1" t="s">
        <v>78</v>
      </c>
      <c r="O624" s="1" t="s">
        <v>74</v>
      </c>
      <c r="P624" s="1" t="s">
        <v>74</v>
      </c>
      <c r="Q624" s="1" t="s">
        <v>74</v>
      </c>
      <c r="R624" s="1" t="s">
        <v>74</v>
      </c>
      <c r="S624" s="1" t="s">
        <v>74</v>
      </c>
      <c r="T624" s="1" t="s">
        <v>5671</v>
      </c>
      <c r="U624" s="1" t="s">
        <v>5672</v>
      </c>
      <c r="V624" s="1" t="s">
        <v>5673</v>
      </c>
      <c r="W624" s="1" t="s">
        <v>74</v>
      </c>
      <c r="X624" s="1" t="s">
        <v>74</v>
      </c>
      <c r="Y624" s="1" t="s">
        <v>74</v>
      </c>
      <c r="Z624" s="1" t="s">
        <v>74</v>
      </c>
      <c r="AA624" s="1" t="s">
        <v>74</v>
      </c>
      <c r="AB624" s="1" t="s">
        <v>74</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5674</v>
      </c>
      <c r="AP624" s="1" t="s">
        <v>5675</v>
      </c>
      <c r="AQ624" s="1" t="s">
        <v>74</v>
      </c>
      <c r="AR624" s="1" t="s">
        <v>74</v>
      </c>
      <c r="AS624" s="1" t="s">
        <v>74</v>
      </c>
      <c r="AT624" s="1" t="s">
        <v>464</v>
      </c>
      <c r="AU624" s="1">
        <v>2024.0</v>
      </c>
      <c r="AV624" s="1">
        <v>333.0</v>
      </c>
      <c r="AW624" s="1" t="s">
        <v>74</v>
      </c>
      <c r="AX624" s="1" t="s">
        <v>74</v>
      </c>
      <c r="AY624" s="1" t="s">
        <v>74</v>
      </c>
      <c r="AZ624" s="1" t="s">
        <v>74</v>
      </c>
      <c r="BA624" s="1" t="s">
        <v>74</v>
      </c>
      <c r="BB624" s="1" t="s">
        <v>74</v>
      </c>
      <c r="BC624" s="1" t="s">
        <v>74</v>
      </c>
      <c r="BD624" s="1">
        <v>104145.0</v>
      </c>
      <c r="BE624" s="1" t="s">
        <v>5676</v>
      </c>
      <c r="BF624" s="2" t="str">
        <f>HYPERLINK("http://dx.doi.org/10.1016/j.artint.2024.104145","http://dx.doi.org/10.1016/j.artint.2024.104145")</f>
        <v>http://dx.doi.org/10.1016/j.artint.2024.104145</v>
      </c>
      <c r="BG624" s="1" t="s">
        <v>74</v>
      </c>
      <c r="BH624" s="1" t="s">
        <v>466</v>
      </c>
      <c r="BI624" s="1" t="s">
        <v>74</v>
      </c>
      <c r="BJ624" s="1" t="s">
        <v>74</v>
      </c>
      <c r="BK624" s="1" t="s">
        <v>74</v>
      </c>
      <c r="BL624" s="1" t="s">
        <v>174</v>
      </c>
      <c r="BM624" s="1" t="s">
        <v>74</v>
      </c>
      <c r="BN624" s="1" t="s">
        <v>74</v>
      </c>
      <c r="BO624" s="1" t="s">
        <v>163</v>
      </c>
      <c r="BP624" s="1" t="s">
        <v>74</v>
      </c>
      <c r="BQ624" s="1" t="s">
        <v>74</v>
      </c>
      <c r="BR624" s="1" t="s">
        <v>74</v>
      </c>
      <c r="BS624" s="1" t="s">
        <v>5677</v>
      </c>
      <c r="BT624" s="1" t="str">
        <f>HYPERLINK("https%3A%2F%2Fwww.webofscience.com%2Fwos%2Fwoscc%2Ffull-record%2FWOS:001240939000001","View Full Record in Web of Science")</f>
        <v>View Full Record in Web of Science</v>
      </c>
    </row>
    <row r="625" ht="12.75" customHeight="1">
      <c r="A625" s="1" t="s">
        <v>72</v>
      </c>
      <c r="B625" s="1" t="s">
        <v>5678</v>
      </c>
      <c r="C625" s="1" t="s">
        <v>74</v>
      </c>
      <c r="D625" s="1" t="s">
        <v>74</v>
      </c>
      <c r="E625" s="1" t="s">
        <v>74</v>
      </c>
      <c r="F625" s="1" t="s">
        <v>5679</v>
      </c>
      <c r="G625" s="1" t="s">
        <v>74</v>
      </c>
      <c r="H625" s="1" t="s">
        <v>74</v>
      </c>
      <c r="I625" s="1" t="s">
        <v>5680</v>
      </c>
      <c r="J625" s="1" t="s">
        <v>4483</v>
      </c>
      <c r="K625" s="1" t="s">
        <v>74</v>
      </c>
      <c r="L625" s="1" t="s">
        <v>74</v>
      </c>
      <c r="M625" s="1" t="s">
        <v>74</v>
      </c>
      <c r="N625" s="1" t="s">
        <v>78</v>
      </c>
      <c r="O625" s="1" t="s">
        <v>74</v>
      </c>
      <c r="P625" s="1" t="s">
        <v>74</v>
      </c>
      <c r="Q625" s="1" t="s">
        <v>74</v>
      </c>
      <c r="R625" s="1" t="s">
        <v>74</v>
      </c>
      <c r="S625" s="1" t="s">
        <v>74</v>
      </c>
      <c r="T625" s="1" t="s">
        <v>5681</v>
      </c>
      <c r="U625" s="1" t="s">
        <v>5682</v>
      </c>
      <c r="V625" s="1" t="s">
        <v>5683</v>
      </c>
      <c r="W625" s="1" t="s">
        <v>74</v>
      </c>
      <c r="X625" s="1" t="s">
        <v>74</v>
      </c>
      <c r="Y625" s="1" t="s">
        <v>74</v>
      </c>
      <c r="Z625" s="1" t="s">
        <v>74</v>
      </c>
      <c r="AA625" s="1" t="s">
        <v>74</v>
      </c>
      <c r="AB625" s="1" t="s">
        <v>74</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4487</v>
      </c>
      <c r="AP625" s="1" t="s">
        <v>4488</v>
      </c>
      <c r="AQ625" s="1" t="s">
        <v>74</v>
      </c>
      <c r="AR625" s="1" t="s">
        <v>74</v>
      </c>
      <c r="AS625" s="1" t="s">
        <v>74</v>
      </c>
      <c r="AT625" s="1" t="s">
        <v>688</v>
      </c>
      <c r="AU625" s="1">
        <v>2025.0</v>
      </c>
      <c r="AV625" s="1">
        <v>197.0</v>
      </c>
      <c r="AW625" s="1" t="s">
        <v>74</v>
      </c>
      <c r="AX625" s="1" t="s">
        <v>74</v>
      </c>
      <c r="AY625" s="1" t="s">
        <v>74</v>
      </c>
      <c r="AZ625" s="1" t="s">
        <v>74</v>
      </c>
      <c r="BA625" s="1" t="s">
        <v>74</v>
      </c>
      <c r="BB625" s="1" t="s">
        <v>74</v>
      </c>
      <c r="BC625" s="1" t="s">
        <v>74</v>
      </c>
      <c r="BD625" s="1">
        <v>103455.0</v>
      </c>
      <c r="BE625" s="1" t="s">
        <v>5684</v>
      </c>
      <c r="BF625" s="2" t="str">
        <f>HYPERLINK("http://dx.doi.org/10.1016/j.ijhcs.2025.103455","http://dx.doi.org/10.1016/j.ijhcs.2025.103455")</f>
        <v>http://dx.doi.org/10.1016/j.ijhcs.2025.103455</v>
      </c>
      <c r="BG625" s="1" t="s">
        <v>74</v>
      </c>
      <c r="BH625" s="1" t="s">
        <v>314</v>
      </c>
      <c r="BI625" s="1" t="s">
        <v>74</v>
      </c>
      <c r="BJ625" s="1" t="s">
        <v>74</v>
      </c>
      <c r="BK625" s="1" t="s">
        <v>74</v>
      </c>
      <c r="BL625" s="1" t="s">
        <v>4490</v>
      </c>
      <c r="BM625" s="1" t="s">
        <v>74</v>
      </c>
      <c r="BN625" s="1" t="s">
        <v>74</v>
      </c>
      <c r="BO625" s="1" t="s">
        <v>114</v>
      </c>
      <c r="BP625" s="1" t="s">
        <v>74</v>
      </c>
      <c r="BQ625" s="1" t="s">
        <v>74</v>
      </c>
      <c r="BR625" s="1" t="s">
        <v>74</v>
      </c>
      <c r="BS625" s="1" t="s">
        <v>5685</v>
      </c>
      <c r="BT625" s="1" t="str">
        <f>HYPERLINK("https%3A%2F%2Fwww.webofscience.com%2Fwos%2Fwoscc%2Ffull-record%2FWOS:001426178300001","View Full Record in Web of Science")</f>
        <v>View Full Record in Web of Science</v>
      </c>
    </row>
    <row r="626" ht="12.75" customHeight="1">
      <c r="A626" s="1" t="s">
        <v>72</v>
      </c>
      <c r="B626" s="1" t="s">
        <v>5686</v>
      </c>
      <c r="C626" s="1" t="s">
        <v>74</v>
      </c>
      <c r="D626" s="1" t="s">
        <v>74</v>
      </c>
      <c r="E626" s="1" t="s">
        <v>74</v>
      </c>
      <c r="F626" s="1" t="s">
        <v>5687</v>
      </c>
      <c r="G626" s="1" t="s">
        <v>74</v>
      </c>
      <c r="H626" s="1" t="s">
        <v>74</v>
      </c>
      <c r="I626" s="1" t="s">
        <v>5688</v>
      </c>
      <c r="J626" s="1" t="s">
        <v>4230</v>
      </c>
      <c r="K626" s="1" t="s">
        <v>74</v>
      </c>
      <c r="L626" s="1" t="s">
        <v>74</v>
      </c>
      <c r="M626" s="1" t="s">
        <v>74</v>
      </c>
      <c r="N626" s="1" t="s">
        <v>282</v>
      </c>
      <c r="O626" s="1" t="s">
        <v>74</v>
      </c>
      <c r="P626" s="1" t="s">
        <v>74</v>
      </c>
      <c r="Q626" s="1" t="s">
        <v>74</v>
      </c>
      <c r="R626" s="1" t="s">
        <v>74</v>
      </c>
      <c r="S626" s="1" t="s">
        <v>74</v>
      </c>
      <c r="T626" s="1" t="s">
        <v>5689</v>
      </c>
      <c r="U626" s="1" t="s">
        <v>74</v>
      </c>
      <c r="V626" s="1" t="s">
        <v>5690</v>
      </c>
      <c r="W626" s="1" t="s">
        <v>74</v>
      </c>
      <c r="X626" s="1" t="s">
        <v>74</v>
      </c>
      <c r="Y626" s="1" t="s">
        <v>74</v>
      </c>
      <c r="Z626" s="1" t="s">
        <v>74</v>
      </c>
      <c r="AA626" s="1" t="s">
        <v>74</v>
      </c>
      <c r="AB626" s="1" t="s">
        <v>74</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4234</v>
      </c>
      <c r="AP626" s="1" t="s">
        <v>4235</v>
      </c>
      <c r="AQ626" s="1" t="s">
        <v>74</v>
      </c>
      <c r="AR626" s="1" t="s">
        <v>74</v>
      </c>
      <c r="AS626" s="1" t="s">
        <v>74</v>
      </c>
      <c r="AT626" s="1" t="s">
        <v>5691</v>
      </c>
      <c r="AU626" s="1">
        <v>2026.0</v>
      </c>
      <c r="AV626" s="1" t="s">
        <v>74</v>
      </c>
      <c r="AW626" s="1" t="s">
        <v>74</v>
      </c>
      <c r="AX626" s="1" t="s">
        <v>74</v>
      </c>
      <c r="AY626" s="1" t="s">
        <v>74</v>
      </c>
      <c r="AZ626" s="1" t="s">
        <v>74</v>
      </c>
      <c r="BA626" s="1" t="s">
        <v>74</v>
      </c>
      <c r="BB626" s="1" t="s">
        <v>74</v>
      </c>
      <c r="BC626" s="1" t="s">
        <v>74</v>
      </c>
      <c r="BD626" s="1" t="s">
        <v>74</v>
      </c>
      <c r="BE626" s="1" t="s">
        <v>5692</v>
      </c>
      <c r="BF626" s="2" t="str">
        <f>HYPERLINK("http://dx.doi.org/10.1007/s00146-025-02809-6","http://dx.doi.org/10.1007/s00146-025-02809-6")</f>
        <v>http://dx.doi.org/10.1007/s00146-025-02809-6</v>
      </c>
      <c r="BG626" s="1" t="s">
        <v>74</v>
      </c>
      <c r="BH626" s="1" t="s">
        <v>290</v>
      </c>
      <c r="BI626" s="1" t="s">
        <v>74</v>
      </c>
      <c r="BJ626" s="1" t="s">
        <v>74</v>
      </c>
      <c r="BK626" s="1" t="s">
        <v>74</v>
      </c>
      <c r="BL626" s="1" t="s">
        <v>174</v>
      </c>
      <c r="BM626" s="1" t="s">
        <v>74</v>
      </c>
      <c r="BN626" s="1" t="s">
        <v>74</v>
      </c>
      <c r="BO626" s="1" t="s">
        <v>74</v>
      </c>
      <c r="BP626" s="1" t="s">
        <v>74</v>
      </c>
      <c r="BQ626" s="1" t="s">
        <v>74</v>
      </c>
      <c r="BR626" s="1" t="s">
        <v>74</v>
      </c>
      <c r="BS626" s="1" t="s">
        <v>5693</v>
      </c>
      <c r="BT626" s="1" t="str">
        <f>HYPERLINK("https%3A%2F%2Fwww.webofscience.com%2Fwos%2Fwoscc%2Ffull-record%2FWOS:001652721100001","View Full Record in Web of Science")</f>
        <v>View Full Record in Web of Science</v>
      </c>
    </row>
    <row r="627" ht="12.75" customHeight="1">
      <c r="A627" s="1" t="s">
        <v>72</v>
      </c>
      <c r="B627" s="1" t="s">
        <v>5694</v>
      </c>
      <c r="C627" s="1" t="s">
        <v>74</v>
      </c>
      <c r="D627" s="1" t="s">
        <v>74</v>
      </c>
      <c r="E627" s="1" t="s">
        <v>74</v>
      </c>
      <c r="F627" s="1" t="s">
        <v>5695</v>
      </c>
      <c r="G627" s="1" t="s">
        <v>74</v>
      </c>
      <c r="H627" s="1" t="s">
        <v>74</v>
      </c>
      <c r="I627" s="1" t="s">
        <v>5696</v>
      </c>
      <c r="J627" s="1" t="s">
        <v>881</v>
      </c>
      <c r="K627" s="1" t="s">
        <v>74</v>
      </c>
      <c r="L627" s="1" t="s">
        <v>74</v>
      </c>
      <c r="M627" s="1" t="s">
        <v>74</v>
      </c>
      <c r="N627" s="1" t="s">
        <v>78</v>
      </c>
      <c r="O627" s="1" t="s">
        <v>74</v>
      </c>
      <c r="P627" s="1" t="s">
        <v>74</v>
      </c>
      <c r="Q627" s="1" t="s">
        <v>74</v>
      </c>
      <c r="R627" s="1" t="s">
        <v>74</v>
      </c>
      <c r="S627" s="1" t="s">
        <v>74</v>
      </c>
      <c r="T627" s="1" t="s">
        <v>5697</v>
      </c>
      <c r="U627" s="1" t="s">
        <v>74</v>
      </c>
      <c r="V627" s="1" t="s">
        <v>5698</v>
      </c>
      <c r="W627" s="1" t="s">
        <v>74</v>
      </c>
      <c r="X627" s="1" t="s">
        <v>74</v>
      </c>
      <c r="Y627" s="1" t="s">
        <v>74</v>
      </c>
      <c r="Z627" s="1" t="s">
        <v>74</v>
      </c>
      <c r="AA627" s="1" t="s">
        <v>74</v>
      </c>
      <c r="AB627" s="1" t="s">
        <v>74</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74</v>
      </c>
      <c r="AP627" s="1" t="s">
        <v>884</v>
      </c>
      <c r="AQ627" s="1" t="s">
        <v>74</v>
      </c>
      <c r="AR627" s="1" t="s">
        <v>74</v>
      </c>
      <c r="AS627" s="1" t="s">
        <v>74</v>
      </c>
      <c r="AT627" s="1" t="s">
        <v>225</v>
      </c>
      <c r="AU627" s="1">
        <v>2024.0</v>
      </c>
      <c r="AV627" s="1">
        <v>15.0</v>
      </c>
      <c r="AW627" s="1">
        <v>7.0</v>
      </c>
      <c r="AX627" s="1" t="s">
        <v>74</v>
      </c>
      <c r="AY627" s="1" t="s">
        <v>74</v>
      </c>
      <c r="AZ627" s="1" t="s">
        <v>74</v>
      </c>
      <c r="BA627" s="1" t="s">
        <v>74</v>
      </c>
      <c r="BB627" s="1" t="s">
        <v>74</v>
      </c>
      <c r="BC627" s="1" t="s">
        <v>74</v>
      </c>
      <c r="BD627" s="1">
        <v>381.0</v>
      </c>
      <c r="BE627" s="1" t="s">
        <v>5699</v>
      </c>
      <c r="BF627" s="2" t="str">
        <f>HYPERLINK("http://dx.doi.org/10.3390/info15070381","http://dx.doi.org/10.3390/info15070381")</f>
        <v>http://dx.doi.org/10.3390/info15070381</v>
      </c>
      <c r="BG627" s="1" t="s">
        <v>74</v>
      </c>
      <c r="BH627" s="1" t="s">
        <v>74</v>
      </c>
      <c r="BI627" s="1" t="s">
        <v>74</v>
      </c>
      <c r="BJ627" s="1" t="s">
        <v>74</v>
      </c>
      <c r="BK627" s="1" t="s">
        <v>74</v>
      </c>
      <c r="BL627" s="1" t="s">
        <v>174</v>
      </c>
      <c r="BM627" s="1" t="s">
        <v>74</v>
      </c>
      <c r="BN627" s="1" t="s">
        <v>74</v>
      </c>
      <c r="BO627" s="1" t="s">
        <v>153</v>
      </c>
      <c r="BP627" s="1" t="s">
        <v>74</v>
      </c>
      <c r="BQ627" s="1" t="s">
        <v>74</v>
      </c>
      <c r="BR627" s="1" t="s">
        <v>74</v>
      </c>
      <c r="BS627" s="1" t="s">
        <v>5700</v>
      </c>
      <c r="BT627" s="1" t="str">
        <f>HYPERLINK("https%3A%2F%2Fwww.webofscience.com%2Fwos%2Fwoscc%2Ffull-record%2FWOS:001277732800001","View Full Record in Web of Science")</f>
        <v>View Full Record in Web of Science</v>
      </c>
    </row>
    <row r="628" ht="12.75" customHeight="1">
      <c r="A628" s="1" t="s">
        <v>72</v>
      </c>
      <c r="B628" s="1" t="s">
        <v>5701</v>
      </c>
      <c r="C628" s="1" t="s">
        <v>74</v>
      </c>
      <c r="D628" s="1" t="s">
        <v>74</v>
      </c>
      <c r="E628" s="1" t="s">
        <v>74</v>
      </c>
      <c r="F628" s="1" t="s">
        <v>5702</v>
      </c>
      <c r="G628" s="1" t="s">
        <v>74</v>
      </c>
      <c r="H628" s="1" t="s">
        <v>74</v>
      </c>
      <c r="I628" s="1" t="s">
        <v>5703</v>
      </c>
      <c r="J628" s="1" t="s">
        <v>675</v>
      </c>
      <c r="K628" s="1" t="s">
        <v>74</v>
      </c>
      <c r="L628" s="1" t="s">
        <v>74</v>
      </c>
      <c r="M628" s="1" t="s">
        <v>74</v>
      </c>
      <c r="N628" s="1" t="s">
        <v>78</v>
      </c>
      <c r="O628" s="1" t="s">
        <v>74</v>
      </c>
      <c r="P628" s="1" t="s">
        <v>74</v>
      </c>
      <c r="Q628" s="1" t="s">
        <v>74</v>
      </c>
      <c r="R628" s="1" t="s">
        <v>74</v>
      </c>
      <c r="S628" s="1" t="s">
        <v>74</v>
      </c>
      <c r="T628" s="1" t="s">
        <v>5704</v>
      </c>
      <c r="U628" s="1" t="s">
        <v>74</v>
      </c>
      <c r="V628" s="1" t="s">
        <v>5705</v>
      </c>
      <c r="W628" s="1" t="s">
        <v>74</v>
      </c>
      <c r="X628" s="1" t="s">
        <v>74</v>
      </c>
      <c r="Y628" s="1" t="s">
        <v>74</v>
      </c>
      <c r="Z628" s="1" t="s">
        <v>74</v>
      </c>
      <c r="AA628" s="1" t="s">
        <v>74</v>
      </c>
      <c r="AB628" s="1" t="s">
        <v>74</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74</v>
      </c>
      <c r="AP628" s="1" t="s">
        <v>679</v>
      </c>
      <c r="AQ628" s="1" t="s">
        <v>74</v>
      </c>
      <c r="AR628" s="1" t="s">
        <v>74</v>
      </c>
      <c r="AS628" s="1" t="s">
        <v>74</v>
      </c>
      <c r="AT628" s="1" t="s">
        <v>435</v>
      </c>
      <c r="AU628" s="1">
        <v>2025.0</v>
      </c>
      <c r="AV628" s="1">
        <v>8.0</v>
      </c>
      <c r="AW628" s="1" t="s">
        <v>74</v>
      </c>
      <c r="AX628" s="1" t="s">
        <v>74</v>
      </c>
      <c r="AY628" s="1" t="s">
        <v>74</v>
      </c>
      <c r="AZ628" s="1" t="s">
        <v>74</v>
      </c>
      <c r="BA628" s="1" t="s">
        <v>74</v>
      </c>
      <c r="BB628" s="1" t="s">
        <v>74</v>
      </c>
      <c r="BC628" s="1" t="s">
        <v>74</v>
      </c>
      <c r="BD628" s="1">
        <v>1592399.0</v>
      </c>
      <c r="BE628" s="1" t="s">
        <v>5706</v>
      </c>
      <c r="BF628" s="2" t="str">
        <f>HYPERLINK("http://dx.doi.org/10.3389/frai.2025.1592399","http://dx.doi.org/10.3389/frai.2025.1592399")</f>
        <v>http://dx.doi.org/10.3389/frai.2025.1592399</v>
      </c>
      <c r="BG628" s="1" t="s">
        <v>74</v>
      </c>
      <c r="BH628" s="1" t="s">
        <v>74</v>
      </c>
      <c r="BI628" s="1" t="s">
        <v>74</v>
      </c>
      <c r="BJ628" s="1" t="s">
        <v>74</v>
      </c>
      <c r="BK628" s="1" t="s">
        <v>74</v>
      </c>
      <c r="BL628" s="1" t="s">
        <v>174</v>
      </c>
      <c r="BM628" s="1" t="s">
        <v>74</v>
      </c>
      <c r="BN628" s="1" t="s">
        <v>74</v>
      </c>
      <c r="BO628" s="1" t="s">
        <v>153</v>
      </c>
      <c r="BP628" s="1" t="s">
        <v>74</v>
      </c>
      <c r="BQ628" s="1" t="s">
        <v>74</v>
      </c>
      <c r="BR628" s="1" t="s">
        <v>74</v>
      </c>
      <c r="BS628" s="1" t="s">
        <v>5707</v>
      </c>
      <c r="BT628" s="1" t="str">
        <f>HYPERLINK("https%3A%2F%2Fwww.webofscience.com%2Fwos%2Fwoscc%2Ffull-record%2FWOS:001505176900001","View Full Record in Web of Science")</f>
        <v>View Full Record in Web of Science</v>
      </c>
    </row>
    <row r="629" ht="12.75" customHeight="1">
      <c r="A629" s="1" t="s">
        <v>72</v>
      </c>
      <c r="B629" s="1" t="s">
        <v>5708</v>
      </c>
      <c r="C629" s="1" t="s">
        <v>74</v>
      </c>
      <c r="D629" s="1" t="s">
        <v>74</v>
      </c>
      <c r="E629" s="1" t="s">
        <v>74</v>
      </c>
      <c r="F629" s="1" t="s">
        <v>5709</v>
      </c>
      <c r="G629" s="1" t="s">
        <v>74</v>
      </c>
      <c r="H629" s="1" t="s">
        <v>74</v>
      </c>
      <c r="I629" s="1" t="s">
        <v>5710</v>
      </c>
      <c r="J629" s="1" t="s">
        <v>5711</v>
      </c>
      <c r="K629" s="1" t="s">
        <v>74</v>
      </c>
      <c r="L629" s="1" t="s">
        <v>74</v>
      </c>
      <c r="M629" s="1" t="s">
        <v>74</v>
      </c>
      <c r="N629" s="1" t="s">
        <v>78</v>
      </c>
      <c r="O629" s="1" t="s">
        <v>74</v>
      </c>
      <c r="P629" s="1" t="s">
        <v>74</v>
      </c>
      <c r="Q629" s="1" t="s">
        <v>74</v>
      </c>
      <c r="R629" s="1" t="s">
        <v>74</v>
      </c>
      <c r="S629" s="1" t="s">
        <v>74</v>
      </c>
      <c r="T629" s="1" t="s">
        <v>5712</v>
      </c>
      <c r="U629" s="1" t="s">
        <v>5713</v>
      </c>
      <c r="V629" s="1" t="s">
        <v>5714</v>
      </c>
      <c r="W629" s="1" t="s">
        <v>74</v>
      </c>
      <c r="X629" s="1" t="s">
        <v>74</v>
      </c>
      <c r="Y629" s="1" t="s">
        <v>74</v>
      </c>
      <c r="Z629" s="1" t="s">
        <v>74</v>
      </c>
      <c r="AA629" s="1" t="s">
        <v>74</v>
      </c>
      <c r="AB629" s="1" t="s">
        <v>74</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5715</v>
      </c>
      <c r="AP629" s="1" t="s">
        <v>74</v>
      </c>
      <c r="AQ629" s="1" t="s">
        <v>74</v>
      </c>
      <c r="AR629" s="1" t="s">
        <v>74</v>
      </c>
      <c r="AS629" s="1" t="s">
        <v>74</v>
      </c>
      <c r="AT629" s="1" t="s">
        <v>2833</v>
      </c>
      <c r="AU629" s="1">
        <v>2024.0</v>
      </c>
      <c r="AV629" s="1">
        <v>10.0</v>
      </c>
      <c r="AW629" s="1">
        <v>1.0</v>
      </c>
      <c r="AX629" s="1" t="s">
        <v>74</v>
      </c>
      <c r="AY629" s="1" t="s">
        <v>74</v>
      </c>
      <c r="AZ629" s="1" t="s">
        <v>74</v>
      </c>
      <c r="BA629" s="1" t="s">
        <v>74</v>
      </c>
      <c r="BB629" s="1" t="s">
        <v>74</v>
      </c>
      <c r="BC629" s="1" t="s">
        <v>74</v>
      </c>
      <c r="BD629" s="1">
        <v>2410998.0</v>
      </c>
      <c r="BE629" s="1" t="s">
        <v>5716</v>
      </c>
      <c r="BF629" s="2" t="str">
        <f>HYPERLINK("http://dx.doi.org/10.1080/23311886.2024.2410998","http://dx.doi.org/10.1080/23311886.2024.2410998")</f>
        <v>http://dx.doi.org/10.1080/23311886.2024.2410998</v>
      </c>
      <c r="BG629" s="1" t="s">
        <v>74</v>
      </c>
      <c r="BH629" s="1" t="s">
        <v>74</v>
      </c>
      <c r="BI629" s="1" t="s">
        <v>74</v>
      </c>
      <c r="BJ629" s="1" t="s">
        <v>74</v>
      </c>
      <c r="BK629" s="1" t="s">
        <v>74</v>
      </c>
      <c r="BL629" s="1" t="s">
        <v>615</v>
      </c>
      <c r="BM629" s="1" t="s">
        <v>74</v>
      </c>
      <c r="BN629" s="1" t="s">
        <v>74</v>
      </c>
      <c r="BO629" s="1" t="s">
        <v>163</v>
      </c>
      <c r="BP629" s="1" t="s">
        <v>74</v>
      </c>
      <c r="BQ629" s="1" t="s">
        <v>74</v>
      </c>
      <c r="BR629" s="1" t="s">
        <v>74</v>
      </c>
      <c r="BS629" s="1" t="s">
        <v>5717</v>
      </c>
      <c r="BT629" s="1" t="str">
        <f>HYPERLINK("https%3A%2F%2Fwww.webofscience.com%2Fwos%2Fwoscc%2Ffull-record%2FWOS:001336832600001","View Full Record in Web of Science")</f>
        <v>View Full Record in Web of Science</v>
      </c>
    </row>
    <row r="630" ht="12.75" customHeight="1">
      <c r="A630" s="1" t="s">
        <v>72</v>
      </c>
      <c r="B630" s="1" t="s">
        <v>5718</v>
      </c>
      <c r="C630" s="1" t="s">
        <v>74</v>
      </c>
      <c r="D630" s="1" t="s">
        <v>74</v>
      </c>
      <c r="E630" s="1" t="s">
        <v>74</v>
      </c>
      <c r="F630" s="1" t="s">
        <v>5719</v>
      </c>
      <c r="G630" s="1" t="s">
        <v>74</v>
      </c>
      <c r="H630" s="1" t="s">
        <v>74</v>
      </c>
      <c r="I630" s="1" t="s">
        <v>5720</v>
      </c>
      <c r="J630" s="1" t="s">
        <v>1230</v>
      </c>
      <c r="K630" s="1" t="s">
        <v>74</v>
      </c>
      <c r="L630" s="1" t="s">
        <v>74</v>
      </c>
      <c r="M630" s="1" t="s">
        <v>74</v>
      </c>
      <c r="N630" s="1" t="s">
        <v>78</v>
      </c>
      <c r="O630" s="1" t="s">
        <v>74</v>
      </c>
      <c r="P630" s="1" t="s">
        <v>74</v>
      </c>
      <c r="Q630" s="1" t="s">
        <v>74</v>
      </c>
      <c r="R630" s="1" t="s">
        <v>74</v>
      </c>
      <c r="S630" s="1" t="s">
        <v>74</v>
      </c>
      <c r="T630" s="1" t="s">
        <v>5721</v>
      </c>
      <c r="U630" s="1" t="s">
        <v>3989</v>
      </c>
      <c r="V630" s="1" t="s">
        <v>5722</v>
      </c>
      <c r="W630" s="1" t="s">
        <v>74</v>
      </c>
      <c r="X630" s="1" t="s">
        <v>74</v>
      </c>
      <c r="Y630" s="1" t="s">
        <v>74</v>
      </c>
      <c r="Z630" s="1" t="s">
        <v>74</v>
      </c>
      <c r="AA630" s="1" t="s">
        <v>74</v>
      </c>
      <c r="AB630" s="1" t="s">
        <v>74</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1233</v>
      </c>
      <c r="AP630" s="1" t="s">
        <v>1234</v>
      </c>
      <c r="AQ630" s="1" t="s">
        <v>74</v>
      </c>
      <c r="AR630" s="1" t="s">
        <v>74</v>
      </c>
      <c r="AS630" s="1" t="s">
        <v>74</v>
      </c>
      <c r="AT630" s="1" t="s">
        <v>1873</v>
      </c>
      <c r="AU630" s="1">
        <v>2025.0</v>
      </c>
      <c r="AV630" s="1">
        <v>279.0</v>
      </c>
      <c r="AW630" s="1" t="s">
        <v>74</v>
      </c>
      <c r="AX630" s="1" t="s">
        <v>74</v>
      </c>
      <c r="AY630" s="1" t="s">
        <v>74</v>
      </c>
      <c r="AZ630" s="1" t="s">
        <v>74</v>
      </c>
      <c r="BA630" s="1" t="s">
        <v>74</v>
      </c>
      <c r="BB630" s="1" t="s">
        <v>74</v>
      </c>
      <c r="BC630" s="1" t="s">
        <v>74</v>
      </c>
      <c r="BD630" s="1">
        <v>127191.0</v>
      </c>
      <c r="BE630" s="1" t="s">
        <v>5723</v>
      </c>
      <c r="BF630" s="2" t="str">
        <f>HYPERLINK("http://dx.doi.org/10.1016/j.eswa.2025.127191","http://dx.doi.org/10.1016/j.eswa.2025.127191")</f>
        <v>http://dx.doi.org/10.1016/j.eswa.2025.127191</v>
      </c>
      <c r="BG630" s="1" t="s">
        <v>74</v>
      </c>
      <c r="BH630" s="1" t="s">
        <v>526</v>
      </c>
      <c r="BI630" s="1" t="s">
        <v>74</v>
      </c>
      <c r="BJ630" s="1" t="s">
        <v>74</v>
      </c>
      <c r="BK630" s="1" t="s">
        <v>74</v>
      </c>
      <c r="BL630" s="1" t="s">
        <v>1237</v>
      </c>
      <c r="BM630" s="1" t="s">
        <v>74</v>
      </c>
      <c r="BN630" s="1" t="s">
        <v>74</v>
      </c>
      <c r="BO630" s="1" t="s">
        <v>576</v>
      </c>
      <c r="BP630" s="1" t="s">
        <v>74</v>
      </c>
      <c r="BQ630" s="1" t="s">
        <v>74</v>
      </c>
      <c r="BR630" s="1" t="s">
        <v>74</v>
      </c>
      <c r="BS630" s="1" t="s">
        <v>5724</v>
      </c>
      <c r="BT630" s="1" t="str">
        <f>HYPERLINK("https%3A%2F%2Fwww.webofscience.com%2Fwos%2Fwoscc%2Ffull-record%2FWOS:001465047300001","View Full Record in Web of Science")</f>
        <v>View Full Record in Web of Science</v>
      </c>
    </row>
    <row r="631" ht="12.75" customHeight="1">
      <c r="A631" s="1" t="s">
        <v>72</v>
      </c>
      <c r="B631" s="1" t="s">
        <v>5725</v>
      </c>
      <c r="C631" s="1" t="s">
        <v>74</v>
      </c>
      <c r="D631" s="1" t="s">
        <v>74</v>
      </c>
      <c r="E631" s="1" t="s">
        <v>74</v>
      </c>
      <c r="F631" s="1" t="s">
        <v>5726</v>
      </c>
      <c r="G631" s="1" t="s">
        <v>74</v>
      </c>
      <c r="H631" s="1" t="s">
        <v>74</v>
      </c>
      <c r="I631" s="1" t="s">
        <v>5727</v>
      </c>
      <c r="J631" s="1" t="s">
        <v>239</v>
      </c>
      <c r="K631" s="1" t="s">
        <v>74</v>
      </c>
      <c r="L631" s="1" t="s">
        <v>74</v>
      </c>
      <c r="M631" s="1" t="s">
        <v>74</v>
      </c>
      <c r="N631" s="1" t="s">
        <v>78</v>
      </c>
      <c r="O631" s="1" t="s">
        <v>74</v>
      </c>
      <c r="P631" s="1" t="s">
        <v>74</v>
      </c>
      <c r="Q631" s="1" t="s">
        <v>74</v>
      </c>
      <c r="R631" s="1" t="s">
        <v>74</v>
      </c>
      <c r="S631" s="1" t="s">
        <v>74</v>
      </c>
      <c r="T631" s="1" t="s">
        <v>5728</v>
      </c>
      <c r="U631" s="1" t="s">
        <v>5729</v>
      </c>
      <c r="V631" s="1" t="s">
        <v>5730</v>
      </c>
      <c r="W631" s="1" t="s">
        <v>74</v>
      </c>
      <c r="X631" s="1" t="s">
        <v>74</v>
      </c>
      <c r="Y631" s="1" t="s">
        <v>74</v>
      </c>
      <c r="Z631" s="1" t="s">
        <v>74</v>
      </c>
      <c r="AA631" s="1" t="s">
        <v>74</v>
      </c>
      <c r="AB631" s="1" t="s">
        <v>74</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242</v>
      </c>
      <c r="AP631" s="1" t="s">
        <v>74</v>
      </c>
      <c r="AQ631" s="1" t="s">
        <v>74</v>
      </c>
      <c r="AR631" s="1" t="s">
        <v>74</v>
      </c>
      <c r="AS631" s="1" t="s">
        <v>74</v>
      </c>
      <c r="AT631" s="1" t="s">
        <v>688</v>
      </c>
      <c r="AU631" s="1">
        <v>2025.0</v>
      </c>
      <c r="AV631" s="1">
        <v>14.0</v>
      </c>
      <c r="AW631" s="1">
        <v>5.0</v>
      </c>
      <c r="AX631" s="1" t="s">
        <v>74</v>
      </c>
      <c r="AY631" s="1" t="s">
        <v>74</v>
      </c>
      <c r="AZ631" s="1" t="s">
        <v>74</v>
      </c>
      <c r="BA631" s="1" t="s">
        <v>74</v>
      </c>
      <c r="BB631" s="1" t="s">
        <v>74</v>
      </c>
      <c r="BC631" s="1" t="s">
        <v>74</v>
      </c>
      <c r="BD631" s="1">
        <v>1020.0</v>
      </c>
      <c r="BE631" s="1" t="s">
        <v>5731</v>
      </c>
      <c r="BF631" s="2" t="str">
        <f>HYPERLINK("http://dx.doi.org/10.3390/electronics14051020","http://dx.doi.org/10.3390/electronics14051020")</f>
        <v>http://dx.doi.org/10.3390/electronics14051020</v>
      </c>
      <c r="BG631" s="1" t="s">
        <v>74</v>
      </c>
      <c r="BH631" s="1" t="s">
        <v>74</v>
      </c>
      <c r="BI631" s="1" t="s">
        <v>74</v>
      </c>
      <c r="BJ631" s="1" t="s">
        <v>74</v>
      </c>
      <c r="BK631" s="1" t="s">
        <v>74</v>
      </c>
      <c r="BL631" s="1" t="s">
        <v>244</v>
      </c>
      <c r="BM631" s="1" t="s">
        <v>74</v>
      </c>
      <c r="BN631" s="1" t="s">
        <v>74</v>
      </c>
      <c r="BO631" s="1" t="s">
        <v>163</v>
      </c>
      <c r="BP631" s="1" t="s">
        <v>74</v>
      </c>
      <c r="BQ631" s="1" t="s">
        <v>74</v>
      </c>
      <c r="BR631" s="1" t="s">
        <v>74</v>
      </c>
      <c r="BS631" s="1" t="s">
        <v>5732</v>
      </c>
      <c r="BT631" s="1" t="str">
        <f>HYPERLINK("https%3A%2F%2Fwww.webofscience.com%2Fwos%2Fwoscc%2Ffull-record%2FWOS:001443491400001","View Full Record in Web of Science")</f>
        <v>View Full Record in Web of Science</v>
      </c>
    </row>
    <row r="632" ht="12.75" customHeight="1">
      <c r="A632" s="1" t="s">
        <v>72</v>
      </c>
      <c r="B632" s="1" t="s">
        <v>5733</v>
      </c>
      <c r="C632" s="1" t="s">
        <v>74</v>
      </c>
      <c r="D632" s="1" t="s">
        <v>74</v>
      </c>
      <c r="E632" s="1" t="s">
        <v>74</v>
      </c>
      <c r="F632" s="1" t="s">
        <v>5734</v>
      </c>
      <c r="G632" s="1" t="s">
        <v>74</v>
      </c>
      <c r="H632" s="1" t="s">
        <v>74</v>
      </c>
      <c r="I632" s="1" t="s">
        <v>5735</v>
      </c>
      <c r="J632" s="1" t="s">
        <v>916</v>
      </c>
      <c r="K632" s="1" t="s">
        <v>74</v>
      </c>
      <c r="L632" s="1" t="s">
        <v>74</v>
      </c>
      <c r="M632" s="1" t="s">
        <v>74</v>
      </c>
      <c r="N632" s="1" t="s">
        <v>158</v>
      </c>
      <c r="O632" s="1" t="s">
        <v>74</v>
      </c>
      <c r="P632" s="1" t="s">
        <v>74</v>
      </c>
      <c r="Q632" s="1" t="s">
        <v>74</v>
      </c>
      <c r="R632" s="1" t="s">
        <v>74</v>
      </c>
      <c r="S632" s="1" t="s">
        <v>74</v>
      </c>
      <c r="T632" s="1" t="s">
        <v>5736</v>
      </c>
      <c r="U632" s="1" t="s">
        <v>74</v>
      </c>
      <c r="V632" s="1" t="s">
        <v>5737</v>
      </c>
      <c r="W632" s="1" t="s">
        <v>74</v>
      </c>
      <c r="X632" s="1" t="s">
        <v>74</v>
      </c>
      <c r="Y632" s="1" t="s">
        <v>74</v>
      </c>
      <c r="Z632" s="1" t="s">
        <v>74</v>
      </c>
      <c r="AA632" s="1" t="s">
        <v>74</v>
      </c>
      <c r="AB632" s="1" t="s">
        <v>74</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919</v>
      </c>
      <c r="AP632" s="1" t="s">
        <v>920</v>
      </c>
      <c r="AQ632" s="1" t="s">
        <v>74</v>
      </c>
      <c r="AR632" s="1" t="s">
        <v>74</v>
      </c>
      <c r="AS632" s="1" t="s">
        <v>74</v>
      </c>
      <c r="AT632" s="1" t="s">
        <v>172</v>
      </c>
      <c r="AU632" s="1">
        <v>2025.0</v>
      </c>
      <c r="AV632" s="1">
        <v>719.0</v>
      </c>
      <c r="AW632" s="1" t="s">
        <v>74</v>
      </c>
      <c r="AX632" s="1" t="s">
        <v>74</v>
      </c>
      <c r="AY632" s="1" t="s">
        <v>74</v>
      </c>
      <c r="AZ632" s="1" t="s">
        <v>74</v>
      </c>
      <c r="BA632" s="1" t="s">
        <v>74</v>
      </c>
      <c r="BB632" s="1" t="s">
        <v>74</v>
      </c>
      <c r="BC632" s="1" t="s">
        <v>74</v>
      </c>
      <c r="BD632" s="1">
        <v>122428.0</v>
      </c>
      <c r="BE632" s="1" t="s">
        <v>5738</v>
      </c>
      <c r="BF632" s="2" t="str">
        <f>HYPERLINK("http://dx.doi.org/10.1016/j.ins.2025.122428","http://dx.doi.org/10.1016/j.ins.2025.122428")</f>
        <v>http://dx.doi.org/10.1016/j.ins.2025.122428</v>
      </c>
      <c r="BG632" s="1" t="s">
        <v>74</v>
      </c>
      <c r="BH632" s="1" t="s">
        <v>112</v>
      </c>
      <c r="BI632" s="1" t="s">
        <v>74</v>
      </c>
      <c r="BJ632" s="1" t="s">
        <v>74</v>
      </c>
      <c r="BK632" s="1" t="s">
        <v>74</v>
      </c>
      <c r="BL632" s="1" t="s">
        <v>174</v>
      </c>
      <c r="BM632" s="1" t="s">
        <v>74</v>
      </c>
      <c r="BN632" s="1" t="s">
        <v>74</v>
      </c>
      <c r="BO632" s="1" t="s">
        <v>74</v>
      </c>
      <c r="BP632" s="1" t="s">
        <v>74</v>
      </c>
      <c r="BQ632" s="1" t="s">
        <v>74</v>
      </c>
      <c r="BR632" s="1" t="s">
        <v>74</v>
      </c>
      <c r="BS632" s="1" t="s">
        <v>5739</v>
      </c>
      <c r="BT632" s="1" t="str">
        <f>HYPERLINK("https%3A%2F%2Fwww.webofscience.com%2Fwos%2Fwoscc%2Ffull-record%2FWOS:001516170500001","View Full Record in Web of Science")</f>
        <v>View Full Record in Web of Science</v>
      </c>
    </row>
    <row r="633" ht="12.75" customHeight="1">
      <c r="A633" s="1" t="s">
        <v>72</v>
      </c>
      <c r="B633" s="1" t="s">
        <v>5740</v>
      </c>
      <c r="C633" s="1" t="s">
        <v>74</v>
      </c>
      <c r="D633" s="1" t="s">
        <v>74</v>
      </c>
      <c r="E633" s="1" t="s">
        <v>74</v>
      </c>
      <c r="F633" s="1" t="s">
        <v>5741</v>
      </c>
      <c r="G633" s="1" t="s">
        <v>74</v>
      </c>
      <c r="H633" s="1" t="s">
        <v>74</v>
      </c>
      <c r="I633" s="1" t="s">
        <v>5742</v>
      </c>
      <c r="J633" s="1" t="s">
        <v>3125</v>
      </c>
      <c r="K633" s="1" t="s">
        <v>74</v>
      </c>
      <c r="L633" s="1" t="s">
        <v>74</v>
      </c>
      <c r="M633" s="1" t="s">
        <v>74</v>
      </c>
      <c r="N633" s="1" t="s">
        <v>78</v>
      </c>
      <c r="O633" s="1" t="s">
        <v>74</v>
      </c>
      <c r="P633" s="1" t="s">
        <v>74</v>
      </c>
      <c r="Q633" s="1" t="s">
        <v>74</v>
      </c>
      <c r="R633" s="1" t="s">
        <v>74</v>
      </c>
      <c r="S633" s="1" t="s">
        <v>74</v>
      </c>
      <c r="T633" s="1" t="s">
        <v>5743</v>
      </c>
      <c r="U633" s="1" t="s">
        <v>74</v>
      </c>
      <c r="V633" s="1" t="s">
        <v>5744</v>
      </c>
      <c r="W633" s="1" t="s">
        <v>74</v>
      </c>
      <c r="X633" s="1" t="s">
        <v>74</v>
      </c>
      <c r="Y633" s="1" t="s">
        <v>74</v>
      </c>
      <c r="Z633" s="1" t="s">
        <v>74</v>
      </c>
      <c r="AA633" s="1" t="s">
        <v>74</v>
      </c>
      <c r="AB633" s="1" t="s">
        <v>74</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3129</v>
      </c>
      <c r="AP633" s="1" t="s">
        <v>3130</v>
      </c>
      <c r="AQ633" s="1" t="s">
        <v>74</v>
      </c>
      <c r="AR633" s="1" t="s">
        <v>74</v>
      </c>
      <c r="AS633" s="1" t="s">
        <v>74</v>
      </c>
      <c r="AT633" s="1" t="s">
        <v>464</v>
      </c>
      <c r="AU633" s="1">
        <v>2025.0</v>
      </c>
      <c r="AV633" s="1">
        <v>41.0</v>
      </c>
      <c r="AW633" s="1">
        <v>10.0</v>
      </c>
      <c r="AX633" s="1" t="s">
        <v>74</v>
      </c>
      <c r="AY633" s="1" t="s">
        <v>74</v>
      </c>
      <c r="AZ633" s="1" t="s">
        <v>74</v>
      </c>
      <c r="BA633" s="1" t="s">
        <v>74</v>
      </c>
      <c r="BB633" s="1">
        <v>7657.0</v>
      </c>
      <c r="BC633" s="1">
        <v>7670.0</v>
      </c>
      <c r="BD633" s="1" t="s">
        <v>74</v>
      </c>
      <c r="BE633" s="1" t="s">
        <v>5745</v>
      </c>
      <c r="BF633" s="2" t="str">
        <f>HYPERLINK("http://dx.doi.org/10.1007/s00371-025-03829-5","http://dx.doi.org/10.1007/s00371-025-03829-5")</f>
        <v>http://dx.doi.org/10.1007/s00371-025-03829-5</v>
      </c>
      <c r="BG633" s="1" t="s">
        <v>74</v>
      </c>
      <c r="BH633" s="1" t="s">
        <v>347</v>
      </c>
      <c r="BI633" s="1" t="s">
        <v>74</v>
      </c>
      <c r="BJ633" s="1" t="s">
        <v>74</v>
      </c>
      <c r="BK633" s="1" t="s">
        <v>74</v>
      </c>
      <c r="BL633" s="1" t="s">
        <v>174</v>
      </c>
      <c r="BM633" s="1" t="s">
        <v>74</v>
      </c>
      <c r="BN633" s="1" t="s">
        <v>74</v>
      </c>
      <c r="BO633" s="1" t="s">
        <v>74</v>
      </c>
      <c r="BP633" s="1" t="s">
        <v>74</v>
      </c>
      <c r="BQ633" s="1" t="s">
        <v>74</v>
      </c>
      <c r="BR633" s="1" t="s">
        <v>74</v>
      </c>
      <c r="BS633" s="1" t="s">
        <v>5746</v>
      </c>
      <c r="BT633" s="1" t="str">
        <f>HYPERLINK("https%3A%2F%2Fwww.webofscience.com%2Fwos%2Fwoscc%2Ffull-record%2FWOS:001441638300001","View Full Record in Web of Science")</f>
        <v>View Full Record in Web of Science</v>
      </c>
    </row>
    <row r="634" ht="12.75" customHeight="1">
      <c r="A634" s="1" t="s">
        <v>72</v>
      </c>
      <c r="B634" s="1" t="s">
        <v>5747</v>
      </c>
      <c r="C634" s="1" t="s">
        <v>74</v>
      </c>
      <c r="D634" s="1" t="s">
        <v>74</v>
      </c>
      <c r="E634" s="1" t="s">
        <v>74</v>
      </c>
      <c r="F634" s="1" t="s">
        <v>5748</v>
      </c>
      <c r="G634" s="1" t="s">
        <v>74</v>
      </c>
      <c r="H634" s="1" t="s">
        <v>74</v>
      </c>
      <c r="I634" s="1" t="s">
        <v>5749</v>
      </c>
      <c r="J634" s="1" t="s">
        <v>92</v>
      </c>
      <c r="K634" s="1" t="s">
        <v>74</v>
      </c>
      <c r="L634" s="1" t="s">
        <v>74</v>
      </c>
      <c r="M634" s="1" t="s">
        <v>74</v>
      </c>
      <c r="N634" s="1" t="s">
        <v>78</v>
      </c>
      <c r="O634" s="1" t="s">
        <v>74</v>
      </c>
      <c r="P634" s="1" t="s">
        <v>74</v>
      </c>
      <c r="Q634" s="1" t="s">
        <v>74</v>
      </c>
      <c r="R634" s="1" t="s">
        <v>74</v>
      </c>
      <c r="S634" s="1" t="s">
        <v>74</v>
      </c>
      <c r="T634" s="1" t="s">
        <v>5750</v>
      </c>
      <c r="U634" s="1" t="s">
        <v>74</v>
      </c>
      <c r="V634" s="1" t="s">
        <v>5751</v>
      </c>
      <c r="W634" s="1" t="s">
        <v>74</v>
      </c>
      <c r="X634" s="1" t="s">
        <v>74</v>
      </c>
      <c r="Y634" s="1" t="s">
        <v>74</v>
      </c>
      <c r="Z634" s="1" t="s">
        <v>74</v>
      </c>
      <c r="AA634" s="1" t="s">
        <v>74</v>
      </c>
      <c r="AB634" s="1" t="s">
        <v>74</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95</v>
      </c>
      <c r="AP634" s="1" t="s">
        <v>96</v>
      </c>
      <c r="AQ634" s="1" t="s">
        <v>74</v>
      </c>
      <c r="AR634" s="1" t="s">
        <v>74</v>
      </c>
      <c r="AS634" s="1" t="s">
        <v>74</v>
      </c>
      <c r="AT634" s="1" t="s">
        <v>172</v>
      </c>
      <c r="AU634" s="1">
        <v>2025.0</v>
      </c>
      <c r="AV634" s="1">
        <v>37.0</v>
      </c>
      <c r="AW634" s="1">
        <v>11.0</v>
      </c>
      <c r="AX634" s="1" t="s">
        <v>74</v>
      </c>
      <c r="AY634" s="1" t="s">
        <v>74</v>
      </c>
      <c r="AZ634" s="1" t="s">
        <v>74</v>
      </c>
      <c r="BA634" s="1" t="s">
        <v>74</v>
      </c>
      <c r="BB634" s="1">
        <v>6597.0</v>
      </c>
      <c r="BC634" s="1">
        <v>6609.0</v>
      </c>
      <c r="BD634" s="1" t="s">
        <v>74</v>
      </c>
      <c r="BE634" s="1" t="s">
        <v>5752</v>
      </c>
      <c r="BF634" s="2" t="str">
        <f>HYPERLINK("http://dx.doi.org/10.1109/TKDE.2025.3609320","http://dx.doi.org/10.1109/TKDE.2025.3609320")</f>
        <v>http://dx.doi.org/10.1109/TKDE.2025.3609320</v>
      </c>
      <c r="BG634" s="1" t="s">
        <v>74</v>
      </c>
      <c r="BH634" s="1" t="s">
        <v>74</v>
      </c>
      <c r="BI634" s="1" t="s">
        <v>74</v>
      </c>
      <c r="BJ634" s="1" t="s">
        <v>74</v>
      </c>
      <c r="BK634" s="1" t="s">
        <v>74</v>
      </c>
      <c r="BL634" s="1" t="s">
        <v>98</v>
      </c>
      <c r="BM634" s="1" t="s">
        <v>74</v>
      </c>
      <c r="BN634" s="1" t="s">
        <v>74</v>
      </c>
      <c r="BO634" s="1" t="s">
        <v>74</v>
      </c>
      <c r="BP634" s="1" t="s">
        <v>74</v>
      </c>
      <c r="BQ634" s="1" t="s">
        <v>74</v>
      </c>
      <c r="BR634" s="1" t="s">
        <v>74</v>
      </c>
      <c r="BS634" s="1" t="s">
        <v>5753</v>
      </c>
      <c r="BT634" s="1" t="str">
        <f>HYPERLINK("https%3A%2F%2Fwww.webofscience.com%2Fwos%2Fwoscc%2Ffull-record%2FWOS:001589873500004","View Full Record in Web of Science")</f>
        <v>View Full Record in Web of Science</v>
      </c>
    </row>
    <row r="635" ht="12.75" customHeight="1">
      <c r="A635" s="1" t="s">
        <v>72</v>
      </c>
      <c r="B635" s="1" t="s">
        <v>5754</v>
      </c>
      <c r="C635" s="1" t="s">
        <v>74</v>
      </c>
      <c r="D635" s="1" t="s">
        <v>74</v>
      </c>
      <c r="E635" s="1" t="s">
        <v>74</v>
      </c>
      <c r="F635" s="1" t="s">
        <v>5755</v>
      </c>
      <c r="G635" s="1" t="s">
        <v>74</v>
      </c>
      <c r="H635" s="1" t="s">
        <v>74</v>
      </c>
      <c r="I635" s="1" t="s">
        <v>5756</v>
      </c>
      <c r="J635" s="1" t="s">
        <v>5757</v>
      </c>
      <c r="K635" s="1" t="s">
        <v>74</v>
      </c>
      <c r="L635" s="1" t="s">
        <v>74</v>
      </c>
      <c r="M635" s="1" t="s">
        <v>74</v>
      </c>
      <c r="N635" s="1" t="s">
        <v>78</v>
      </c>
      <c r="O635" s="1" t="s">
        <v>74</v>
      </c>
      <c r="P635" s="1" t="s">
        <v>74</v>
      </c>
      <c r="Q635" s="1" t="s">
        <v>74</v>
      </c>
      <c r="R635" s="1" t="s">
        <v>74</v>
      </c>
      <c r="S635" s="1" t="s">
        <v>74</v>
      </c>
      <c r="T635" s="1" t="s">
        <v>5758</v>
      </c>
      <c r="U635" s="1" t="s">
        <v>74</v>
      </c>
      <c r="V635" s="1" t="s">
        <v>5759</v>
      </c>
      <c r="W635" s="1" t="s">
        <v>74</v>
      </c>
      <c r="X635" s="1" t="s">
        <v>74</v>
      </c>
      <c r="Y635" s="1" t="s">
        <v>74</v>
      </c>
      <c r="Z635" s="1" t="s">
        <v>74</v>
      </c>
      <c r="AA635" s="1" t="s">
        <v>74</v>
      </c>
      <c r="AB635" s="1" t="s">
        <v>74</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5760</v>
      </c>
      <c r="AP635" s="1" t="s">
        <v>5761</v>
      </c>
      <c r="AQ635" s="1" t="s">
        <v>74</v>
      </c>
      <c r="AR635" s="1" t="s">
        <v>74</v>
      </c>
      <c r="AS635" s="1" t="s">
        <v>74</v>
      </c>
      <c r="AT635" s="1" t="s">
        <v>688</v>
      </c>
      <c r="AU635" s="1">
        <v>2025.0</v>
      </c>
      <c r="AV635" s="1">
        <v>27.0</v>
      </c>
      <c r="AW635" s="1">
        <v>1.0</v>
      </c>
      <c r="AX635" s="1" t="s">
        <v>74</v>
      </c>
      <c r="AY635" s="1" t="s">
        <v>74</v>
      </c>
      <c r="AZ635" s="1" t="s">
        <v>74</v>
      </c>
      <c r="BA635" s="1" t="s">
        <v>74</v>
      </c>
      <c r="BB635" s="1">
        <v>227.0</v>
      </c>
      <c r="BC635" s="1">
        <v>261.0</v>
      </c>
      <c r="BD635" s="1" t="s">
        <v>74</v>
      </c>
      <c r="BE635" s="1" t="s">
        <v>5762</v>
      </c>
      <c r="BF635" s="2" t="str">
        <f>HYPERLINK("http://dx.doi.org/10.1007/s40558-024-00309-9","http://dx.doi.org/10.1007/s40558-024-00309-9")</f>
        <v>http://dx.doi.org/10.1007/s40558-024-00309-9</v>
      </c>
      <c r="BG635" s="1" t="s">
        <v>74</v>
      </c>
      <c r="BH635" s="1" t="s">
        <v>141</v>
      </c>
      <c r="BI635" s="1" t="s">
        <v>74</v>
      </c>
      <c r="BJ635" s="1" t="s">
        <v>74</v>
      </c>
      <c r="BK635" s="1" t="s">
        <v>74</v>
      </c>
      <c r="BL635" s="1" t="s">
        <v>615</v>
      </c>
      <c r="BM635" s="1" t="s">
        <v>74</v>
      </c>
      <c r="BN635" s="1" t="s">
        <v>74</v>
      </c>
      <c r="BO635" s="1" t="s">
        <v>114</v>
      </c>
      <c r="BP635" s="1" t="s">
        <v>74</v>
      </c>
      <c r="BQ635" s="1" t="s">
        <v>74</v>
      </c>
      <c r="BR635" s="1" t="s">
        <v>74</v>
      </c>
      <c r="BS635" s="1" t="s">
        <v>5763</v>
      </c>
      <c r="BT635" s="1" t="str">
        <f>HYPERLINK("https%3A%2F%2Fwww.webofscience.com%2Fwos%2Fwoscc%2Ffull-record%2FWOS:001399416800001","View Full Record in Web of Science")</f>
        <v>View Full Record in Web of Science</v>
      </c>
    </row>
    <row r="636" ht="12.75" customHeight="1">
      <c r="A636" s="1" t="s">
        <v>72</v>
      </c>
      <c r="B636" s="1" t="s">
        <v>5764</v>
      </c>
      <c r="C636" s="1" t="s">
        <v>74</v>
      </c>
      <c r="D636" s="1" t="s">
        <v>74</v>
      </c>
      <c r="E636" s="1" t="s">
        <v>74</v>
      </c>
      <c r="F636" s="1" t="s">
        <v>5765</v>
      </c>
      <c r="G636" s="1" t="s">
        <v>74</v>
      </c>
      <c r="H636" s="1" t="s">
        <v>74</v>
      </c>
      <c r="I636" s="1" t="s">
        <v>5766</v>
      </c>
      <c r="J636" s="1" t="s">
        <v>320</v>
      </c>
      <c r="K636" s="1" t="s">
        <v>74</v>
      </c>
      <c r="L636" s="1" t="s">
        <v>74</v>
      </c>
      <c r="M636" s="1" t="s">
        <v>74</v>
      </c>
      <c r="N636" s="1" t="s">
        <v>78</v>
      </c>
      <c r="O636" s="1" t="s">
        <v>74</v>
      </c>
      <c r="P636" s="1" t="s">
        <v>74</v>
      </c>
      <c r="Q636" s="1" t="s">
        <v>74</v>
      </c>
      <c r="R636" s="1" t="s">
        <v>74</v>
      </c>
      <c r="S636" s="1" t="s">
        <v>74</v>
      </c>
      <c r="T636" s="1" t="s">
        <v>5767</v>
      </c>
      <c r="U636" s="1" t="s">
        <v>5768</v>
      </c>
      <c r="V636" s="1" t="s">
        <v>5769</v>
      </c>
      <c r="W636" s="1" t="s">
        <v>74</v>
      </c>
      <c r="X636" s="1" t="s">
        <v>74</v>
      </c>
      <c r="Y636" s="1" t="s">
        <v>74</v>
      </c>
      <c r="Z636" s="1" t="s">
        <v>74</v>
      </c>
      <c r="AA636" s="1" t="s">
        <v>74</v>
      </c>
      <c r="AB636" s="1" t="s">
        <v>74</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74</v>
      </c>
      <c r="AP636" s="1" t="s">
        <v>324</v>
      </c>
      <c r="AQ636" s="1" t="s">
        <v>74</v>
      </c>
      <c r="AR636" s="1" t="s">
        <v>74</v>
      </c>
      <c r="AS636" s="1" t="s">
        <v>74</v>
      </c>
      <c r="AT636" s="1" t="s">
        <v>172</v>
      </c>
      <c r="AU636" s="1">
        <v>2024.0</v>
      </c>
      <c r="AV636" s="1">
        <v>8.0</v>
      </c>
      <c r="AW636" s="1">
        <v>11.0</v>
      </c>
      <c r="AX636" s="1" t="s">
        <v>74</v>
      </c>
      <c r="AY636" s="1" t="s">
        <v>74</v>
      </c>
      <c r="AZ636" s="1" t="s">
        <v>74</v>
      </c>
      <c r="BA636" s="1" t="s">
        <v>74</v>
      </c>
      <c r="BB636" s="1" t="s">
        <v>74</v>
      </c>
      <c r="BC636" s="1" t="s">
        <v>74</v>
      </c>
      <c r="BD636" s="1">
        <v>152.0</v>
      </c>
      <c r="BE636" s="1" t="s">
        <v>5770</v>
      </c>
      <c r="BF636" s="2" t="str">
        <f>HYPERLINK("http://dx.doi.org/10.3390/bdcc8110152","http://dx.doi.org/10.3390/bdcc8110152")</f>
        <v>http://dx.doi.org/10.3390/bdcc8110152</v>
      </c>
      <c r="BG636" s="1" t="s">
        <v>74</v>
      </c>
      <c r="BH636" s="1" t="s">
        <v>74</v>
      </c>
      <c r="BI636" s="1" t="s">
        <v>74</v>
      </c>
      <c r="BJ636" s="1" t="s">
        <v>74</v>
      </c>
      <c r="BK636" s="1" t="s">
        <v>74</v>
      </c>
      <c r="BL636" s="1" t="s">
        <v>174</v>
      </c>
      <c r="BM636" s="1" t="s">
        <v>74</v>
      </c>
      <c r="BN636" s="1" t="s">
        <v>74</v>
      </c>
      <c r="BO636" s="1" t="s">
        <v>163</v>
      </c>
      <c r="BP636" s="1" t="s">
        <v>74</v>
      </c>
      <c r="BQ636" s="1" t="s">
        <v>74</v>
      </c>
      <c r="BR636" s="1" t="s">
        <v>74</v>
      </c>
      <c r="BS636" s="1" t="s">
        <v>5771</v>
      </c>
      <c r="BT636" s="1" t="str">
        <f>HYPERLINK("https%3A%2F%2Fwww.webofscience.com%2Fwos%2Fwoscc%2Ffull-record%2FWOS:001363973500001","View Full Record in Web of Science")</f>
        <v>View Full Record in Web of Science</v>
      </c>
    </row>
    <row r="637" ht="12.75" customHeight="1">
      <c r="A637" s="1" t="s">
        <v>72</v>
      </c>
      <c r="B637" s="1" t="s">
        <v>5772</v>
      </c>
      <c r="C637" s="1" t="s">
        <v>74</v>
      </c>
      <c r="D637" s="1" t="s">
        <v>74</v>
      </c>
      <c r="E637" s="1" t="s">
        <v>74</v>
      </c>
      <c r="F637" s="1" t="s">
        <v>5773</v>
      </c>
      <c r="G637" s="1" t="s">
        <v>74</v>
      </c>
      <c r="H637" s="1" t="s">
        <v>74</v>
      </c>
      <c r="I637" s="1" t="s">
        <v>5774</v>
      </c>
      <c r="J637" s="1" t="s">
        <v>2857</v>
      </c>
      <c r="K637" s="1" t="s">
        <v>74</v>
      </c>
      <c r="L637" s="1" t="s">
        <v>74</v>
      </c>
      <c r="M637" s="1" t="s">
        <v>74</v>
      </c>
      <c r="N637" s="1" t="s">
        <v>78</v>
      </c>
      <c r="O637" s="1" t="s">
        <v>74</v>
      </c>
      <c r="P637" s="1" t="s">
        <v>74</v>
      </c>
      <c r="Q637" s="1" t="s">
        <v>74</v>
      </c>
      <c r="R637" s="1" t="s">
        <v>74</v>
      </c>
      <c r="S637" s="1" t="s">
        <v>74</v>
      </c>
      <c r="T637" s="1" t="s">
        <v>5775</v>
      </c>
      <c r="U637" s="1" t="s">
        <v>5776</v>
      </c>
      <c r="V637" s="1" t="s">
        <v>5777</v>
      </c>
      <c r="W637" s="1" t="s">
        <v>74</v>
      </c>
      <c r="X637" s="1" t="s">
        <v>74</v>
      </c>
      <c r="Y637" s="1" t="s">
        <v>74</v>
      </c>
      <c r="Z637" s="1" t="s">
        <v>74</v>
      </c>
      <c r="AA637" s="1" t="s">
        <v>74</v>
      </c>
      <c r="AB637" s="1" t="s">
        <v>74</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2860</v>
      </c>
      <c r="AP637" s="1" t="s">
        <v>2861</v>
      </c>
      <c r="AQ637" s="1" t="s">
        <v>74</v>
      </c>
      <c r="AR637" s="1" t="s">
        <v>74</v>
      </c>
      <c r="AS637" s="1" t="s">
        <v>74</v>
      </c>
      <c r="AT637" s="1" t="s">
        <v>84</v>
      </c>
      <c r="AU637" s="1">
        <v>2025.0</v>
      </c>
      <c r="AV637" s="1">
        <v>29.0</v>
      </c>
      <c r="AW637" s="1">
        <v>5.0</v>
      </c>
      <c r="AX637" s="1" t="s">
        <v>74</v>
      </c>
      <c r="AY637" s="1" t="s">
        <v>74</v>
      </c>
      <c r="AZ637" s="1" t="s">
        <v>74</v>
      </c>
      <c r="BA637" s="1" t="s">
        <v>74</v>
      </c>
      <c r="BB637" s="1">
        <v>3642.0</v>
      </c>
      <c r="BC637" s="1">
        <v>3653.0</v>
      </c>
      <c r="BD637" s="1" t="s">
        <v>74</v>
      </c>
      <c r="BE637" s="1" t="s">
        <v>5778</v>
      </c>
      <c r="BF637" s="2" t="str">
        <f>HYPERLINK("http://dx.doi.org/10.1109/JBHI.2025.3529682","http://dx.doi.org/10.1109/JBHI.2025.3529682")</f>
        <v>http://dx.doi.org/10.1109/JBHI.2025.3529682</v>
      </c>
      <c r="BG637" s="1" t="s">
        <v>74</v>
      </c>
      <c r="BH637" s="1" t="s">
        <v>74</v>
      </c>
      <c r="BI637" s="1" t="s">
        <v>74</v>
      </c>
      <c r="BJ637" s="1" t="s">
        <v>74</v>
      </c>
      <c r="BK637" s="1" t="s">
        <v>74</v>
      </c>
      <c r="BL637" s="1" t="s">
        <v>2863</v>
      </c>
      <c r="BM637" s="1" t="s">
        <v>74</v>
      </c>
      <c r="BN637" s="1" t="s">
        <v>74</v>
      </c>
      <c r="BO637" s="1" t="s">
        <v>74</v>
      </c>
      <c r="BP637" s="1" t="s">
        <v>74</v>
      </c>
      <c r="BQ637" s="1" t="s">
        <v>74</v>
      </c>
      <c r="BR637" s="1" t="s">
        <v>74</v>
      </c>
      <c r="BS637" s="1" t="s">
        <v>5779</v>
      </c>
      <c r="BT637" s="1" t="str">
        <f>HYPERLINK("https%3A%2F%2Fwww.webofscience.com%2Fwos%2Fwoscc%2Ffull-record%2FWOS:001483871500023","View Full Record in Web of Science")</f>
        <v>View Full Record in Web of Science</v>
      </c>
    </row>
    <row r="638" ht="12.75" customHeight="1">
      <c r="A638" s="1" t="s">
        <v>72</v>
      </c>
      <c r="B638" s="1" t="s">
        <v>5780</v>
      </c>
      <c r="C638" s="1" t="s">
        <v>74</v>
      </c>
      <c r="D638" s="1" t="s">
        <v>74</v>
      </c>
      <c r="E638" s="1" t="s">
        <v>74</v>
      </c>
      <c r="F638" s="1" t="s">
        <v>5781</v>
      </c>
      <c r="G638" s="1" t="s">
        <v>74</v>
      </c>
      <c r="H638" s="1" t="s">
        <v>74</v>
      </c>
      <c r="I638" s="1" t="s">
        <v>5782</v>
      </c>
      <c r="J638" s="1" t="s">
        <v>1376</v>
      </c>
      <c r="K638" s="1" t="s">
        <v>74</v>
      </c>
      <c r="L638" s="1" t="s">
        <v>74</v>
      </c>
      <c r="M638" s="1" t="s">
        <v>74</v>
      </c>
      <c r="N638" s="1" t="s">
        <v>78</v>
      </c>
      <c r="O638" s="1" t="s">
        <v>74</v>
      </c>
      <c r="P638" s="1" t="s">
        <v>74</v>
      </c>
      <c r="Q638" s="1" t="s">
        <v>74</v>
      </c>
      <c r="R638" s="1" t="s">
        <v>74</v>
      </c>
      <c r="S638" s="1" t="s">
        <v>74</v>
      </c>
      <c r="T638" s="1" t="s">
        <v>5783</v>
      </c>
      <c r="U638" s="1" t="s">
        <v>5784</v>
      </c>
      <c r="V638" s="1" t="s">
        <v>5785</v>
      </c>
      <c r="W638" s="1" t="s">
        <v>74</v>
      </c>
      <c r="X638" s="1" t="s">
        <v>74</v>
      </c>
      <c r="Y638" s="1" t="s">
        <v>74</v>
      </c>
      <c r="Z638" s="1" t="s">
        <v>74</v>
      </c>
      <c r="AA638" s="1" t="s">
        <v>74</v>
      </c>
      <c r="AB638" s="1" t="s">
        <v>74</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74</v>
      </c>
      <c r="AP638" s="1" t="s">
        <v>2256</v>
      </c>
      <c r="AQ638" s="1" t="s">
        <v>74</v>
      </c>
      <c r="AR638" s="1" t="s">
        <v>74</v>
      </c>
      <c r="AS638" s="1" t="s">
        <v>74</v>
      </c>
      <c r="AT638" s="1" t="s">
        <v>574</v>
      </c>
      <c r="AU638" s="1">
        <v>2025.0</v>
      </c>
      <c r="AV638" s="1">
        <v>6.0</v>
      </c>
      <c r="AW638" s="1">
        <v>3.0</v>
      </c>
      <c r="AX638" s="1" t="s">
        <v>74</v>
      </c>
      <c r="AY638" s="1" t="s">
        <v>74</v>
      </c>
      <c r="AZ638" s="1" t="s">
        <v>74</v>
      </c>
      <c r="BA638" s="1" t="s">
        <v>74</v>
      </c>
      <c r="BB638" s="1" t="s">
        <v>74</v>
      </c>
      <c r="BC638" s="1" t="s">
        <v>74</v>
      </c>
      <c r="BD638" s="1">
        <v>56.0</v>
      </c>
      <c r="BE638" s="1" t="s">
        <v>5786</v>
      </c>
      <c r="BF638" s="2" t="str">
        <f>HYPERLINK("http://dx.doi.org/10.3390/ai6030056","http://dx.doi.org/10.3390/ai6030056")</f>
        <v>http://dx.doi.org/10.3390/ai6030056</v>
      </c>
      <c r="BG638" s="1" t="s">
        <v>74</v>
      </c>
      <c r="BH638" s="1" t="s">
        <v>74</v>
      </c>
      <c r="BI638" s="1" t="s">
        <v>74</v>
      </c>
      <c r="BJ638" s="1" t="s">
        <v>74</v>
      </c>
      <c r="BK638" s="1" t="s">
        <v>74</v>
      </c>
      <c r="BL638" s="1" t="s">
        <v>174</v>
      </c>
      <c r="BM638" s="1" t="s">
        <v>74</v>
      </c>
      <c r="BN638" s="1" t="s">
        <v>74</v>
      </c>
      <c r="BO638" s="1" t="s">
        <v>163</v>
      </c>
      <c r="BP638" s="1" t="s">
        <v>74</v>
      </c>
      <c r="BQ638" s="1" t="s">
        <v>74</v>
      </c>
      <c r="BR638" s="1" t="s">
        <v>74</v>
      </c>
      <c r="BS638" s="1" t="s">
        <v>5787</v>
      </c>
      <c r="BT638" s="1" t="str">
        <f>HYPERLINK("https%3A%2F%2Fwww.webofscience.com%2Fwos%2Fwoscc%2Ffull-record%2FWOS:001453552400001","View Full Record in Web of Science")</f>
        <v>View Full Record in Web of Science</v>
      </c>
    </row>
    <row r="639" ht="12.75" customHeight="1">
      <c r="A639" s="1" t="s">
        <v>72</v>
      </c>
      <c r="B639" s="1" t="s">
        <v>5788</v>
      </c>
      <c r="C639" s="1" t="s">
        <v>74</v>
      </c>
      <c r="D639" s="1" t="s">
        <v>74</v>
      </c>
      <c r="E639" s="1" t="s">
        <v>74</v>
      </c>
      <c r="F639" s="1" t="s">
        <v>5789</v>
      </c>
      <c r="G639" s="1" t="s">
        <v>74</v>
      </c>
      <c r="H639" s="1" t="s">
        <v>74</v>
      </c>
      <c r="I639" s="1" t="s">
        <v>5790</v>
      </c>
      <c r="J639" s="1" t="s">
        <v>5791</v>
      </c>
      <c r="K639" s="1" t="s">
        <v>74</v>
      </c>
      <c r="L639" s="1" t="s">
        <v>74</v>
      </c>
      <c r="M639" s="1" t="s">
        <v>74</v>
      </c>
      <c r="N639" s="1" t="s">
        <v>78</v>
      </c>
      <c r="O639" s="1" t="s">
        <v>74</v>
      </c>
      <c r="P639" s="1" t="s">
        <v>74</v>
      </c>
      <c r="Q639" s="1" t="s">
        <v>74</v>
      </c>
      <c r="R639" s="1" t="s">
        <v>74</v>
      </c>
      <c r="S639" s="1" t="s">
        <v>74</v>
      </c>
      <c r="T639" s="1" t="s">
        <v>5792</v>
      </c>
      <c r="U639" s="1" t="s">
        <v>74</v>
      </c>
      <c r="V639" s="1" t="s">
        <v>5793</v>
      </c>
      <c r="W639" s="1" t="s">
        <v>74</v>
      </c>
      <c r="X639" s="1" t="s">
        <v>74</v>
      </c>
      <c r="Y639" s="1" t="s">
        <v>74</v>
      </c>
      <c r="Z639" s="1" t="s">
        <v>74</v>
      </c>
      <c r="AA639" s="1" t="s">
        <v>74</v>
      </c>
      <c r="AB639" s="1" t="s">
        <v>74</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5794</v>
      </c>
      <c r="AP639" s="1" t="s">
        <v>5795</v>
      </c>
      <c r="AQ639" s="1" t="s">
        <v>74</v>
      </c>
      <c r="AR639" s="1" t="s">
        <v>74</v>
      </c>
      <c r="AS639" s="1" t="s">
        <v>74</v>
      </c>
      <c r="AT639" s="1" t="s">
        <v>200</v>
      </c>
      <c r="AU639" s="1">
        <v>2025.0</v>
      </c>
      <c r="AV639" s="1">
        <v>21.0</v>
      </c>
      <c r="AW639" s="1">
        <v>6.0</v>
      </c>
      <c r="AX639" s="1" t="s">
        <v>74</v>
      </c>
      <c r="AY639" s="1" t="s">
        <v>74</v>
      </c>
      <c r="AZ639" s="1" t="s">
        <v>74</v>
      </c>
      <c r="BA639" s="1" t="s">
        <v>74</v>
      </c>
      <c r="BB639" s="1">
        <v>598.0</v>
      </c>
      <c r="BC639" s="1">
        <v>612.0</v>
      </c>
      <c r="BD639" s="1" t="s">
        <v>74</v>
      </c>
      <c r="BE639" s="1" t="s">
        <v>5796</v>
      </c>
      <c r="BF639" s="2" t="str">
        <f>HYPERLINK("http://dx.doi.org/10.3745/JIPS.04.0362","http://dx.doi.org/10.3745/JIPS.04.0362")</f>
        <v>http://dx.doi.org/10.3745/JIPS.04.0362</v>
      </c>
      <c r="BG639" s="1" t="s">
        <v>74</v>
      </c>
      <c r="BH639" s="1" t="s">
        <v>74</v>
      </c>
      <c r="BI639" s="1" t="s">
        <v>74</v>
      </c>
      <c r="BJ639" s="1" t="s">
        <v>74</v>
      </c>
      <c r="BK639" s="1" t="s">
        <v>74</v>
      </c>
      <c r="BL639" s="1" t="s">
        <v>174</v>
      </c>
      <c r="BM639" s="1" t="s">
        <v>74</v>
      </c>
      <c r="BN639" s="1" t="s">
        <v>74</v>
      </c>
      <c r="BO639" s="1" t="s">
        <v>74</v>
      </c>
      <c r="BP639" s="1" t="s">
        <v>74</v>
      </c>
      <c r="BQ639" s="1" t="s">
        <v>74</v>
      </c>
      <c r="BR639" s="1" t="s">
        <v>74</v>
      </c>
      <c r="BS639" s="1" t="s">
        <v>5797</v>
      </c>
      <c r="BT639" s="1" t="str">
        <f>HYPERLINK("https%3A%2F%2Fwww.webofscience.com%2Fwos%2Fwoscc%2Ffull-record%2FWOS:001658433500004","View Full Record in Web of Science")</f>
        <v>View Full Record in Web of Science</v>
      </c>
    </row>
    <row r="640" ht="12.75" customHeight="1">
      <c r="A640" s="1" t="s">
        <v>72</v>
      </c>
      <c r="B640" s="1" t="s">
        <v>5798</v>
      </c>
      <c r="C640" s="1" t="s">
        <v>74</v>
      </c>
      <c r="D640" s="1" t="s">
        <v>74</v>
      </c>
      <c r="E640" s="1" t="s">
        <v>74</v>
      </c>
      <c r="F640" s="1" t="s">
        <v>5799</v>
      </c>
      <c r="G640" s="1" t="s">
        <v>74</v>
      </c>
      <c r="H640" s="1" t="s">
        <v>74</v>
      </c>
      <c r="I640" s="1" t="s">
        <v>5800</v>
      </c>
      <c r="J640" s="1" t="s">
        <v>1619</v>
      </c>
      <c r="K640" s="1" t="s">
        <v>74</v>
      </c>
      <c r="L640" s="1" t="s">
        <v>74</v>
      </c>
      <c r="M640" s="1" t="s">
        <v>74</v>
      </c>
      <c r="N640" s="1" t="s">
        <v>78</v>
      </c>
      <c r="O640" s="1" t="s">
        <v>74</v>
      </c>
      <c r="P640" s="1" t="s">
        <v>74</v>
      </c>
      <c r="Q640" s="1" t="s">
        <v>74</v>
      </c>
      <c r="R640" s="1" t="s">
        <v>74</v>
      </c>
      <c r="S640" s="1" t="s">
        <v>74</v>
      </c>
      <c r="T640" s="1" t="s">
        <v>5801</v>
      </c>
      <c r="U640" s="1" t="s">
        <v>5802</v>
      </c>
      <c r="V640" s="1" t="s">
        <v>5803</v>
      </c>
      <c r="W640" s="1" t="s">
        <v>74</v>
      </c>
      <c r="X640" s="1" t="s">
        <v>74</v>
      </c>
      <c r="Y640" s="1" t="s">
        <v>74</v>
      </c>
      <c r="Z640" s="1" t="s">
        <v>74</v>
      </c>
      <c r="AA640" s="1" t="s">
        <v>74</v>
      </c>
      <c r="AB640" s="1" t="s">
        <v>74</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1622</v>
      </c>
      <c r="AP640" s="1" t="s">
        <v>1623</v>
      </c>
      <c r="AQ640" s="1" t="s">
        <v>74</v>
      </c>
      <c r="AR640" s="1" t="s">
        <v>74</v>
      </c>
      <c r="AS640" s="1" t="s">
        <v>74</v>
      </c>
      <c r="AT640" s="1" t="s">
        <v>1078</v>
      </c>
      <c r="AU640" s="1">
        <v>2025.0</v>
      </c>
      <c r="AV640" s="1">
        <v>25.0</v>
      </c>
      <c r="AW640" s="1">
        <v>2.0</v>
      </c>
      <c r="AX640" s="1" t="s">
        <v>74</v>
      </c>
      <c r="AY640" s="1" t="s">
        <v>74</v>
      </c>
      <c r="AZ640" s="1" t="s">
        <v>74</v>
      </c>
      <c r="BA640" s="1" t="s">
        <v>74</v>
      </c>
      <c r="BB640" s="1" t="s">
        <v>74</v>
      </c>
      <c r="BC640" s="1" t="s">
        <v>74</v>
      </c>
      <c r="BD640" s="1">
        <v>21004.0</v>
      </c>
      <c r="BE640" s="1" t="s">
        <v>5804</v>
      </c>
      <c r="BF640" s="2" t="str">
        <f>HYPERLINK("http://dx.doi.org/10.1115/1.4066730","http://dx.doi.org/10.1115/1.4066730")</f>
        <v>http://dx.doi.org/10.1115/1.4066730</v>
      </c>
      <c r="BG640" s="1" t="s">
        <v>74</v>
      </c>
      <c r="BH640" s="1" t="s">
        <v>74</v>
      </c>
      <c r="BI640" s="1" t="s">
        <v>74</v>
      </c>
      <c r="BJ640" s="1" t="s">
        <v>74</v>
      </c>
      <c r="BK640" s="1" t="s">
        <v>74</v>
      </c>
      <c r="BL640" s="1" t="s">
        <v>98</v>
      </c>
      <c r="BM640" s="1" t="s">
        <v>74</v>
      </c>
      <c r="BN640" s="1" t="s">
        <v>74</v>
      </c>
      <c r="BO640" s="1" t="s">
        <v>74</v>
      </c>
      <c r="BP640" s="1" t="s">
        <v>74</v>
      </c>
      <c r="BQ640" s="1" t="s">
        <v>74</v>
      </c>
      <c r="BR640" s="1" t="s">
        <v>74</v>
      </c>
      <c r="BS640" s="1" t="s">
        <v>5805</v>
      </c>
      <c r="BT640" s="1" t="str">
        <f>HYPERLINK("https%3A%2F%2Fwww.webofscience.com%2Fwos%2Fwoscc%2Ffull-record%2FWOS:001403467800008","View Full Record in Web of Science")</f>
        <v>View Full Record in Web of Science</v>
      </c>
    </row>
    <row r="641" ht="12.75" customHeight="1">
      <c r="A641" s="1" t="s">
        <v>72</v>
      </c>
      <c r="B641" s="1" t="s">
        <v>5806</v>
      </c>
      <c r="C641" s="1" t="s">
        <v>74</v>
      </c>
      <c r="D641" s="1" t="s">
        <v>74</v>
      </c>
      <c r="E641" s="1" t="s">
        <v>74</v>
      </c>
      <c r="F641" s="1" t="s">
        <v>5807</v>
      </c>
      <c r="G641" s="1" t="s">
        <v>74</v>
      </c>
      <c r="H641" s="1" t="s">
        <v>74</v>
      </c>
      <c r="I641" s="1" t="s">
        <v>5808</v>
      </c>
      <c r="J641" s="1" t="s">
        <v>147</v>
      </c>
      <c r="K641" s="1" t="s">
        <v>74</v>
      </c>
      <c r="L641" s="1" t="s">
        <v>74</v>
      </c>
      <c r="M641" s="1" t="s">
        <v>74</v>
      </c>
      <c r="N641" s="1" t="s">
        <v>78</v>
      </c>
      <c r="O641" s="1" t="s">
        <v>74</v>
      </c>
      <c r="P641" s="1" t="s">
        <v>74</v>
      </c>
      <c r="Q641" s="1" t="s">
        <v>74</v>
      </c>
      <c r="R641" s="1" t="s">
        <v>74</v>
      </c>
      <c r="S641" s="1" t="s">
        <v>74</v>
      </c>
      <c r="T641" s="1" t="s">
        <v>5809</v>
      </c>
      <c r="U641" s="1" t="s">
        <v>5810</v>
      </c>
      <c r="V641" s="1" t="s">
        <v>5811</v>
      </c>
      <c r="W641" s="1" t="s">
        <v>74</v>
      </c>
      <c r="X641" s="1" t="s">
        <v>74</v>
      </c>
      <c r="Y641" s="1" t="s">
        <v>74</v>
      </c>
      <c r="Z641" s="1" t="s">
        <v>74</v>
      </c>
      <c r="AA641" s="1" t="s">
        <v>74</v>
      </c>
      <c r="AB641" s="1" t="s">
        <v>74</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150</v>
      </c>
      <c r="AP641" s="1" t="s">
        <v>74</v>
      </c>
      <c r="AQ641" s="1" t="s">
        <v>74</v>
      </c>
      <c r="AR641" s="1" t="s">
        <v>74</v>
      </c>
      <c r="AS641" s="1" t="s">
        <v>74</v>
      </c>
      <c r="AT641" s="1" t="s">
        <v>74</v>
      </c>
      <c r="AU641" s="1">
        <v>2025.0</v>
      </c>
      <c r="AV641" s="1">
        <v>13.0</v>
      </c>
      <c r="AW641" s="1" t="s">
        <v>74</v>
      </c>
      <c r="AX641" s="1" t="s">
        <v>74</v>
      </c>
      <c r="AY641" s="1" t="s">
        <v>74</v>
      </c>
      <c r="AZ641" s="1" t="s">
        <v>74</v>
      </c>
      <c r="BA641" s="1" t="s">
        <v>74</v>
      </c>
      <c r="BB641" s="1">
        <v>157147.0</v>
      </c>
      <c r="BC641" s="1">
        <v>157159.0</v>
      </c>
      <c r="BD641" s="1" t="s">
        <v>74</v>
      </c>
      <c r="BE641" s="1" t="s">
        <v>5812</v>
      </c>
      <c r="BF641" s="2" t="str">
        <f>HYPERLINK("http://dx.doi.org/10.1109/ACCESS.2025.3604216","http://dx.doi.org/10.1109/ACCESS.2025.3604216")</f>
        <v>http://dx.doi.org/10.1109/ACCESS.2025.3604216</v>
      </c>
      <c r="BG641" s="1" t="s">
        <v>74</v>
      </c>
      <c r="BH641" s="1" t="s">
        <v>74</v>
      </c>
      <c r="BI641" s="1" t="s">
        <v>74</v>
      </c>
      <c r="BJ641" s="1" t="s">
        <v>74</v>
      </c>
      <c r="BK641" s="1" t="s">
        <v>74</v>
      </c>
      <c r="BL641" s="1" t="s">
        <v>152</v>
      </c>
      <c r="BM641" s="1" t="s">
        <v>74</v>
      </c>
      <c r="BN641" s="1" t="s">
        <v>74</v>
      </c>
      <c r="BO641" s="1" t="s">
        <v>153</v>
      </c>
      <c r="BP641" s="1" t="s">
        <v>74</v>
      </c>
      <c r="BQ641" s="1" t="s">
        <v>74</v>
      </c>
      <c r="BR641" s="1" t="s">
        <v>74</v>
      </c>
      <c r="BS641" s="1" t="s">
        <v>5813</v>
      </c>
      <c r="BT641" s="1" t="str">
        <f>HYPERLINK("https%3A%2F%2Fwww.webofscience.com%2Fwos%2Fwoscc%2Ffull-record%2FWOS:001571440900008","View Full Record in Web of Science")</f>
        <v>View Full Record in Web of Science</v>
      </c>
    </row>
    <row r="642" ht="12.75" customHeight="1">
      <c r="A642" s="1" t="s">
        <v>72</v>
      </c>
      <c r="B642" s="1" t="s">
        <v>5814</v>
      </c>
      <c r="C642" s="1" t="s">
        <v>74</v>
      </c>
      <c r="D642" s="1" t="s">
        <v>74</v>
      </c>
      <c r="E642" s="1" t="s">
        <v>74</v>
      </c>
      <c r="F642" s="1" t="s">
        <v>5815</v>
      </c>
      <c r="G642" s="1" t="s">
        <v>74</v>
      </c>
      <c r="H642" s="1" t="s">
        <v>74</v>
      </c>
      <c r="I642" s="1" t="s">
        <v>5816</v>
      </c>
      <c r="J642" s="1" t="s">
        <v>1990</v>
      </c>
      <c r="K642" s="1" t="s">
        <v>74</v>
      </c>
      <c r="L642" s="1" t="s">
        <v>74</v>
      </c>
      <c r="M642" s="1" t="s">
        <v>74</v>
      </c>
      <c r="N642" s="1" t="s">
        <v>78</v>
      </c>
      <c r="O642" s="1" t="s">
        <v>74</v>
      </c>
      <c r="P642" s="1" t="s">
        <v>74</v>
      </c>
      <c r="Q642" s="1" t="s">
        <v>74</v>
      </c>
      <c r="R642" s="1" t="s">
        <v>74</v>
      </c>
      <c r="S642" s="1" t="s">
        <v>74</v>
      </c>
      <c r="T642" s="1" t="s">
        <v>5817</v>
      </c>
      <c r="U642" s="1" t="s">
        <v>74</v>
      </c>
      <c r="V642" s="1" t="s">
        <v>5818</v>
      </c>
      <c r="W642" s="1" t="s">
        <v>74</v>
      </c>
      <c r="X642" s="1" t="s">
        <v>74</v>
      </c>
      <c r="Y642" s="1" t="s">
        <v>74</v>
      </c>
      <c r="Z642" s="1" t="s">
        <v>74</v>
      </c>
      <c r="AA642" s="1" t="s">
        <v>74</v>
      </c>
      <c r="AB642" s="1" t="s">
        <v>74</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1994</v>
      </c>
      <c r="AP642" s="1" t="s">
        <v>1995</v>
      </c>
      <c r="AQ642" s="1" t="s">
        <v>74</v>
      </c>
      <c r="AR642" s="1" t="s">
        <v>74</v>
      </c>
      <c r="AS642" s="1" t="s">
        <v>74</v>
      </c>
      <c r="AT642" s="1" t="s">
        <v>172</v>
      </c>
      <c r="AU642" s="1">
        <v>2025.0</v>
      </c>
      <c r="AV642" s="1">
        <v>85.0</v>
      </c>
      <c r="AW642" s="1" t="s">
        <v>74</v>
      </c>
      <c r="AX642" s="1" t="s">
        <v>1927</v>
      </c>
      <c r="AY642" s="1" t="s">
        <v>74</v>
      </c>
      <c r="AZ642" s="1" t="s">
        <v>74</v>
      </c>
      <c r="BA642" s="1" t="s">
        <v>74</v>
      </c>
      <c r="BB642" s="1" t="s">
        <v>74</v>
      </c>
      <c r="BC642" s="1" t="s">
        <v>74</v>
      </c>
      <c r="BD642" s="1">
        <v>108102.0</v>
      </c>
      <c r="BE642" s="1" t="s">
        <v>5819</v>
      </c>
      <c r="BF642" s="2" t="str">
        <f>HYPERLINK("http://dx.doi.org/10.1016/j.frl.2025.108102","http://dx.doi.org/10.1016/j.frl.2025.108102")</f>
        <v>http://dx.doi.org/10.1016/j.frl.2025.108102</v>
      </c>
      <c r="BG642" s="1" t="s">
        <v>74</v>
      </c>
      <c r="BH642" s="1" t="s">
        <v>276</v>
      </c>
      <c r="BI642" s="1" t="s">
        <v>74</v>
      </c>
      <c r="BJ642" s="1" t="s">
        <v>74</v>
      </c>
      <c r="BK642" s="1" t="s">
        <v>74</v>
      </c>
      <c r="BL642" s="1" t="s">
        <v>214</v>
      </c>
      <c r="BM642" s="1" t="s">
        <v>74</v>
      </c>
      <c r="BN642" s="1" t="s">
        <v>74</v>
      </c>
      <c r="BO642" s="1" t="s">
        <v>114</v>
      </c>
      <c r="BP642" s="1" t="s">
        <v>74</v>
      </c>
      <c r="BQ642" s="1" t="s">
        <v>74</v>
      </c>
      <c r="BR642" s="1" t="s">
        <v>74</v>
      </c>
      <c r="BS642" s="1" t="s">
        <v>5820</v>
      </c>
      <c r="BT642" s="1" t="str">
        <f>HYPERLINK("https%3A%2F%2Fwww.webofscience.com%2Fwos%2Fwoscc%2Ffull-record%2FWOS:001558920800009","View Full Record in Web of Science")</f>
        <v>View Full Record in Web of Science</v>
      </c>
    </row>
    <row r="643" ht="12.75" customHeight="1">
      <c r="A643" s="1" t="s">
        <v>72</v>
      </c>
      <c r="B643" s="1" t="s">
        <v>5821</v>
      </c>
      <c r="C643" s="1" t="s">
        <v>74</v>
      </c>
      <c r="D643" s="1" t="s">
        <v>74</v>
      </c>
      <c r="E643" s="1" t="s">
        <v>74</v>
      </c>
      <c r="F643" s="1" t="s">
        <v>5822</v>
      </c>
      <c r="G643" s="1" t="s">
        <v>74</v>
      </c>
      <c r="H643" s="1" t="s">
        <v>74</v>
      </c>
      <c r="I643" s="1" t="s">
        <v>5823</v>
      </c>
      <c r="J643" s="1" t="s">
        <v>1199</v>
      </c>
      <c r="K643" s="1" t="s">
        <v>74</v>
      </c>
      <c r="L643" s="1" t="s">
        <v>74</v>
      </c>
      <c r="M643" s="1" t="s">
        <v>74</v>
      </c>
      <c r="N643" s="1" t="s">
        <v>78</v>
      </c>
      <c r="O643" s="1" t="s">
        <v>74</v>
      </c>
      <c r="P643" s="1" t="s">
        <v>74</v>
      </c>
      <c r="Q643" s="1" t="s">
        <v>74</v>
      </c>
      <c r="R643" s="1" t="s">
        <v>74</v>
      </c>
      <c r="S643" s="1" t="s">
        <v>74</v>
      </c>
      <c r="T643" s="1" t="s">
        <v>5824</v>
      </c>
      <c r="U643" s="1" t="s">
        <v>5825</v>
      </c>
      <c r="V643" s="1" t="s">
        <v>5826</v>
      </c>
      <c r="W643" s="1" t="s">
        <v>74</v>
      </c>
      <c r="X643" s="1" t="s">
        <v>74</v>
      </c>
      <c r="Y643" s="1" t="s">
        <v>74</v>
      </c>
      <c r="Z643" s="1" t="s">
        <v>74</v>
      </c>
      <c r="AA643" s="1" t="s">
        <v>74</v>
      </c>
      <c r="AB643" s="1" t="s">
        <v>74</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74</v>
      </c>
      <c r="AP643" s="1" t="s">
        <v>1202</v>
      </c>
      <c r="AQ643" s="1" t="s">
        <v>74</v>
      </c>
      <c r="AR643" s="1" t="s">
        <v>74</v>
      </c>
      <c r="AS643" s="1" t="s">
        <v>74</v>
      </c>
      <c r="AT643" s="1" t="s">
        <v>5827</v>
      </c>
      <c r="AU643" s="1">
        <v>2025.0</v>
      </c>
      <c r="AV643" s="1">
        <v>18.0</v>
      </c>
      <c r="AW643" s="1">
        <v>5.0</v>
      </c>
      <c r="AX643" s="1" t="s">
        <v>74</v>
      </c>
      <c r="AY643" s="1" t="s">
        <v>74</v>
      </c>
      <c r="AZ643" s="1" t="s">
        <v>74</v>
      </c>
      <c r="BA643" s="1" t="s">
        <v>74</v>
      </c>
      <c r="BB643" s="1" t="s">
        <v>74</v>
      </c>
      <c r="BC643" s="1" t="s">
        <v>74</v>
      </c>
      <c r="BD643" s="1">
        <v>296.0</v>
      </c>
      <c r="BE643" s="1" t="s">
        <v>5828</v>
      </c>
      <c r="BF643" s="2" t="str">
        <f>HYPERLINK("http://dx.doi.org/10.3390/a18050296","http://dx.doi.org/10.3390/a18050296")</f>
        <v>http://dx.doi.org/10.3390/a18050296</v>
      </c>
      <c r="BG643" s="1" t="s">
        <v>74</v>
      </c>
      <c r="BH643" s="1" t="s">
        <v>74</v>
      </c>
      <c r="BI643" s="1" t="s">
        <v>74</v>
      </c>
      <c r="BJ643" s="1" t="s">
        <v>74</v>
      </c>
      <c r="BK643" s="1" t="s">
        <v>74</v>
      </c>
      <c r="BL643" s="1" t="s">
        <v>174</v>
      </c>
      <c r="BM643" s="1" t="s">
        <v>74</v>
      </c>
      <c r="BN643" s="1" t="s">
        <v>74</v>
      </c>
      <c r="BO643" s="1" t="s">
        <v>163</v>
      </c>
      <c r="BP643" s="1" t="s">
        <v>74</v>
      </c>
      <c r="BQ643" s="1" t="s">
        <v>74</v>
      </c>
      <c r="BR643" s="1" t="s">
        <v>74</v>
      </c>
      <c r="BS643" s="1" t="s">
        <v>5829</v>
      </c>
      <c r="BT643" s="1" t="str">
        <f>HYPERLINK("https%3A%2F%2Fwww.webofscience.com%2Fwos%2Fwoscc%2Ffull-record%2FWOS:001495893800001","View Full Record in Web of Science")</f>
        <v>View Full Record in Web of Science</v>
      </c>
    </row>
    <row r="644" ht="12.75" customHeight="1">
      <c r="A644" s="1" t="s">
        <v>72</v>
      </c>
      <c r="B644" s="1" t="s">
        <v>5830</v>
      </c>
      <c r="C644" s="1" t="s">
        <v>74</v>
      </c>
      <c r="D644" s="1" t="s">
        <v>74</v>
      </c>
      <c r="E644" s="1" t="s">
        <v>74</v>
      </c>
      <c r="F644" s="1" t="s">
        <v>5831</v>
      </c>
      <c r="G644" s="1" t="s">
        <v>74</v>
      </c>
      <c r="H644" s="1" t="s">
        <v>74</v>
      </c>
      <c r="I644" s="1" t="s">
        <v>5832</v>
      </c>
      <c r="J644" s="1" t="s">
        <v>3882</v>
      </c>
      <c r="K644" s="1" t="s">
        <v>74</v>
      </c>
      <c r="L644" s="1" t="s">
        <v>74</v>
      </c>
      <c r="M644" s="1" t="s">
        <v>74</v>
      </c>
      <c r="N644" s="1" t="s">
        <v>158</v>
      </c>
      <c r="O644" s="1" t="s">
        <v>74</v>
      </c>
      <c r="P644" s="1" t="s">
        <v>74</v>
      </c>
      <c r="Q644" s="1" t="s">
        <v>74</v>
      </c>
      <c r="R644" s="1" t="s">
        <v>74</v>
      </c>
      <c r="S644" s="1" t="s">
        <v>74</v>
      </c>
      <c r="T644" s="1" t="s">
        <v>74</v>
      </c>
      <c r="U644" s="1" t="s">
        <v>74</v>
      </c>
      <c r="V644" s="1" t="s">
        <v>5833</v>
      </c>
      <c r="W644" s="1" t="s">
        <v>74</v>
      </c>
      <c r="X644" s="1" t="s">
        <v>74</v>
      </c>
      <c r="Y644" s="1" t="s">
        <v>74</v>
      </c>
      <c r="Z644" s="1" t="s">
        <v>74</v>
      </c>
      <c r="AA644" s="1" t="s">
        <v>74</v>
      </c>
      <c r="AB644" s="1" t="s">
        <v>74</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74</v>
      </c>
      <c r="AP644" s="1" t="s">
        <v>3885</v>
      </c>
      <c r="AQ644" s="1" t="s">
        <v>74</v>
      </c>
      <c r="AR644" s="1" t="s">
        <v>74</v>
      </c>
      <c r="AS644" s="1" t="s">
        <v>74</v>
      </c>
      <c r="AT644" s="1" t="s">
        <v>464</v>
      </c>
      <c r="AU644" s="1">
        <v>2024.0</v>
      </c>
      <c r="AV644" s="1">
        <v>6.0</v>
      </c>
      <c r="AW644" s="1">
        <v>8.0</v>
      </c>
      <c r="AX644" s="1" t="s">
        <v>74</v>
      </c>
      <c r="AY644" s="1" t="s">
        <v>74</v>
      </c>
      <c r="AZ644" s="1" t="s">
        <v>74</v>
      </c>
      <c r="BA644" s="1" t="s">
        <v>74</v>
      </c>
      <c r="BB644" s="1">
        <v>852.0</v>
      </c>
      <c r="BC644" s="1">
        <v>863.0</v>
      </c>
      <c r="BD644" s="1" t="s">
        <v>74</v>
      </c>
      <c r="BE644" s="1" t="s">
        <v>5834</v>
      </c>
      <c r="BF644" s="2" t="str">
        <f>HYPERLINK("http://dx.doi.org/10.1038/s42256-024-00881-z","http://dx.doi.org/10.1038/s42256-024-00881-z")</f>
        <v>http://dx.doi.org/10.1038/s42256-024-00881-z</v>
      </c>
      <c r="BG644" s="1" t="s">
        <v>74</v>
      </c>
      <c r="BH644" s="1" t="s">
        <v>3887</v>
      </c>
      <c r="BI644" s="1" t="s">
        <v>74</v>
      </c>
      <c r="BJ644" s="1" t="s">
        <v>74</v>
      </c>
      <c r="BK644" s="1" t="s">
        <v>74</v>
      </c>
      <c r="BL644" s="1" t="s">
        <v>174</v>
      </c>
      <c r="BM644" s="1" t="s">
        <v>74</v>
      </c>
      <c r="BN644" s="1" t="s">
        <v>74</v>
      </c>
      <c r="BO644" s="1" t="s">
        <v>74</v>
      </c>
      <c r="BP644" s="1" t="s">
        <v>74</v>
      </c>
      <c r="BQ644" s="1" t="s">
        <v>74</v>
      </c>
      <c r="BR644" s="1" t="s">
        <v>74</v>
      </c>
      <c r="BS644" s="1" t="s">
        <v>5835</v>
      </c>
      <c r="BT644" s="1" t="str">
        <f>HYPERLINK("https%3A%2F%2Fwww.webofscience.com%2Fwos%2Fwoscc%2Ffull-record%2FWOS:001296502400001","View Full Record in Web of Science")</f>
        <v>View Full Record in Web of Science</v>
      </c>
    </row>
    <row r="645" ht="12.75" customHeight="1">
      <c r="A645" s="1" t="s">
        <v>72</v>
      </c>
      <c r="B645" s="1" t="s">
        <v>5836</v>
      </c>
      <c r="C645" s="1" t="s">
        <v>74</v>
      </c>
      <c r="D645" s="1" t="s">
        <v>74</v>
      </c>
      <c r="E645" s="1" t="s">
        <v>74</v>
      </c>
      <c r="F645" s="1" t="s">
        <v>5837</v>
      </c>
      <c r="G645" s="1" t="s">
        <v>74</v>
      </c>
      <c r="H645" s="1" t="s">
        <v>74</v>
      </c>
      <c r="I645" s="1" t="s">
        <v>5838</v>
      </c>
      <c r="J645" s="1" t="s">
        <v>4203</v>
      </c>
      <c r="K645" s="1" t="s">
        <v>74</v>
      </c>
      <c r="L645" s="1" t="s">
        <v>74</v>
      </c>
      <c r="M645" s="1" t="s">
        <v>74</v>
      </c>
      <c r="N645" s="1" t="s">
        <v>78</v>
      </c>
      <c r="O645" s="1" t="s">
        <v>74</v>
      </c>
      <c r="P645" s="1" t="s">
        <v>74</v>
      </c>
      <c r="Q645" s="1" t="s">
        <v>74</v>
      </c>
      <c r="R645" s="1" t="s">
        <v>74</v>
      </c>
      <c r="S645" s="1" t="s">
        <v>74</v>
      </c>
      <c r="T645" s="1" t="s">
        <v>5839</v>
      </c>
      <c r="U645" s="1" t="s">
        <v>74</v>
      </c>
      <c r="V645" s="1" t="s">
        <v>5840</v>
      </c>
      <c r="W645" s="1" t="s">
        <v>74</v>
      </c>
      <c r="X645" s="1" t="s">
        <v>74</v>
      </c>
      <c r="Y645" s="1" t="s">
        <v>74</v>
      </c>
      <c r="Z645" s="1" t="s">
        <v>74</v>
      </c>
      <c r="AA645" s="1" t="s">
        <v>74</v>
      </c>
      <c r="AB645" s="1" t="s">
        <v>74</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4207</v>
      </c>
      <c r="AP645" s="1" t="s">
        <v>4208</v>
      </c>
      <c r="AQ645" s="1" t="s">
        <v>74</v>
      </c>
      <c r="AR645" s="1" t="s">
        <v>74</v>
      </c>
      <c r="AS645" s="1" t="s">
        <v>74</v>
      </c>
      <c r="AT645" s="1" t="s">
        <v>225</v>
      </c>
      <c r="AU645" s="1">
        <v>2024.0</v>
      </c>
      <c r="AV645" s="1">
        <v>29.0</v>
      </c>
      <c r="AW645" s="1">
        <v>4.0</v>
      </c>
      <c r="AX645" s="1" t="s">
        <v>74</v>
      </c>
      <c r="AY645" s="1" t="s">
        <v>74</v>
      </c>
      <c r="AZ645" s="1" t="s">
        <v>74</v>
      </c>
      <c r="BA645" s="1" t="s">
        <v>74</v>
      </c>
      <c r="BB645" s="1" t="s">
        <v>74</v>
      </c>
      <c r="BC645" s="1" t="s">
        <v>74</v>
      </c>
      <c r="BD645" s="1">
        <v>77.0</v>
      </c>
      <c r="BE645" s="1" t="s">
        <v>5841</v>
      </c>
      <c r="BF645" s="2" t="str">
        <f>HYPERLINK("http://dx.doi.org/10.1007/s10664-024-10468-2","http://dx.doi.org/10.1007/s10664-024-10468-2")</f>
        <v>http://dx.doi.org/10.1007/s10664-024-10468-2</v>
      </c>
      <c r="BG645" s="1" t="s">
        <v>74</v>
      </c>
      <c r="BH645" s="1" t="s">
        <v>74</v>
      </c>
      <c r="BI645" s="1" t="s">
        <v>74</v>
      </c>
      <c r="BJ645" s="1" t="s">
        <v>74</v>
      </c>
      <c r="BK645" s="1" t="s">
        <v>74</v>
      </c>
      <c r="BL645" s="1" t="s">
        <v>174</v>
      </c>
      <c r="BM645" s="1" t="s">
        <v>74</v>
      </c>
      <c r="BN645" s="1" t="s">
        <v>74</v>
      </c>
      <c r="BO645" s="1" t="s">
        <v>576</v>
      </c>
      <c r="BP645" s="1" t="s">
        <v>74</v>
      </c>
      <c r="BQ645" s="1" t="s">
        <v>74</v>
      </c>
      <c r="BR645" s="1" t="s">
        <v>74</v>
      </c>
      <c r="BS645" s="1" t="s">
        <v>5842</v>
      </c>
      <c r="BT645" s="1" t="str">
        <f>HYPERLINK("https%3A%2F%2Fwww.webofscience.com%2Fwos%2Fwoscc%2Ffull-record%2FWOS:001237860400002","View Full Record in Web of Science")</f>
        <v>View Full Record in Web of Science</v>
      </c>
    </row>
    <row r="646" ht="12.75" customHeight="1">
      <c r="A646" s="1" t="s">
        <v>72</v>
      </c>
      <c r="B646" s="1" t="s">
        <v>5843</v>
      </c>
      <c r="C646" s="1" t="s">
        <v>74</v>
      </c>
      <c r="D646" s="1" t="s">
        <v>74</v>
      </c>
      <c r="E646" s="1" t="s">
        <v>74</v>
      </c>
      <c r="F646" s="1" t="s">
        <v>5844</v>
      </c>
      <c r="G646" s="1" t="s">
        <v>74</v>
      </c>
      <c r="H646" s="1" t="s">
        <v>74</v>
      </c>
      <c r="I646" s="1" t="s">
        <v>5845</v>
      </c>
      <c r="J646" s="1" t="s">
        <v>1376</v>
      </c>
      <c r="K646" s="1" t="s">
        <v>74</v>
      </c>
      <c r="L646" s="1" t="s">
        <v>74</v>
      </c>
      <c r="M646" s="1" t="s">
        <v>74</v>
      </c>
      <c r="N646" s="1" t="s">
        <v>78</v>
      </c>
      <c r="O646" s="1" t="s">
        <v>74</v>
      </c>
      <c r="P646" s="1" t="s">
        <v>74</v>
      </c>
      <c r="Q646" s="1" t="s">
        <v>74</v>
      </c>
      <c r="R646" s="1" t="s">
        <v>74</v>
      </c>
      <c r="S646" s="1" t="s">
        <v>74</v>
      </c>
      <c r="T646" s="1" t="s">
        <v>5846</v>
      </c>
      <c r="U646" s="1" t="s">
        <v>74</v>
      </c>
      <c r="V646" s="1" t="s">
        <v>5847</v>
      </c>
      <c r="W646" s="1" t="s">
        <v>74</v>
      </c>
      <c r="X646" s="1" t="s">
        <v>74</v>
      </c>
      <c r="Y646" s="1" t="s">
        <v>74</v>
      </c>
      <c r="Z646" s="1" t="s">
        <v>74</v>
      </c>
      <c r="AA646" s="1" t="s">
        <v>74</v>
      </c>
      <c r="AB646" s="1" t="s">
        <v>74</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74</v>
      </c>
      <c r="AP646" s="1" t="s">
        <v>2256</v>
      </c>
      <c r="AQ646" s="1" t="s">
        <v>74</v>
      </c>
      <c r="AR646" s="1" t="s">
        <v>74</v>
      </c>
      <c r="AS646" s="1" t="s">
        <v>74</v>
      </c>
      <c r="AT646" s="1" t="s">
        <v>5848</v>
      </c>
      <c r="AU646" s="1">
        <v>2025.0</v>
      </c>
      <c r="AV646" s="1">
        <v>6.0</v>
      </c>
      <c r="AW646" s="1">
        <v>11.0</v>
      </c>
      <c r="AX646" s="1" t="s">
        <v>74</v>
      </c>
      <c r="AY646" s="1" t="s">
        <v>74</v>
      </c>
      <c r="AZ646" s="1" t="s">
        <v>74</v>
      </c>
      <c r="BA646" s="1" t="s">
        <v>74</v>
      </c>
      <c r="BB646" s="1" t="s">
        <v>74</v>
      </c>
      <c r="BC646" s="1" t="s">
        <v>74</v>
      </c>
      <c r="BD646" s="1">
        <v>294.0</v>
      </c>
      <c r="BE646" s="1" t="s">
        <v>5849</v>
      </c>
      <c r="BF646" s="2" t="str">
        <f>HYPERLINK("http://dx.doi.org/10.3390/ai6110294","http://dx.doi.org/10.3390/ai6110294")</f>
        <v>http://dx.doi.org/10.3390/ai6110294</v>
      </c>
      <c r="BG646" s="1" t="s">
        <v>74</v>
      </c>
      <c r="BH646" s="1" t="s">
        <v>74</v>
      </c>
      <c r="BI646" s="1" t="s">
        <v>74</v>
      </c>
      <c r="BJ646" s="1" t="s">
        <v>74</v>
      </c>
      <c r="BK646" s="1" t="s">
        <v>74</v>
      </c>
      <c r="BL646" s="1" t="s">
        <v>174</v>
      </c>
      <c r="BM646" s="1" t="s">
        <v>74</v>
      </c>
      <c r="BN646" s="1" t="s">
        <v>74</v>
      </c>
      <c r="BO646" s="1" t="s">
        <v>163</v>
      </c>
      <c r="BP646" s="1" t="s">
        <v>74</v>
      </c>
      <c r="BQ646" s="1" t="s">
        <v>74</v>
      </c>
      <c r="BR646" s="1" t="s">
        <v>74</v>
      </c>
      <c r="BS646" s="1" t="s">
        <v>5850</v>
      </c>
      <c r="BT646" s="1" t="str">
        <f>HYPERLINK("https%3A%2F%2Fwww.webofscience.com%2Fwos%2Fwoscc%2Ffull-record%2FWOS:001623343900001","View Full Record in Web of Science")</f>
        <v>View Full Record in Web of Science</v>
      </c>
    </row>
    <row r="647" ht="12.75" customHeight="1">
      <c r="A647" s="1" t="s">
        <v>72</v>
      </c>
      <c r="B647" s="1" t="s">
        <v>5851</v>
      </c>
      <c r="C647" s="1" t="s">
        <v>74</v>
      </c>
      <c r="D647" s="1" t="s">
        <v>74</v>
      </c>
      <c r="E647" s="1" t="s">
        <v>74</v>
      </c>
      <c r="F647" s="1" t="s">
        <v>5852</v>
      </c>
      <c r="G647" s="1" t="s">
        <v>74</v>
      </c>
      <c r="H647" s="1" t="s">
        <v>74</v>
      </c>
      <c r="I647" s="1" t="s">
        <v>5853</v>
      </c>
      <c r="J647" s="1" t="s">
        <v>5854</v>
      </c>
      <c r="K647" s="1" t="s">
        <v>74</v>
      </c>
      <c r="L647" s="1" t="s">
        <v>74</v>
      </c>
      <c r="M647" s="1" t="s">
        <v>74</v>
      </c>
      <c r="N647" s="1" t="s">
        <v>78</v>
      </c>
      <c r="O647" s="1" t="s">
        <v>74</v>
      </c>
      <c r="P647" s="1" t="s">
        <v>74</v>
      </c>
      <c r="Q647" s="1" t="s">
        <v>74</v>
      </c>
      <c r="R647" s="1" t="s">
        <v>74</v>
      </c>
      <c r="S647" s="1" t="s">
        <v>74</v>
      </c>
      <c r="T647" s="1" t="s">
        <v>5855</v>
      </c>
      <c r="U647" s="1" t="s">
        <v>74</v>
      </c>
      <c r="V647" s="1" t="s">
        <v>5856</v>
      </c>
      <c r="W647" s="1" t="s">
        <v>74</v>
      </c>
      <c r="X647" s="1" t="s">
        <v>74</v>
      </c>
      <c r="Y647" s="1" t="s">
        <v>74</v>
      </c>
      <c r="Z647" s="1" t="s">
        <v>74</v>
      </c>
      <c r="AA647" s="1" t="s">
        <v>74</v>
      </c>
      <c r="AB647" s="1" t="s">
        <v>74</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5857</v>
      </c>
      <c r="AP647" s="1" t="s">
        <v>5858</v>
      </c>
      <c r="AQ647" s="1" t="s">
        <v>74</v>
      </c>
      <c r="AR647" s="1" t="s">
        <v>74</v>
      </c>
      <c r="AS647" s="1" t="s">
        <v>74</v>
      </c>
      <c r="AT647" s="1" t="s">
        <v>736</v>
      </c>
      <c r="AU647" s="1">
        <v>2025.0</v>
      </c>
      <c r="AV647" s="1">
        <v>35.0</v>
      </c>
      <c r="AW647" s="1">
        <v>1.0</v>
      </c>
      <c r="AX647" s="1" t="s">
        <v>74</v>
      </c>
      <c r="AY647" s="1" t="s">
        <v>74</v>
      </c>
      <c r="AZ647" s="1" t="s">
        <v>74</v>
      </c>
      <c r="BA647" s="1" t="s">
        <v>74</v>
      </c>
      <c r="BB647" s="1" t="s">
        <v>74</v>
      </c>
      <c r="BC647" s="1" t="s">
        <v>74</v>
      </c>
      <c r="BD647" s="1" t="s">
        <v>74</v>
      </c>
      <c r="BE647" s="1" t="s">
        <v>5859</v>
      </c>
      <c r="BF647" s="2" t="str">
        <f>HYPERLINK("http://dx.doi.org/10.1002/nem.2292","http://dx.doi.org/10.1002/nem.2292")</f>
        <v>http://dx.doi.org/10.1002/nem.2292</v>
      </c>
      <c r="BG647" s="1" t="s">
        <v>74</v>
      </c>
      <c r="BH647" s="1" t="s">
        <v>545</v>
      </c>
      <c r="BI647" s="1" t="s">
        <v>74</v>
      </c>
      <c r="BJ647" s="1" t="s">
        <v>74</v>
      </c>
      <c r="BK647" s="1" t="s">
        <v>74</v>
      </c>
      <c r="BL647" s="1" t="s">
        <v>394</v>
      </c>
      <c r="BM647" s="1" t="s">
        <v>74</v>
      </c>
      <c r="BN647" s="1" t="s">
        <v>74</v>
      </c>
      <c r="BO647" s="1" t="s">
        <v>74</v>
      </c>
      <c r="BP647" s="1" t="s">
        <v>74</v>
      </c>
      <c r="BQ647" s="1" t="s">
        <v>74</v>
      </c>
      <c r="BR647" s="1" t="s">
        <v>74</v>
      </c>
      <c r="BS647" s="1" t="s">
        <v>5860</v>
      </c>
      <c r="BT647" s="1" t="str">
        <f>HYPERLINK("https%3A%2F%2Fwww.webofscience.com%2Fwos%2Fwoscc%2Ffull-record%2FWOS:001279114800001","View Full Record in Web of Science")</f>
        <v>View Full Record in Web of Science</v>
      </c>
    </row>
    <row r="648" ht="12.75" customHeight="1">
      <c r="A648" s="1" t="s">
        <v>72</v>
      </c>
      <c r="B648" s="1" t="s">
        <v>5861</v>
      </c>
      <c r="C648" s="1" t="s">
        <v>74</v>
      </c>
      <c r="D648" s="1" t="s">
        <v>74</v>
      </c>
      <c r="E648" s="1" t="s">
        <v>74</v>
      </c>
      <c r="F648" s="1" t="s">
        <v>5862</v>
      </c>
      <c r="G648" s="1" t="s">
        <v>74</v>
      </c>
      <c r="H648" s="1" t="s">
        <v>74</v>
      </c>
      <c r="I648" s="1" t="s">
        <v>5863</v>
      </c>
      <c r="J648" s="1" t="s">
        <v>2572</v>
      </c>
      <c r="K648" s="1" t="s">
        <v>74</v>
      </c>
      <c r="L648" s="1" t="s">
        <v>74</v>
      </c>
      <c r="M648" s="1" t="s">
        <v>74</v>
      </c>
      <c r="N648" s="1" t="s">
        <v>78</v>
      </c>
      <c r="O648" s="1" t="s">
        <v>74</v>
      </c>
      <c r="P648" s="1" t="s">
        <v>74</v>
      </c>
      <c r="Q648" s="1" t="s">
        <v>74</v>
      </c>
      <c r="R648" s="1" t="s">
        <v>74</v>
      </c>
      <c r="S648" s="1" t="s">
        <v>74</v>
      </c>
      <c r="T648" s="1" t="s">
        <v>5864</v>
      </c>
      <c r="U648" s="1" t="s">
        <v>5865</v>
      </c>
      <c r="V648" s="1" t="s">
        <v>5866</v>
      </c>
      <c r="W648" s="1" t="s">
        <v>74</v>
      </c>
      <c r="X648" s="1" t="s">
        <v>74</v>
      </c>
      <c r="Y648" s="1" t="s">
        <v>74</v>
      </c>
      <c r="Z648" s="1" t="s">
        <v>74</v>
      </c>
      <c r="AA648" s="1" t="s">
        <v>74</v>
      </c>
      <c r="AB648" s="1" t="s">
        <v>74</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2575</v>
      </c>
      <c r="AP648" s="1" t="s">
        <v>74</v>
      </c>
      <c r="AQ648" s="1" t="s">
        <v>74</v>
      </c>
      <c r="AR648" s="1" t="s">
        <v>74</v>
      </c>
      <c r="AS648" s="1" t="s">
        <v>74</v>
      </c>
      <c r="AT648" s="1" t="s">
        <v>4817</v>
      </c>
      <c r="AU648" s="1">
        <v>2025.0</v>
      </c>
      <c r="AV648" s="1">
        <v>12.0</v>
      </c>
      <c r="AW648" s="1">
        <v>19.0</v>
      </c>
      <c r="AX648" s="1" t="s">
        <v>74</v>
      </c>
      <c r="AY648" s="1" t="s">
        <v>74</v>
      </c>
      <c r="AZ648" s="1" t="s">
        <v>74</v>
      </c>
      <c r="BA648" s="1" t="s">
        <v>74</v>
      </c>
      <c r="BB648" s="1">
        <v>39247.0</v>
      </c>
      <c r="BC648" s="1">
        <v>39259.0</v>
      </c>
      <c r="BD648" s="1" t="s">
        <v>74</v>
      </c>
      <c r="BE648" s="1" t="s">
        <v>5867</v>
      </c>
      <c r="BF648" s="2" t="str">
        <f>HYPERLINK("http://dx.doi.org/10.1109/JIOT.2025.3572901","http://dx.doi.org/10.1109/JIOT.2025.3572901")</f>
        <v>http://dx.doi.org/10.1109/JIOT.2025.3572901</v>
      </c>
      <c r="BG648" s="1" t="s">
        <v>74</v>
      </c>
      <c r="BH648" s="1" t="s">
        <v>74</v>
      </c>
      <c r="BI648" s="1" t="s">
        <v>74</v>
      </c>
      <c r="BJ648" s="1" t="s">
        <v>74</v>
      </c>
      <c r="BK648" s="1" t="s">
        <v>74</v>
      </c>
      <c r="BL648" s="1" t="s">
        <v>152</v>
      </c>
      <c r="BM648" s="1" t="s">
        <v>74</v>
      </c>
      <c r="BN648" s="1" t="s">
        <v>74</v>
      </c>
      <c r="BO648" s="1" t="s">
        <v>74</v>
      </c>
      <c r="BP648" s="1" t="s">
        <v>74</v>
      </c>
      <c r="BQ648" s="1" t="s">
        <v>74</v>
      </c>
      <c r="BR648" s="1" t="s">
        <v>74</v>
      </c>
      <c r="BS648" s="1" t="s">
        <v>5868</v>
      </c>
      <c r="BT648" s="1" t="str">
        <f>HYPERLINK("https%3A%2F%2Fwww.webofscience.com%2Fwos%2Fwoscc%2Ffull-record%2FWOS:001579048500020","View Full Record in Web of Science")</f>
        <v>View Full Record in Web of Science</v>
      </c>
    </row>
    <row r="649" ht="12.75" customHeight="1">
      <c r="A649" s="1" t="s">
        <v>72</v>
      </c>
      <c r="B649" s="1" t="s">
        <v>5869</v>
      </c>
      <c r="C649" s="1" t="s">
        <v>74</v>
      </c>
      <c r="D649" s="1" t="s">
        <v>74</v>
      </c>
      <c r="E649" s="1" t="s">
        <v>74</v>
      </c>
      <c r="F649" s="1" t="s">
        <v>5870</v>
      </c>
      <c r="G649" s="1" t="s">
        <v>74</v>
      </c>
      <c r="H649" s="1" t="s">
        <v>74</v>
      </c>
      <c r="I649" s="1" t="s">
        <v>5871</v>
      </c>
      <c r="J649" s="1" t="s">
        <v>1580</v>
      </c>
      <c r="K649" s="1" t="s">
        <v>74</v>
      </c>
      <c r="L649" s="1" t="s">
        <v>74</v>
      </c>
      <c r="M649" s="1" t="s">
        <v>74</v>
      </c>
      <c r="N649" s="1" t="s">
        <v>78</v>
      </c>
      <c r="O649" s="1" t="s">
        <v>74</v>
      </c>
      <c r="P649" s="1" t="s">
        <v>74</v>
      </c>
      <c r="Q649" s="1" t="s">
        <v>74</v>
      </c>
      <c r="R649" s="1" t="s">
        <v>74</v>
      </c>
      <c r="S649" s="1" t="s">
        <v>74</v>
      </c>
      <c r="T649" s="1" t="s">
        <v>5872</v>
      </c>
      <c r="U649" s="1" t="s">
        <v>74</v>
      </c>
      <c r="V649" s="1" t="s">
        <v>5873</v>
      </c>
      <c r="W649" s="1" t="s">
        <v>74</v>
      </c>
      <c r="X649" s="1" t="s">
        <v>74</v>
      </c>
      <c r="Y649" s="1" t="s">
        <v>74</v>
      </c>
      <c r="Z649" s="1" t="s">
        <v>74</v>
      </c>
      <c r="AA649" s="1" t="s">
        <v>74</v>
      </c>
      <c r="AB649" s="1" t="s">
        <v>74</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1583</v>
      </c>
      <c r="AP649" s="1" t="s">
        <v>1584</v>
      </c>
      <c r="AQ649" s="1" t="s">
        <v>74</v>
      </c>
      <c r="AR649" s="1" t="s">
        <v>74</v>
      </c>
      <c r="AS649" s="1" t="s">
        <v>74</v>
      </c>
      <c r="AT649" s="1" t="s">
        <v>124</v>
      </c>
      <c r="AU649" s="1">
        <v>2025.0</v>
      </c>
      <c r="AV649" s="1">
        <v>174.0</v>
      </c>
      <c r="AW649" s="1" t="s">
        <v>74</v>
      </c>
      <c r="AX649" s="1" t="s">
        <v>74</v>
      </c>
      <c r="AY649" s="1" t="s">
        <v>74</v>
      </c>
      <c r="AZ649" s="1" t="s">
        <v>74</v>
      </c>
      <c r="BA649" s="1" t="s">
        <v>74</v>
      </c>
      <c r="BB649" s="1" t="s">
        <v>74</v>
      </c>
      <c r="BC649" s="1" t="s">
        <v>74</v>
      </c>
      <c r="BD649" s="1">
        <v>112973.0</v>
      </c>
      <c r="BE649" s="1" t="s">
        <v>5874</v>
      </c>
      <c r="BF649" s="2" t="str">
        <f>HYPERLINK("http://dx.doi.org/10.1016/j.asoc.2025.112973","http://dx.doi.org/10.1016/j.asoc.2025.112973")</f>
        <v>http://dx.doi.org/10.1016/j.asoc.2025.112973</v>
      </c>
      <c r="BG649" s="1" t="s">
        <v>74</v>
      </c>
      <c r="BH649" s="1" t="s">
        <v>347</v>
      </c>
      <c r="BI649" s="1" t="s">
        <v>74</v>
      </c>
      <c r="BJ649" s="1" t="s">
        <v>74</v>
      </c>
      <c r="BK649" s="1" t="s">
        <v>74</v>
      </c>
      <c r="BL649" s="1" t="s">
        <v>174</v>
      </c>
      <c r="BM649" s="1" t="s">
        <v>74</v>
      </c>
      <c r="BN649" s="1" t="s">
        <v>74</v>
      </c>
      <c r="BO649" s="1" t="s">
        <v>114</v>
      </c>
      <c r="BP649" s="1" t="s">
        <v>74</v>
      </c>
      <c r="BQ649" s="1" t="s">
        <v>74</v>
      </c>
      <c r="BR649" s="1" t="s">
        <v>74</v>
      </c>
      <c r="BS649" s="1" t="s">
        <v>5875</v>
      </c>
      <c r="BT649" s="1" t="str">
        <f>HYPERLINK("https%3A%2F%2Fwww.webofscience.com%2Fwos%2Fwoscc%2Ffull-record%2FWOS:001450124700001","View Full Record in Web of Science")</f>
        <v>View Full Record in Web of Science</v>
      </c>
    </row>
    <row r="650" ht="12.75" customHeight="1">
      <c r="A650" s="1" t="s">
        <v>72</v>
      </c>
      <c r="B650" s="1" t="s">
        <v>5876</v>
      </c>
      <c r="C650" s="1" t="s">
        <v>74</v>
      </c>
      <c r="D650" s="1" t="s">
        <v>74</v>
      </c>
      <c r="E650" s="1" t="s">
        <v>74</v>
      </c>
      <c r="F650" s="1" t="s">
        <v>5877</v>
      </c>
      <c r="G650" s="1" t="s">
        <v>74</v>
      </c>
      <c r="H650" s="1" t="s">
        <v>74</v>
      </c>
      <c r="I650" s="1" t="s">
        <v>5878</v>
      </c>
      <c r="J650" s="1" t="s">
        <v>281</v>
      </c>
      <c r="K650" s="1" t="s">
        <v>74</v>
      </c>
      <c r="L650" s="1" t="s">
        <v>74</v>
      </c>
      <c r="M650" s="1" t="s">
        <v>74</v>
      </c>
      <c r="N650" s="1" t="s">
        <v>78</v>
      </c>
      <c r="O650" s="1" t="s">
        <v>74</v>
      </c>
      <c r="P650" s="1" t="s">
        <v>74</v>
      </c>
      <c r="Q650" s="1" t="s">
        <v>74</v>
      </c>
      <c r="R650" s="1" t="s">
        <v>74</v>
      </c>
      <c r="S650" s="1" t="s">
        <v>74</v>
      </c>
      <c r="T650" s="1" t="s">
        <v>5879</v>
      </c>
      <c r="U650" s="1" t="s">
        <v>74</v>
      </c>
      <c r="V650" s="1" t="s">
        <v>5880</v>
      </c>
      <c r="W650" s="1" t="s">
        <v>74</v>
      </c>
      <c r="X650" s="1" t="s">
        <v>74</v>
      </c>
      <c r="Y650" s="1" t="s">
        <v>74</v>
      </c>
      <c r="Z650" s="1" t="s">
        <v>74</v>
      </c>
      <c r="AA650" s="1" t="s">
        <v>74</v>
      </c>
      <c r="AB650" s="1" t="s">
        <v>74</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285</v>
      </c>
      <c r="AP650" s="1" t="s">
        <v>286</v>
      </c>
      <c r="AQ650" s="1" t="s">
        <v>74</v>
      </c>
      <c r="AR650" s="1" t="s">
        <v>74</v>
      </c>
      <c r="AS650" s="1" t="s">
        <v>74</v>
      </c>
      <c r="AT650" s="1" t="s">
        <v>5881</v>
      </c>
      <c r="AU650" s="1">
        <v>2024.0</v>
      </c>
      <c r="AV650" s="1">
        <v>32.0</v>
      </c>
      <c r="AW650" s="1">
        <v>1.0</v>
      </c>
      <c r="AX650" s="1" t="s">
        <v>74</v>
      </c>
      <c r="AY650" s="1" t="s">
        <v>74</v>
      </c>
      <c r="AZ650" s="1" t="s">
        <v>74</v>
      </c>
      <c r="BA650" s="1" t="s">
        <v>74</v>
      </c>
      <c r="BB650" s="1">
        <v>129.0</v>
      </c>
      <c r="BC650" s="1">
        <v>138.0</v>
      </c>
      <c r="BD650" s="1" t="s">
        <v>74</v>
      </c>
      <c r="BE650" s="1" t="s">
        <v>5882</v>
      </c>
      <c r="BF650" s="2" t="str">
        <f>HYPERLINK("http://dx.doi.org/10.1093/jamia/ocae284","http://dx.doi.org/10.1093/jamia/ocae284")</f>
        <v>http://dx.doi.org/10.1093/jamia/ocae284</v>
      </c>
      <c r="BG650" s="1" t="s">
        <v>74</v>
      </c>
      <c r="BH650" s="1" t="s">
        <v>2216</v>
      </c>
      <c r="BI650" s="1" t="s">
        <v>74</v>
      </c>
      <c r="BJ650" s="1" t="s">
        <v>74</v>
      </c>
      <c r="BK650" s="1" t="s">
        <v>74</v>
      </c>
      <c r="BL650" s="1" t="s">
        <v>291</v>
      </c>
      <c r="BM650" s="1" t="s">
        <v>74</v>
      </c>
      <c r="BN650" s="1" t="s">
        <v>74</v>
      </c>
      <c r="BO650" s="1" t="s">
        <v>127</v>
      </c>
      <c r="BP650" s="1" t="s">
        <v>74</v>
      </c>
      <c r="BQ650" s="1" t="s">
        <v>74</v>
      </c>
      <c r="BR650" s="1" t="s">
        <v>74</v>
      </c>
      <c r="BS650" s="1" t="s">
        <v>5883</v>
      </c>
      <c r="BT650" s="1" t="str">
        <f>HYPERLINK("https%3A%2F%2Fwww.webofscience.com%2Fwos%2Fwoscc%2Ffull-record%2FWOS:001354233600001","View Full Record in Web of Science")</f>
        <v>View Full Record in Web of Science</v>
      </c>
    </row>
    <row r="651" ht="12.75" customHeight="1">
      <c r="A651" s="1" t="s">
        <v>72</v>
      </c>
      <c r="B651" s="1" t="s">
        <v>5884</v>
      </c>
      <c r="C651" s="1" t="s">
        <v>74</v>
      </c>
      <c r="D651" s="1" t="s">
        <v>74</v>
      </c>
      <c r="E651" s="1" t="s">
        <v>74</v>
      </c>
      <c r="F651" s="1" t="s">
        <v>5885</v>
      </c>
      <c r="G651" s="1" t="s">
        <v>74</v>
      </c>
      <c r="H651" s="1" t="s">
        <v>74</v>
      </c>
      <c r="I651" s="1" t="s">
        <v>5886</v>
      </c>
      <c r="J651" s="1" t="s">
        <v>147</v>
      </c>
      <c r="K651" s="1" t="s">
        <v>74</v>
      </c>
      <c r="L651" s="1" t="s">
        <v>74</v>
      </c>
      <c r="M651" s="1" t="s">
        <v>74</v>
      </c>
      <c r="N651" s="1" t="s">
        <v>78</v>
      </c>
      <c r="O651" s="1" t="s">
        <v>74</v>
      </c>
      <c r="P651" s="1" t="s">
        <v>74</v>
      </c>
      <c r="Q651" s="1" t="s">
        <v>74</v>
      </c>
      <c r="R651" s="1" t="s">
        <v>74</v>
      </c>
      <c r="S651" s="1" t="s">
        <v>74</v>
      </c>
      <c r="T651" s="1" t="s">
        <v>5887</v>
      </c>
      <c r="U651" s="1" t="s">
        <v>74</v>
      </c>
      <c r="V651" s="1" t="s">
        <v>5888</v>
      </c>
      <c r="W651" s="1" t="s">
        <v>74</v>
      </c>
      <c r="X651" s="1" t="s">
        <v>74</v>
      </c>
      <c r="Y651" s="1" t="s">
        <v>74</v>
      </c>
      <c r="Z651" s="1" t="s">
        <v>74</v>
      </c>
      <c r="AA651" s="1" t="s">
        <v>74</v>
      </c>
      <c r="AB651" s="1" t="s">
        <v>74</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150</v>
      </c>
      <c r="AP651" s="1" t="s">
        <v>74</v>
      </c>
      <c r="AQ651" s="1" t="s">
        <v>74</v>
      </c>
      <c r="AR651" s="1" t="s">
        <v>74</v>
      </c>
      <c r="AS651" s="1" t="s">
        <v>74</v>
      </c>
      <c r="AT651" s="1" t="s">
        <v>74</v>
      </c>
      <c r="AU651" s="1">
        <v>2025.0</v>
      </c>
      <c r="AV651" s="1">
        <v>13.0</v>
      </c>
      <c r="AW651" s="1" t="s">
        <v>74</v>
      </c>
      <c r="AX651" s="1" t="s">
        <v>74</v>
      </c>
      <c r="AY651" s="1" t="s">
        <v>74</v>
      </c>
      <c r="AZ651" s="1" t="s">
        <v>74</v>
      </c>
      <c r="BA651" s="1" t="s">
        <v>74</v>
      </c>
      <c r="BB651" s="1">
        <v>202758.0</v>
      </c>
      <c r="BC651" s="1">
        <v>202778.0</v>
      </c>
      <c r="BD651" s="1" t="s">
        <v>74</v>
      </c>
      <c r="BE651" s="1" t="s">
        <v>5889</v>
      </c>
      <c r="BF651" s="2" t="str">
        <f>HYPERLINK("http://dx.doi.org/10.1109/ACCESS.2025.3629527","http://dx.doi.org/10.1109/ACCESS.2025.3629527")</f>
        <v>http://dx.doi.org/10.1109/ACCESS.2025.3629527</v>
      </c>
      <c r="BG651" s="1" t="s">
        <v>74</v>
      </c>
      <c r="BH651" s="1" t="s">
        <v>74</v>
      </c>
      <c r="BI651" s="1" t="s">
        <v>74</v>
      </c>
      <c r="BJ651" s="1" t="s">
        <v>74</v>
      </c>
      <c r="BK651" s="1" t="s">
        <v>74</v>
      </c>
      <c r="BL651" s="1" t="s">
        <v>152</v>
      </c>
      <c r="BM651" s="1" t="s">
        <v>74</v>
      </c>
      <c r="BN651" s="1" t="s">
        <v>74</v>
      </c>
      <c r="BO651" s="1" t="s">
        <v>153</v>
      </c>
      <c r="BP651" s="1" t="s">
        <v>74</v>
      </c>
      <c r="BQ651" s="1" t="s">
        <v>74</v>
      </c>
      <c r="BR651" s="1" t="s">
        <v>74</v>
      </c>
      <c r="BS651" s="1" t="s">
        <v>5890</v>
      </c>
      <c r="BT651" s="1" t="str">
        <f>HYPERLINK("https%3A%2F%2Fwww.webofscience.com%2Fwos%2Fwoscc%2Ffull-record%2FWOS:001631894000022","View Full Record in Web of Science")</f>
        <v>View Full Record in Web of Science</v>
      </c>
    </row>
    <row r="652" ht="12.75" customHeight="1">
      <c r="A652" s="1" t="s">
        <v>72</v>
      </c>
      <c r="B652" s="1" t="s">
        <v>5891</v>
      </c>
      <c r="C652" s="1" t="s">
        <v>74</v>
      </c>
      <c r="D652" s="1" t="s">
        <v>74</v>
      </c>
      <c r="E652" s="1" t="s">
        <v>74</v>
      </c>
      <c r="F652" s="1" t="s">
        <v>5892</v>
      </c>
      <c r="G652" s="1" t="s">
        <v>74</v>
      </c>
      <c r="H652" s="1" t="s">
        <v>74</v>
      </c>
      <c r="I652" s="1" t="s">
        <v>5893</v>
      </c>
      <c r="J652" s="1" t="s">
        <v>5894</v>
      </c>
      <c r="K652" s="1" t="s">
        <v>74</v>
      </c>
      <c r="L652" s="1" t="s">
        <v>74</v>
      </c>
      <c r="M652" s="1" t="s">
        <v>74</v>
      </c>
      <c r="N652" s="1" t="s">
        <v>78</v>
      </c>
      <c r="O652" s="1" t="s">
        <v>74</v>
      </c>
      <c r="P652" s="1" t="s">
        <v>74</v>
      </c>
      <c r="Q652" s="1" t="s">
        <v>74</v>
      </c>
      <c r="R652" s="1" t="s">
        <v>74</v>
      </c>
      <c r="S652" s="1" t="s">
        <v>74</v>
      </c>
      <c r="T652" s="1" t="s">
        <v>5895</v>
      </c>
      <c r="U652" s="1" t="s">
        <v>5896</v>
      </c>
      <c r="V652" s="1" t="s">
        <v>5897</v>
      </c>
      <c r="W652" s="1" t="s">
        <v>74</v>
      </c>
      <c r="X652" s="1" t="s">
        <v>74</v>
      </c>
      <c r="Y652" s="1" t="s">
        <v>74</v>
      </c>
      <c r="Z652" s="1" t="s">
        <v>74</v>
      </c>
      <c r="AA652" s="1" t="s">
        <v>74</v>
      </c>
      <c r="AB652" s="1" t="s">
        <v>74</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5898</v>
      </c>
      <c r="AP652" s="1" t="s">
        <v>5899</v>
      </c>
      <c r="AQ652" s="1" t="s">
        <v>74</v>
      </c>
      <c r="AR652" s="1" t="s">
        <v>74</v>
      </c>
      <c r="AS652" s="1" t="s">
        <v>74</v>
      </c>
      <c r="AT652" s="1" t="s">
        <v>139</v>
      </c>
      <c r="AU652" s="1">
        <v>2026.0</v>
      </c>
      <c r="AV652" s="1">
        <v>133.0</v>
      </c>
      <c r="AW652" s="1" t="s">
        <v>74</v>
      </c>
      <c r="AX652" s="1" t="s">
        <v>74</v>
      </c>
      <c r="AY652" s="1" t="s">
        <v>74</v>
      </c>
      <c r="AZ652" s="1" t="s">
        <v>74</v>
      </c>
      <c r="BA652" s="1" t="s">
        <v>74</v>
      </c>
      <c r="BB652" s="1" t="s">
        <v>74</v>
      </c>
      <c r="BC652" s="1" t="s">
        <v>74</v>
      </c>
      <c r="BD652" s="1">
        <v>104397.0</v>
      </c>
      <c r="BE652" s="1" t="s">
        <v>5900</v>
      </c>
      <c r="BF652" s="2" t="str">
        <f>HYPERLINK("http://dx.doi.org/10.1016/j.ijhm.2025.104397","http://dx.doi.org/10.1016/j.ijhm.2025.104397")</f>
        <v>http://dx.doi.org/10.1016/j.ijhm.2025.104397</v>
      </c>
      <c r="BG652" s="1" t="s">
        <v>74</v>
      </c>
      <c r="BH652" s="1" t="s">
        <v>738</v>
      </c>
      <c r="BI652" s="1" t="s">
        <v>74</v>
      </c>
      <c r="BJ652" s="1" t="s">
        <v>74</v>
      </c>
      <c r="BK652" s="1" t="s">
        <v>74</v>
      </c>
      <c r="BL652" s="1" t="s">
        <v>615</v>
      </c>
      <c r="BM652" s="1" t="s">
        <v>74</v>
      </c>
      <c r="BN652" s="1" t="s">
        <v>74</v>
      </c>
      <c r="BO652" s="1" t="s">
        <v>74</v>
      </c>
      <c r="BP652" s="1" t="s">
        <v>74</v>
      </c>
      <c r="BQ652" s="1" t="s">
        <v>74</v>
      </c>
      <c r="BR652" s="1" t="s">
        <v>74</v>
      </c>
      <c r="BS652" s="1" t="s">
        <v>5901</v>
      </c>
      <c r="BT652" s="1" t="str">
        <f>HYPERLINK("https%3A%2F%2Fwww.webofscience.com%2Fwos%2Fwoscc%2Ffull-record%2FWOS:001566988900001","View Full Record in Web of Science")</f>
        <v>View Full Record in Web of Science</v>
      </c>
    </row>
    <row r="653" ht="12.75" customHeight="1">
      <c r="A653" s="1" t="s">
        <v>72</v>
      </c>
      <c r="B653" s="1" t="s">
        <v>5902</v>
      </c>
      <c r="C653" s="1" t="s">
        <v>74</v>
      </c>
      <c r="D653" s="1" t="s">
        <v>74</v>
      </c>
      <c r="E653" s="1" t="s">
        <v>74</v>
      </c>
      <c r="F653" s="1" t="s">
        <v>5903</v>
      </c>
      <c r="G653" s="1" t="s">
        <v>74</v>
      </c>
      <c r="H653" s="1" t="s">
        <v>74</v>
      </c>
      <c r="I653" s="1" t="s">
        <v>5904</v>
      </c>
      <c r="J653" s="1" t="s">
        <v>5905</v>
      </c>
      <c r="K653" s="1" t="s">
        <v>74</v>
      </c>
      <c r="L653" s="1" t="s">
        <v>74</v>
      </c>
      <c r="M653" s="1" t="s">
        <v>74</v>
      </c>
      <c r="N653" s="1" t="s">
        <v>78</v>
      </c>
      <c r="O653" s="1" t="s">
        <v>74</v>
      </c>
      <c r="P653" s="1" t="s">
        <v>74</v>
      </c>
      <c r="Q653" s="1" t="s">
        <v>74</v>
      </c>
      <c r="R653" s="1" t="s">
        <v>74</v>
      </c>
      <c r="S653" s="1" t="s">
        <v>74</v>
      </c>
      <c r="T653" s="1" t="s">
        <v>5906</v>
      </c>
      <c r="U653" s="1" t="s">
        <v>74</v>
      </c>
      <c r="V653" s="1" t="s">
        <v>5907</v>
      </c>
      <c r="W653" s="1" t="s">
        <v>74</v>
      </c>
      <c r="X653" s="1" t="s">
        <v>74</v>
      </c>
      <c r="Y653" s="1" t="s">
        <v>74</v>
      </c>
      <c r="Z653" s="1" t="s">
        <v>74</v>
      </c>
      <c r="AA653" s="1" t="s">
        <v>74</v>
      </c>
      <c r="AB653" s="1" t="s">
        <v>74</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5908</v>
      </c>
      <c r="AP653" s="1" t="s">
        <v>5909</v>
      </c>
      <c r="AQ653" s="1" t="s">
        <v>74</v>
      </c>
      <c r="AR653" s="1" t="s">
        <v>74</v>
      </c>
      <c r="AS653" s="1" t="s">
        <v>74</v>
      </c>
      <c r="AT653" s="1" t="s">
        <v>74</v>
      </c>
      <c r="AU653" s="1">
        <v>2025.0</v>
      </c>
      <c r="AV653" s="1">
        <v>19.0</v>
      </c>
      <c r="AW653" s="1">
        <v>4.0</v>
      </c>
      <c r="AX653" s="1" t="s">
        <v>74</v>
      </c>
      <c r="AY653" s="1" t="s">
        <v>74</v>
      </c>
      <c r="AZ653" s="1" t="s">
        <v>74</v>
      </c>
      <c r="BA653" s="1" t="s">
        <v>74</v>
      </c>
      <c r="BB653" s="1">
        <v>68.0</v>
      </c>
      <c r="BC653" s="1">
        <v>80.0</v>
      </c>
      <c r="BD653" s="1" t="s">
        <v>74</v>
      </c>
      <c r="BE653" s="1" t="s">
        <v>5910</v>
      </c>
      <c r="BF653" s="2" t="str">
        <f>HYPERLINK("http://dx.doi.org/10.17323/fstig.2025.28047","http://dx.doi.org/10.17323/fstig.2025.28047")</f>
        <v>http://dx.doi.org/10.17323/fstig.2025.28047</v>
      </c>
      <c r="BG653" s="1" t="s">
        <v>74</v>
      </c>
      <c r="BH653" s="1" t="s">
        <v>74</v>
      </c>
      <c r="BI653" s="1" t="s">
        <v>74</v>
      </c>
      <c r="BJ653" s="1" t="s">
        <v>74</v>
      </c>
      <c r="BK653" s="1" t="s">
        <v>74</v>
      </c>
      <c r="BL653" s="1" t="s">
        <v>214</v>
      </c>
      <c r="BM653" s="1" t="s">
        <v>74</v>
      </c>
      <c r="BN653" s="1" t="s">
        <v>74</v>
      </c>
      <c r="BO653" s="1" t="s">
        <v>163</v>
      </c>
      <c r="BP653" s="1" t="s">
        <v>74</v>
      </c>
      <c r="BQ653" s="1" t="s">
        <v>74</v>
      </c>
      <c r="BR653" s="1" t="s">
        <v>74</v>
      </c>
      <c r="BS653" s="1" t="s">
        <v>5911</v>
      </c>
      <c r="BT653" s="1" t="str">
        <f>HYPERLINK("https%3A%2F%2Fwww.webofscience.com%2Fwos%2Fwoscc%2Ffull-record%2FWOS:001649888100004","View Full Record in Web of Science")</f>
        <v>View Full Record in Web of Science</v>
      </c>
    </row>
    <row r="654" ht="12.75" customHeight="1">
      <c r="A654" s="1" t="s">
        <v>72</v>
      </c>
      <c r="B654" s="1" t="s">
        <v>5912</v>
      </c>
      <c r="C654" s="1" t="s">
        <v>74</v>
      </c>
      <c r="D654" s="1" t="s">
        <v>74</v>
      </c>
      <c r="E654" s="1" t="s">
        <v>74</v>
      </c>
      <c r="F654" s="1" t="s">
        <v>5913</v>
      </c>
      <c r="G654" s="1" t="s">
        <v>74</v>
      </c>
      <c r="H654" s="1" t="s">
        <v>74</v>
      </c>
      <c r="I654" s="1" t="s">
        <v>5914</v>
      </c>
      <c r="J654" s="1" t="s">
        <v>296</v>
      </c>
      <c r="K654" s="1" t="s">
        <v>74</v>
      </c>
      <c r="L654" s="1" t="s">
        <v>74</v>
      </c>
      <c r="M654" s="1" t="s">
        <v>74</v>
      </c>
      <c r="N654" s="1" t="s">
        <v>78</v>
      </c>
      <c r="O654" s="1" t="s">
        <v>74</v>
      </c>
      <c r="P654" s="1" t="s">
        <v>74</v>
      </c>
      <c r="Q654" s="1" t="s">
        <v>74</v>
      </c>
      <c r="R654" s="1" t="s">
        <v>74</v>
      </c>
      <c r="S654" s="1" t="s">
        <v>74</v>
      </c>
      <c r="T654" s="1" t="s">
        <v>5915</v>
      </c>
      <c r="U654" s="1" t="s">
        <v>74</v>
      </c>
      <c r="V654" s="1" t="s">
        <v>5916</v>
      </c>
      <c r="W654" s="1" t="s">
        <v>74</v>
      </c>
      <c r="X654" s="1" t="s">
        <v>74</v>
      </c>
      <c r="Y654" s="1" t="s">
        <v>74</v>
      </c>
      <c r="Z654" s="1" t="s">
        <v>74</v>
      </c>
      <c r="AA654" s="1" t="s">
        <v>74</v>
      </c>
      <c r="AB654" s="1" t="s">
        <v>74</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299</v>
      </c>
      <c r="AP654" s="1" t="s">
        <v>300</v>
      </c>
      <c r="AQ654" s="1" t="s">
        <v>74</v>
      </c>
      <c r="AR654" s="1" t="s">
        <v>74</v>
      </c>
      <c r="AS654" s="1" t="s">
        <v>74</v>
      </c>
      <c r="AT654" s="1" t="s">
        <v>74</v>
      </c>
      <c r="AU654" s="1">
        <v>2026.0</v>
      </c>
      <c r="AV654" s="1">
        <v>86.0</v>
      </c>
      <c r="AW654" s="1">
        <v>1.0</v>
      </c>
      <c r="AX654" s="1" t="s">
        <v>74</v>
      </c>
      <c r="AY654" s="1" t="s">
        <v>74</v>
      </c>
      <c r="AZ654" s="1" t="s">
        <v>74</v>
      </c>
      <c r="BA654" s="1" t="s">
        <v>74</v>
      </c>
      <c r="BB654" s="1" t="s">
        <v>74</v>
      </c>
      <c r="BC654" s="1" t="s">
        <v>74</v>
      </c>
      <c r="BD654" s="1">
        <v>68670.0</v>
      </c>
      <c r="BE654" s="1" t="s">
        <v>5917</v>
      </c>
      <c r="BF654" s="2" t="str">
        <f>HYPERLINK("http://dx.doi.org/10.32604/cmc.2025.068670","http://dx.doi.org/10.32604/cmc.2025.068670")</f>
        <v>http://dx.doi.org/10.32604/cmc.2025.068670</v>
      </c>
      <c r="BG654" s="1" t="s">
        <v>74</v>
      </c>
      <c r="BH654" s="1" t="s">
        <v>74</v>
      </c>
      <c r="BI654" s="1" t="s">
        <v>74</v>
      </c>
      <c r="BJ654" s="1" t="s">
        <v>74</v>
      </c>
      <c r="BK654" s="1" t="s">
        <v>74</v>
      </c>
      <c r="BL654" s="1" t="s">
        <v>302</v>
      </c>
      <c r="BM654" s="1" t="s">
        <v>74</v>
      </c>
      <c r="BN654" s="1" t="s">
        <v>74</v>
      </c>
      <c r="BO654" s="1" t="s">
        <v>163</v>
      </c>
      <c r="BP654" s="1" t="s">
        <v>74</v>
      </c>
      <c r="BQ654" s="1" t="s">
        <v>74</v>
      </c>
      <c r="BR654" s="1" t="s">
        <v>74</v>
      </c>
      <c r="BS654" s="1" t="s">
        <v>5918</v>
      </c>
      <c r="BT654" s="1" t="str">
        <f>HYPERLINK("https%3A%2F%2Fwww.webofscience.com%2Fwos%2Fwoscc%2Ffull-record%2FWOS:001622446300001","View Full Record in Web of Science")</f>
        <v>View Full Record in Web of Science</v>
      </c>
    </row>
    <row r="655" ht="12.75" customHeight="1">
      <c r="A655" s="1" t="s">
        <v>72</v>
      </c>
      <c r="B655" s="1" t="s">
        <v>5919</v>
      </c>
      <c r="C655" s="1" t="s">
        <v>74</v>
      </c>
      <c r="D655" s="1" t="s">
        <v>74</v>
      </c>
      <c r="E655" s="1" t="s">
        <v>74</v>
      </c>
      <c r="F655" s="1" t="s">
        <v>5920</v>
      </c>
      <c r="G655" s="1" t="s">
        <v>74</v>
      </c>
      <c r="H655" s="1" t="s">
        <v>74</v>
      </c>
      <c r="I655" s="1" t="s">
        <v>5921</v>
      </c>
      <c r="J655" s="1" t="s">
        <v>5922</v>
      </c>
      <c r="K655" s="1" t="s">
        <v>74</v>
      </c>
      <c r="L655" s="1" t="s">
        <v>74</v>
      </c>
      <c r="M655" s="1" t="s">
        <v>74</v>
      </c>
      <c r="N655" s="1" t="s">
        <v>78</v>
      </c>
      <c r="O655" s="1" t="s">
        <v>74</v>
      </c>
      <c r="P655" s="1" t="s">
        <v>74</v>
      </c>
      <c r="Q655" s="1" t="s">
        <v>74</v>
      </c>
      <c r="R655" s="1" t="s">
        <v>74</v>
      </c>
      <c r="S655" s="1" t="s">
        <v>74</v>
      </c>
      <c r="T655" s="1" t="s">
        <v>5923</v>
      </c>
      <c r="U655" s="1" t="s">
        <v>5924</v>
      </c>
      <c r="V655" s="1" t="s">
        <v>5925</v>
      </c>
      <c r="W655" s="1" t="s">
        <v>74</v>
      </c>
      <c r="X655" s="1" t="s">
        <v>74</v>
      </c>
      <c r="Y655" s="1" t="s">
        <v>74</v>
      </c>
      <c r="Z655" s="1" t="s">
        <v>74</v>
      </c>
      <c r="AA655" s="1" t="s">
        <v>74</v>
      </c>
      <c r="AB655" s="1" t="s">
        <v>74</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5926</v>
      </c>
      <c r="AP655" s="1" t="s">
        <v>5927</v>
      </c>
      <c r="AQ655" s="1" t="s">
        <v>74</v>
      </c>
      <c r="AR655" s="1" t="s">
        <v>74</v>
      </c>
      <c r="AS655" s="1" t="s">
        <v>74</v>
      </c>
      <c r="AT655" s="1" t="s">
        <v>262</v>
      </c>
      <c r="AU655" s="1">
        <v>2025.0</v>
      </c>
      <c r="AV655" s="1">
        <v>102.0</v>
      </c>
      <c r="AW655" s="1" t="s">
        <v>74</v>
      </c>
      <c r="AX655" s="1" t="s">
        <v>74</v>
      </c>
      <c r="AY655" s="1" t="s">
        <v>74</v>
      </c>
      <c r="AZ655" s="1" t="s">
        <v>74</v>
      </c>
      <c r="BA655" s="1" t="s">
        <v>74</v>
      </c>
      <c r="BB655" s="1" t="s">
        <v>74</v>
      </c>
      <c r="BC655" s="1" t="s">
        <v>74</v>
      </c>
      <c r="BD655" s="1">
        <v>104281.0</v>
      </c>
      <c r="BE655" s="1" t="s">
        <v>5928</v>
      </c>
      <c r="BF655" s="2" t="str">
        <f>HYPERLINK("http://dx.doi.org/10.1016/j.iref.2025.104281","http://dx.doi.org/10.1016/j.iref.2025.104281")</f>
        <v>http://dx.doi.org/10.1016/j.iref.2025.104281</v>
      </c>
      <c r="BG655" s="1" t="s">
        <v>74</v>
      </c>
      <c r="BH655" s="1" t="s">
        <v>973</v>
      </c>
      <c r="BI655" s="1" t="s">
        <v>74</v>
      </c>
      <c r="BJ655" s="1" t="s">
        <v>74</v>
      </c>
      <c r="BK655" s="1" t="s">
        <v>74</v>
      </c>
      <c r="BL655" s="1" t="s">
        <v>214</v>
      </c>
      <c r="BM655" s="1" t="s">
        <v>74</v>
      </c>
      <c r="BN655" s="1" t="s">
        <v>74</v>
      </c>
      <c r="BO655" s="1" t="s">
        <v>163</v>
      </c>
      <c r="BP655" s="1" t="s">
        <v>74</v>
      </c>
      <c r="BQ655" s="1" t="s">
        <v>74</v>
      </c>
      <c r="BR655" s="1" t="s">
        <v>74</v>
      </c>
      <c r="BS655" s="1" t="s">
        <v>5929</v>
      </c>
      <c r="BT655" s="1" t="str">
        <f>HYPERLINK("https%3A%2F%2Fwww.webofscience.com%2Fwos%2Fwoscc%2Ffull-record%2FWOS:001525041300009","View Full Record in Web of Science")</f>
        <v>View Full Record in Web of Science</v>
      </c>
    </row>
    <row r="656" ht="12.75" customHeight="1">
      <c r="A656" s="1" t="s">
        <v>72</v>
      </c>
      <c r="B656" s="1" t="s">
        <v>4375</v>
      </c>
      <c r="C656" s="1" t="s">
        <v>74</v>
      </c>
      <c r="D656" s="1" t="s">
        <v>74</v>
      </c>
      <c r="E656" s="1" t="s">
        <v>74</v>
      </c>
      <c r="F656" s="1" t="s">
        <v>4376</v>
      </c>
      <c r="G656" s="1" t="s">
        <v>74</v>
      </c>
      <c r="H656" s="1" t="s">
        <v>74</v>
      </c>
      <c r="I656" s="1" t="s">
        <v>5930</v>
      </c>
      <c r="J656" s="1" t="s">
        <v>296</v>
      </c>
      <c r="K656" s="1" t="s">
        <v>74</v>
      </c>
      <c r="L656" s="1" t="s">
        <v>74</v>
      </c>
      <c r="M656" s="1" t="s">
        <v>74</v>
      </c>
      <c r="N656" s="1" t="s">
        <v>78</v>
      </c>
      <c r="O656" s="1" t="s">
        <v>74</v>
      </c>
      <c r="P656" s="1" t="s">
        <v>74</v>
      </c>
      <c r="Q656" s="1" t="s">
        <v>74</v>
      </c>
      <c r="R656" s="1" t="s">
        <v>74</v>
      </c>
      <c r="S656" s="1" t="s">
        <v>74</v>
      </c>
      <c r="T656" s="1" t="s">
        <v>5931</v>
      </c>
      <c r="U656" s="1" t="s">
        <v>5932</v>
      </c>
      <c r="V656" s="1" t="s">
        <v>5933</v>
      </c>
      <c r="W656" s="1" t="s">
        <v>74</v>
      </c>
      <c r="X656" s="1" t="s">
        <v>74</v>
      </c>
      <c r="Y656" s="1" t="s">
        <v>74</v>
      </c>
      <c r="Z656" s="1" t="s">
        <v>74</v>
      </c>
      <c r="AA656" s="1" t="s">
        <v>74</v>
      </c>
      <c r="AB656" s="1" t="s">
        <v>74</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299</v>
      </c>
      <c r="AP656" s="1" t="s">
        <v>300</v>
      </c>
      <c r="AQ656" s="1" t="s">
        <v>74</v>
      </c>
      <c r="AR656" s="1" t="s">
        <v>74</v>
      </c>
      <c r="AS656" s="1" t="s">
        <v>74</v>
      </c>
      <c r="AT656" s="1" t="s">
        <v>74</v>
      </c>
      <c r="AU656" s="1">
        <v>2025.0</v>
      </c>
      <c r="AV656" s="1">
        <v>82.0</v>
      </c>
      <c r="AW656" s="1">
        <v>2.0</v>
      </c>
      <c r="AX656" s="1" t="s">
        <v>74</v>
      </c>
      <c r="AY656" s="1" t="s">
        <v>74</v>
      </c>
      <c r="AZ656" s="1" t="s">
        <v>74</v>
      </c>
      <c r="BA656" s="1" t="s">
        <v>74</v>
      </c>
      <c r="BB656" s="1">
        <v>2769.0</v>
      </c>
      <c r="BC656" s="1">
        <v>2792.0</v>
      </c>
      <c r="BD656" s="1" t="s">
        <v>74</v>
      </c>
      <c r="BE656" s="1" t="s">
        <v>5934</v>
      </c>
      <c r="BF656" s="2" t="str">
        <f>HYPERLINK("http://dx.doi.org/10.32604/cmc.2025.059567","http://dx.doi.org/10.32604/cmc.2025.059567")</f>
        <v>http://dx.doi.org/10.32604/cmc.2025.059567</v>
      </c>
      <c r="BG656" s="1" t="s">
        <v>74</v>
      </c>
      <c r="BH656" s="1" t="s">
        <v>74</v>
      </c>
      <c r="BI656" s="1" t="s">
        <v>74</v>
      </c>
      <c r="BJ656" s="1" t="s">
        <v>74</v>
      </c>
      <c r="BK656" s="1" t="s">
        <v>74</v>
      </c>
      <c r="BL656" s="1" t="s">
        <v>302</v>
      </c>
      <c r="BM656" s="1" t="s">
        <v>74</v>
      </c>
      <c r="BN656" s="1" t="s">
        <v>74</v>
      </c>
      <c r="BO656" s="1" t="s">
        <v>163</v>
      </c>
      <c r="BP656" s="1" t="s">
        <v>74</v>
      </c>
      <c r="BQ656" s="1" t="s">
        <v>74</v>
      </c>
      <c r="BR656" s="1" t="s">
        <v>74</v>
      </c>
      <c r="BS656" s="1" t="s">
        <v>5935</v>
      </c>
      <c r="BT656" s="1" t="str">
        <f>HYPERLINK("https%3A%2F%2Fwww.webofscience.com%2Fwos%2Fwoscc%2Ffull-record%2FWOS:001435460300001","View Full Record in Web of Science")</f>
        <v>View Full Record in Web of Science</v>
      </c>
    </row>
    <row r="657" ht="12.75" customHeight="1">
      <c r="A657" s="1" t="s">
        <v>72</v>
      </c>
      <c r="B657" s="1" t="s">
        <v>5936</v>
      </c>
      <c r="C657" s="1" t="s">
        <v>74</v>
      </c>
      <c r="D657" s="1" t="s">
        <v>74</v>
      </c>
      <c r="E657" s="1" t="s">
        <v>74</v>
      </c>
      <c r="F657" s="1" t="s">
        <v>5937</v>
      </c>
      <c r="G657" s="1" t="s">
        <v>74</v>
      </c>
      <c r="H657" s="1" t="s">
        <v>74</v>
      </c>
      <c r="I657" s="1" t="s">
        <v>5938</v>
      </c>
      <c r="J657" s="1" t="s">
        <v>471</v>
      </c>
      <c r="K657" s="1" t="s">
        <v>74</v>
      </c>
      <c r="L657" s="1" t="s">
        <v>74</v>
      </c>
      <c r="M657" s="1" t="s">
        <v>74</v>
      </c>
      <c r="N657" s="1" t="s">
        <v>78</v>
      </c>
      <c r="O657" s="1" t="s">
        <v>74</v>
      </c>
      <c r="P657" s="1" t="s">
        <v>74</v>
      </c>
      <c r="Q657" s="1" t="s">
        <v>74</v>
      </c>
      <c r="R657" s="1" t="s">
        <v>74</v>
      </c>
      <c r="S657" s="1" t="s">
        <v>74</v>
      </c>
      <c r="T657" s="1" t="s">
        <v>5939</v>
      </c>
      <c r="U657" s="1" t="s">
        <v>3669</v>
      </c>
      <c r="V657" s="1" t="s">
        <v>5940</v>
      </c>
      <c r="W657" s="1" t="s">
        <v>74</v>
      </c>
      <c r="X657" s="1" t="s">
        <v>74</v>
      </c>
      <c r="Y657" s="1" t="s">
        <v>74</v>
      </c>
      <c r="Z657" s="1" t="s">
        <v>74</v>
      </c>
      <c r="AA657" s="1" t="s">
        <v>74</v>
      </c>
      <c r="AB657" s="1" t="s">
        <v>74</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474</v>
      </c>
      <c r="AP657" s="1" t="s">
        <v>74</v>
      </c>
      <c r="AQ657" s="1" t="s">
        <v>74</v>
      </c>
      <c r="AR657" s="1" t="s">
        <v>74</v>
      </c>
      <c r="AS657" s="1" t="s">
        <v>74</v>
      </c>
      <c r="AT657" s="1" t="s">
        <v>5881</v>
      </c>
      <c r="AU657" s="1">
        <v>2025.0</v>
      </c>
      <c r="AV657" s="1">
        <v>14.0</v>
      </c>
      <c r="AW657" s="1">
        <v>11.0</v>
      </c>
      <c r="AX657" s="1" t="s">
        <v>74</v>
      </c>
      <c r="AY657" s="1" t="s">
        <v>74</v>
      </c>
      <c r="AZ657" s="1" t="s">
        <v>74</v>
      </c>
      <c r="BA657" s="1" t="s">
        <v>74</v>
      </c>
      <c r="BB657" s="1" t="s">
        <v>74</v>
      </c>
      <c r="BC657" s="1" t="s">
        <v>74</v>
      </c>
      <c r="BD657" s="1">
        <v>493.0</v>
      </c>
      <c r="BE657" s="1" t="s">
        <v>5941</v>
      </c>
      <c r="BF657" s="2" t="str">
        <f>HYPERLINK("http://dx.doi.org/10.3390/computers14110493","http://dx.doi.org/10.3390/computers14110493")</f>
        <v>http://dx.doi.org/10.3390/computers14110493</v>
      </c>
      <c r="BG657" s="1" t="s">
        <v>74</v>
      </c>
      <c r="BH657" s="1" t="s">
        <v>74</v>
      </c>
      <c r="BI657" s="1" t="s">
        <v>74</v>
      </c>
      <c r="BJ657" s="1" t="s">
        <v>74</v>
      </c>
      <c r="BK657" s="1" t="s">
        <v>74</v>
      </c>
      <c r="BL657" s="1" t="s">
        <v>174</v>
      </c>
      <c r="BM657" s="1" t="s">
        <v>74</v>
      </c>
      <c r="BN657" s="1" t="s">
        <v>74</v>
      </c>
      <c r="BO657" s="1" t="s">
        <v>163</v>
      </c>
      <c r="BP657" s="1" t="s">
        <v>74</v>
      </c>
      <c r="BQ657" s="1" t="s">
        <v>74</v>
      </c>
      <c r="BR657" s="1" t="s">
        <v>74</v>
      </c>
      <c r="BS657" s="1" t="s">
        <v>5942</v>
      </c>
      <c r="BT657" s="1" t="str">
        <f>HYPERLINK("https%3A%2F%2Fwww.webofscience.com%2Fwos%2Fwoscc%2Ffull-record%2FWOS:001623510200001","View Full Record in Web of Science")</f>
        <v>View Full Record in Web of Science</v>
      </c>
    </row>
    <row r="658" ht="12.75" customHeight="1">
      <c r="A658" s="1" t="s">
        <v>72</v>
      </c>
      <c r="B658" s="1" t="s">
        <v>5943</v>
      </c>
      <c r="C658" s="1" t="s">
        <v>74</v>
      </c>
      <c r="D658" s="1" t="s">
        <v>74</v>
      </c>
      <c r="E658" s="1" t="s">
        <v>74</v>
      </c>
      <c r="F658" s="1" t="s">
        <v>5944</v>
      </c>
      <c r="G658" s="1" t="s">
        <v>74</v>
      </c>
      <c r="H658" s="1" t="s">
        <v>74</v>
      </c>
      <c r="I658" s="1" t="s">
        <v>5945</v>
      </c>
      <c r="J658" s="1" t="s">
        <v>2305</v>
      </c>
      <c r="K658" s="1" t="s">
        <v>74</v>
      </c>
      <c r="L658" s="1" t="s">
        <v>74</v>
      </c>
      <c r="M658" s="1" t="s">
        <v>74</v>
      </c>
      <c r="N658" s="1" t="s">
        <v>78</v>
      </c>
      <c r="O658" s="1" t="s">
        <v>74</v>
      </c>
      <c r="P658" s="1" t="s">
        <v>74</v>
      </c>
      <c r="Q658" s="1" t="s">
        <v>74</v>
      </c>
      <c r="R658" s="1" t="s">
        <v>74</v>
      </c>
      <c r="S658" s="1" t="s">
        <v>74</v>
      </c>
      <c r="T658" s="1" t="s">
        <v>5946</v>
      </c>
      <c r="U658" s="1" t="s">
        <v>74</v>
      </c>
      <c r="V658" s="1" t="s">
        <v>5947</v>
      </c>
      <c r="W658" s="1" t="s">
        <v>74</v>
      </c>
      <c r="X658" s="1" t="s">
        <v>74</v>
      </c>
      <c r="Y658" s="1" t="s">
        <v>74</v>
      </c>
      <c r="Z658" s="1" t="s">
        <v>74</v>
      </c>
      <c r="AA658" s="1" t="s">
        <v>74</v>
      </c>
      <c r="AB658" s="1" t="s">
        <v>74</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2308</v>
      </c>
      <c r="AP658" s="1" t="s">
        <v>2309</v>
      </c>
      <c r="AQ658" s="1" t="s">
        <v>74</v>
      </c>
      <c r="AR658" s="1" t="s">
        <v>74</v>
      </c>
      <c r="AS658" s="1" t="s">
        <v>74</v>
      </c>
      <c r="AT658" s="1" t="s">
        <v>464</v>
      </c>
      <c r="AU658" s="1">
        <v>2025.0</v>
      </c>
      <c r="AV658" s="1">
        <v>63.0</v>
      </c>
      <c r="AW658" s="1">
        <v>4.0</v>
      </c>
      <c r="AX658" s="1" t="s">
        <v>74</v>
      </c>
      <c r="AY658" s="1" t="s">
        <v>74</v>
      </c>
      <c r="AZ658" s="1" t="s">
        <v>74</v>
      </c>
      <c r="BA658" s="1" t="s">
        <v>74</v>
      </c>
      <c r="BB658" s="1">
        <v>1423.0</v>
      </c>
      <c r="BC658" s="1">
        <v>1451.0</v>
      </c>
      <c r="BD658" s="1" t="s">
        <v>74</v>
      </c>
      <c r="BE658" s="1" t="s">
        <v>5948</v>
      </c>
      <c r="BF658" s="2" t="str">
        <f>HYPERLINK("http://dx.doi.org/10.1007/s10844-025-00939-3","http://dx.doi.org/10.1007/s10844-025-00939-3")</f>
        <v>http://dx.doi.org/10.1007/s10844-025-00939-3</v>
      </c>
      <c r="BG658" s="1" t="s">
        <v>74</v>
      </c>
      <c r="BH658" s="1" t="s">
        <v>526</v>
      </c>
      <c r="BI658" s="1" t="s">
        <v>74</v>
      </c>
      <c r="BJ658" s="1" t="s">
        <v>74</v>
      </c>
      <c r="BK658" s="1" t="s">
        <v>74</v>
      </c>
      <c r="BL658" s="1" t="s">
        <v>174</v>
      </c>
      <c r="BM658" s="1" t="s">
        <v>74</v>
      </c>
      <c r="BN658" s="1" t="s">
        <v>74</v>
      </c>
      <c r="BO658" s="1" t="s">
        <v>74</v>
      </c>
      <c r="BP658" s="1" t="s">
        <v>74</v>
      </c>
      <c r="BQ658" s="1" t="s">
        <v>74</v>
      </c>
      <c r="BR658" s="1" t="s">
        <v>74</v>
      </c>
      <c r="BS658" s="1" t="s">
        <v>5949</v>
      </c>
      <c r="BT658" s="1" t="str">
        <f>HYPERLINK("https%3A%2F%2Fwww.webofscience.com%2Fwos%2Fwoscc%2Ffull-record%2FWOS:001471174500001","View Full Record in Web of Science")</f>
        <v>View Full Record in Web of Science</v>
      </c>
    </row>
    <row r="659" ht="12.75" customHeight="1">
      <c r="A659" s="1" t="s">
        <v>72</v>
      </c>
      <c r="B659" s="1" t="s">
        <v>5950</v>
      </c>
      <c r="C659" s="1" t="s">
        <v>74</v>
      </c>
      <c r="D659" s="1" t="s">
        <v>74</v>
      </c>
      <c r="E659" s="1" t="s">
        <v>74</v>
      </c>
      <c r="F659" s="1" t="s">
        <v>5951</v>
      </c>
      <c r="G659" s="1" t="s">
        <v>74</v>
      </c>
      <c r="H659" s="1" t="s">
        <v>74</v>
      </c>
      <c r="I659" s="1" t="s">
        <v>5952</v>
      </c>
      <c r="J659" s="1" t="s">
        <v>5953</v>
      </c>
      <c r="K659" s="1" t="s">
        <v>74</v>
      </c>
      <c r="L659" s="1" t="s">
        <v>74</v>
      </c>
      <c r="M659" s="1" t="s">
        <v>74</v>
      </c>
      <c r="N659" s="1" t="s">
        <v>78</v>
      </c>
      <c r="O659" s="1" t="s">
        <v>74</v>
      </c>
      <c r="P659" s="1" t="s">
        <v>74</v>
      </c>
      <c r="Q659" s="1" t="s">
        <v>74</v>
      </c>
      <c r="R659" s="1" t="s">
        <v>74</v>
      </c>
      <c r="S659" s="1" t="s">
        <v>74</v>
      </c>
      <c r="T659" s="1" t="s">
        <v>5954</v>
      </c>
      <c r="U659" s="1" t="s">
        <v>74</v>
      </c>
      <c r="V659" s="1" t="s">
        <v>5955</v>
      </c>
      <c r="W659" s="1" t="s">
        <v>74</v>
      </c>
      <c r="X659" s="1" t="s">
        <v>74</v>
      </c>
      <c r="Y659" s="1" t="s">
        <v>74</v>
      </c>
      <c r="Z659" s="1" t="s">
        <v>74</v>
      </c>
      <c r="AA659" s="1" t="s">
        <v>74</v>
      </c>
      <c r="AB659" s="1" t="s">
        <v>74</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5956</v>
      </c>
      <c r="AP659" s="1" t="s">
        <v>5957</v>
      </c>
      <c r="AQ659" s="1" t="s">
        <v>74</v>
      </c>
      <c r="AR659" s="1" t="s">
        <v>74</v>
      </c>
      <c r="AS659" s="1" t="s">
        <v>74</v>
      </c>
      <c r="AT659" s="1" t="s">
        <v>736</v>
      </c>
      <c r="AU659" s="1">
        <v>2024.0</v>
      </c>
      <c r="AV659" s="1">
        <v>60.0</v>
      </c>
      <c r="AW659" s="1">
        <v>1.0</v>
      </c>
      <c r="AX659" s="1" t="s">
        <v>74</v>
      </c>
      <c r="AY659" s="1" t="s">
        <v>74</v>
      </c>
      <c r="AZ659" s="1" t="s">
        <v>74</v>
      </c>
      <c r="BA659" s="1" t="s">
        <v>74</v>
      </c>
      <c r="BB659" s="1">
        <v>111.0</v>
      </c>
      <c r="BC659" s="1">
        <v>123.0</v>
      </c>
      <c r="BD659" s="1" t="s">
        <v>74</v>
      </c>
      <c r="BE659" s="1" t="s">
        <v>5958</v>
      </c>
      <c r="BF659" s="2" t="str">
        <f>HYPERLINK("http://dx.doi.org/10.1007/s10559-024-00652-z","http://dx.doi.org/10.1007/s10559-024-00652-z")</f>
        <v>http://dx.doi.org/10.1007/s10559-024-00652-z</v>
      </c>
      <c r="BG659" s="1" t="s">
        <v>74</v>
      </c>
      <c r="BH659" s="1" t="s">
        <v>3033</v>
      </c>
      <c r="BI659" s="1" t="s">
        <v>74</v>
      </c>
      <c r="BJ659" s="1" t="s">
        <v>74</v>
      </c>
      <c r="BK659" s="1" t="s">
        <v>74</v>
      </c>
      <c r="BL659" s="1" t="s">
        <v>5959</v>
      </c>
      <c r="BM659" s="1" t="s">
        <v>74</v>
      </c>
      <c r="BN659" s="1" t="s">
        <v>74</v>
      </c>
      <c r="BO659" s="1" t="s">
        <v>74</v>
      </c>
      <c r="BP659" s="1" t="s">
        <v>74</v>
      </c>
      <c r="BQ659" s="1" t="s">
        <v>74</v>
      </c>
      <c r="BR659" s="1" t="s">
        <v>74</v>
      </c>
      <c r="BS659" s="1" t="s">
        <v>5960</v>
      </c>
      <c r="BT659" s="1" t="str">
        <f>HYPERLINK("https%3A%2F%2Fwww.webofscience.com%2Fwos%2Fwoscc%2Ffull-record%2FWOS:001157140200003","View Full Record in Web of Science")</f>
        <v>View Full Record in Web of Science</v>
      </c>
    </row>
    <row r="660" ht="12.75" customHeight="1">
      <c r="A660" s="1" t="s">
        <v>72</v>
      </c>
      <c r="B660" s="1" t="s">
        <v>5961</v>
      </c>
      <c r="C660" s="1" t="s">
        <v>74</v>
      </c>
      <c r="D660" s="1" t="s">
        <v>74</v>
      </c>
      <c r="E660" s="1" t="s">
        <v>74</v>
      </c>
      <c r="F660" s="1" t="s">
        <v>5962</v>
      </c>
      <c r="G660" s="1" t="s">
        <v>74</v>
      </c>
      <c r="H660" s="1" t="s">
        <v>74</v>
      </c>
      <c r="I660" s="1" t="s">
        <v>5963</v>
      </c>
      <c r="J660" s="1" t="s">
        <v>985</v>
      </c>
      <c r="K660" s="1" t="s">
        <v>74</v>
      </c>
      <c r="L660" s="1" t="s">
        <v>74</v>
      </c>
      <c r="M660" s="1" t="s">
        <v>74</v>
      </c>
      <c r="N660" s="1" t="s">
        <v>78</v>
      </c>
      <c r="O660" s="1" t="s">
        <v>74</v>
      </c>
      <c r="P660" s="1" t="s">
        <v>74</v>
      </c>
      <c r="Q660" s="1" t="s">
        <v>74</v>
      </c>
      <c r="R660" s="1" t="s">
        <v>74</v>
      </c>
      <c r="S660" s="1" t="s">
        <v>74</v>
      </c>
      <c r="T660" s="1" t="s">
        <v>5964</v>
      </c>
      <c r="U660" s="1" t="s">
        <v>5965</v>
      </c>
      <c r="V660" s="1" t="s">
        <v>5966</v>
      </c>
      <c r="W660" s="1" t="s">
        <v>74</v>
      </c>
      <c r="X660" s="1" t="s">
        <v>74</v>
      </c>
      <c r="Y660" s="1" t="s">
        <v>74</v>
      </c>
      <c r="Z660" s="1" t="s">
        <v>74</v>
      </c>
      <c r="AA660" s="1" t="s">
        <v>74</v>
      </c>
      <c r="AB660" s="1" t="s">
        <v>74</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988</v>
      </c>
      <c r="AP660" s="1" t="s">
        <v>989</v>
      </c>
      <c r="AQ660" s="1" t="s">
        <v>74</v>
      </c>
      <c r="AR660" s="1" t="s">
        <v>74</v>
      </c>
      <c r="AS660" s="1" t="s">
        <v>74</v>
      </c>
      <c r="AT660" s="1" t="s">
        <v>74</v>
      </c>
      <c r="AU660" s="1">
        <v>2025.0</v>
      </c>
      <c r="AV660" s="1">
        <v>16.0</v>
      </c>
      <c r="AW660" s="1">
        <v>3.0</v>
      </c>
      <c r="AX660" s="1" t="s">
        <v>74</v>
      </c>
      <c r="AY660" s="1" t="s">
        <v>74</v>
      </c>
      <c r="AZ660" s="1" t="s">
        <v>74</v>
      </c>
      <c r="BA660" s="1" t="s">
        <v>74</v>
      </c>
      <c r="BB660" s="1">
        <v>1071.0</v>
      </c>
      <c r="BC660" s="1">
        <v>1079.0</v>
      </c>
      <c r="BD660" s="1" t="s">
        <v>74</v>
      </c>
      <c r="BE660" s="1" t="s">
        <v>74</v>
      </c>
      <c r="BF660" s="1" t="s">
        <v>74</v>
      </c>
      <c r="BG660" s="1" t="s">
        <v>74</v>
      </c>
      <c r="BH660" s="1" t="s">
        <v>74</v>
      </c>
      <c r="BI660" s="1" t="s">
        <v>74</v>
      </c>
      <c r="BJ660" s="1" t="s">
        <v>74</v>
      </c>
      <c r="BK660" s="1" t="s">
        <v>74</v>
      </c>
      <c r="BL660" s="1" t="s">
        <v>174</v>
      </c>
      <c r="BM660" s="1" t="s">
        <v>74</v>
      </c>
      <c r="BN660" s="1" t="s">
        <v>74</v>
      </c>
      <c r="BO660" s="1" t="s">
        <v>74</v>
      </c>
      <c r="BP660" s="1" t="s">
        <v>74</v>
      </c>
      <c r="BQ660" s="1" t="s">
        <v>74</v>
      </c>
      <c r="BR660" s="1" t="s">
        <v>74</v>
      </c>
      <c r="BS660" s="1" t="s">
        <v>5967</v>
      </c>
      <c r="BT660" s="1" t="str">
        <f>HYPERLINK("https%3A%2F%2Fwww.webofscience.com%2Fwos%2Fwoscc%2Ffull-record%2FWOS:001462751600001","View Full Record in Web of Science")</f>
        <v>View Full Record in Web of Science</v>
      </c>
    </row>
    <row r="661" ht="12.75" customHeight="1">
      <c r="A661" s="1" t="s">
        <v>72</v>
      </c>
      <c r="B661" s="1" t="s">
        <v>5968</v>
      </c>
      <c r="C661" s="1" t="s">
        <v>74</v>
      </c>
      <c r="D661" s="1" t="s">
        <v>74</v>
      </c>
      <c r="E661" s="1" t="s">
        <v>74</v>
      </c>
      <c r="F661" s="1" t="s">
        <v>5969</v>
      </c>
      <c r="G661" s="1" t="s">
        <v>74</v>
      </c>
      <c r="H661" s="1" t="s">
        <v>74</v>
      </c>
      <c r="I661" s="1" t="s">
        <v>5970</v>
      </c>
      <c r="J661" s="1" t="s">
        <v>5971</v>
      </c>
      <c r="K661" s="1" t="s">
        <v>74</v>
      </c>
      <c r="L661" s="1" t="s">
        <v>74</v>
      </c>
      <c r="M661" s="1" t="s">
        <v>74</v>
      </c>
      <c r="N661" s="1" t="s">
        <v>78</v>
      </c>
      <c r="O661" s="1" t="s">
        <v>74</v>
      </c>
      <c r="P661" s="1" t="s">
        <v>74</v>
      </c>
      <c r="Q661" s="1" t="s">
        <v>74</v>
      </c>
      <c r="R661" s="1" t="s">
        <v>74</v>
      </c>
      <c r="S661" s="1" t="s">
        <v>74</v>
      </c>
      <c r="T661" s="1" t="s">
        <v>5972</v>
      </c>
      <c r="U661" s="1" t="s">
        <v>5973</v>
      </c>
      <c r="V661" s="1" t="s">
        <v>5974</v>
      </c>
      <c r="W661" s="1" t="s">
        <v>74</v>
      </c>
      <c r="X661" s="1" t="s">
        <v>74</v>
      </c>
      <c r="Y661" s="1" t="s">
        <v>74</v>
      </c>
      <c r="Z661" s="1" t="s">
        <v>74</v>
      </c>
      <c r="AA661" s="1" t="s">
        <v>74</v>
      </c>
      <c r="AB661" s="1" t="s">
        <v>74</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74</v>
      </c>
      <c r="AP661" s="1" t="s">
        <v>5975</v>
      </c>
      <c r="AQ661" s="1" t="s">
        <v>74</v>
      </c>
      <c r="AR661" s="1" t="s">
        <v>74</v>
      </c>
      <c r="AS661" s="1" t="s">
        <v>74</v>
      </c>
      <c r="AT661" s="1" t="s">
        <v>5976</v>
      </c>
      <c r="AU661" s="1">
        <v>2024.0</v>
      </c>
      <c r="AV661" s="1">
        <v>3.0</v>
      </c>
      <c r="AW661" s="1">
        <v>6.0</v>
      </c>
      <c r="AX661" s="1" t="s">
        <v>74</v>
      </c>
      <c r="AY661" s="1" t="s">
        <v>74</v>
      </c>
      <c r="AZ661" s="1" t="s">
        <v>74</v>
      </c>
      <c r="BA661" s="1" t="s">
        <v>74</v>
      </c>
      <c r="BB661" s="1" t="s">
        <v>74</v>
      </c>
      <c r="BC661" s="1" t="s">
        <v>74</v>
      </c>
      <c r="BD661" s="1" t="s">
        <v>5977</v>
      </c>
      <c r="BE661" s="1" t="s">
        <v>5978</v>
      </c>
      <c r="BF661" s="2" t="str">
        <f>HYPERLINK("http://dx.doi.org/10.1093/pnasnexus/pgae231","http://dx.doi.org/10.1093/pnasnexus/pgae231")</f>
        <v>http://dx.doi.org/10.1093/pnasnexus/pgae231</v>
      </c>
      <c r="BG661" s="1" t="s">
        <v>74</v>
      </c>
      <c r="BH661" s="1" t="s">
        <v>498</v>
      </c>
      <c r="BI661" s="1" t="s">
        <v>74</v>
      </c>
      <c r="BJ661" s="1" t="s">
        <v>74</v>
      </c>
      <c r="BK661" s="1" t="s">
        <v>74</v>
      </c>
      <c r="BL661" s="1" t="s">
        <v>5979</v>
      </c>
      <c r="BM661" s="1" t="s">
        <v>74</v>
      </c>
      <c r="BN661" s="1" t="s">
        <v>74</v>
      </c>
      <c r="BO661" s="1" t="s">
        <v>153</v>
      </c>
      <c r="BP661" s="1" t="s">
        <v>74</v>
      </c>
      <c r="BQ661" s="1" t="s">
        <v>74</v>
      </c>
      <c r="BR661" s="1" t="s">
        <v>74</v>
      </c>
      <c r="BS661" s="1" t="s">
        <v>5980</v>
      </c>
      <c r="BT661" s="1" t="str">
        <f>HYPERLINK("https%3A%2F%2Fwww.webofscience.com%2Fwos%2Fwoscc%2Ffull-record%2FWOS:001257228900001","View Full Record in Web of Science")</f>
        <v>View Full Record in Web of Science</v>
      </c>
    </row>
    <row r="662" ht="12.75" customHeight="1">
      <c r="A662" s="1" t="s">
        <v>72</v>
      </c>
      <c r="B662" s="1" t="s">
        <v>5981</v>
      </c>
      <c r="C662" s="1" t="s">
        <v>74</v>
      </c>
      <c r="D662" s="1" t="s">
        <v>74</v>
      </c>
      <c r="E662" s="1" t="s">
        <v>74</v>
      </c>
      <c r="F662" s="1" t="s">
        <v>5982</v>
      </c>
      <c r="G662" s="1" t="s">
        <v>74</v>
      </c>
      <c r="H662" s="1" t="s">
        <v>74</v>
      </c>
      <c r="I662" s="1" t="s">
        <v>5983</v>
      </c>
      <c r="J662" s="1" t="s">
        <v>5984</v>
      </c>
      <c r="K662" s="1" t="s">
        <v>74</v>
      </c>
      <c r="L662" s="1" t="s">
        <v>74</v>
      </c>
      <c r="M662" s="1" t="s">
        <v>74</v>
      </c>
      <c r="N662" s="1" t="s">
        <v>78</v>
      </c>
      <c r="O662" s="1" t="s">
        <v>74</v>
      </c>
      <c r="P662" s="1" t="s">
        <v>74</v>
      </c>
      <c r="Q662" s="1" t="s">
        <v>74</v>
      </c>
      <c r="R662" s="1" t="s">
        <v>74</v>
      </c>
      <c r="S662" s="1" t="s">
        <v>74</v>
      </c>
      <c r="T662" s="1" t="s">
        <v>5985</v>
      </c>
      <c r="U662" s="1" t="s">
        <v>5986</v>
      </c>
      <c r="V662" s="1" t="s">
        <v>5987</v>
      </c>
      <c r="W662" s="1" t="s">
        <v>74</v>
      </c>
      <c r="X662" s="1" t="s">
        <v>74</v>
      </c>
      <c r="Y662" s="1" t="s">
        <v>74</v>
      </c>
      <c r="Z662" s="1" t="s">
        <v>74</v>
      </c>
      <c r="AA662" s="1" t="s">
        <v>74</v>
      </c>
      <c r="AB662" s="1" t="s">
        <v>74</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5988</v>
      </c>
      <c r="AP662" s="1" t="s">
        <v>5989</v>
      </c>
      <c r="AQ662" s="1" t="s">
        <v>74</v>
      </c>
      <c r="AR662" s="1" t="s">
        <v>74</v>
      </c>
      <c r="AS662" s="1" t="s">
        <v>74</v>
      </c>
      <c r="AT662" s="1" t="s">
        <v>200</v>
      </c>
      <c r="AU662" s="1">
        <v>2024.0</v>
      </c>
      <c r="AV662" s="1">
        <v>65.0</v>
      </c>
      <c r="AW662" s="1">
        <v>4.0</v>
      </c>
      <c r="AX662" s="1" t="s">
        <v>74</v>
      </c>
      <c r="AY662" s="1" t="s">
        <v>74</v>
      </c>
      <c r="AZ662" s="1" t="s">
        <v>707</v>
      </c>
      <c r="BA662" s="1" t="s">
        <v>74</v>
      </c>
      <c r="BB662" s="1">
        <v>907.0</v>
      </c>
      <c r="BC662" s="1">
        <v>932.0</v>
      </c>
      <c r="BD662" s="1" t="s">
        <v>74</v>
      </c>
      <c r="BE662" s="1" t="s">
        <v>5990</v>
      </c>
      <c r="BF662" s="2" t="str">
        <f>HYPERLINK("http://dx.doi.org/10.1007/s11151-024-09996-4","http://dx.doi.org/10.1007/s11151-024-09996-4")</f>
        <v>http://dx.doi.org/10.1007/s11151-024-09996-4</v>
      </c>
      <c r="BG662" s="1" t="s">
        <v>74</v>
      </c>
      <c r="BH662" s="1" t="s">
        <v>1747</v>
      </c>
      <c r="BI662" s="1" t="s">
        <v>74</v>
      </c>
      <c r="BJ662" s="1" t="s">
        <v>74</v>
      </c>
      <c r="BK662" s="1" t="s">
        <v>74</v>
      </c>
      <c r="BL662" s="1" t="s">
        <v>214</v>
      </c>
      <c r="BM662" s="1" t="s">
        <v>74</v>
      </c>
      <c r="BN662" s="1" t="s">
        <v>74</v>
      </c>
      <c r="BO662" s="1" t="s">
        <v>74</v>
      </c>
      <c r="BP662" s="1" t="s">
        <v>74</v>
      </c>
      <c r="BQ662" s="1" t="s">
        <v>74</v>
      </c>
      <c r="BR662" s="1" t="s">
        <v>74</v>
      </c>
      <c r="BS662" s="1" t="s">
        <v>5991</v>
      </c>
      <c r="BT662" s="1" t="str">
        <f>HYPERLINK("https%3A%2F%2Fwww.webofscience.com%2Fwos%2Fwoscc%2Ffull-record%2FWOS:001329056700001","View Full Record in Web of Science")</f>
        <v>View Full Record in Web of Science</v>
      </c>
    </row>
    <row r="663" ht="12.75" customHeight="1">
      <c r="A663" s="1" t="s">
        <v>72</v>
      </c>
      <c r="B663" s="1" t="s">
        <v>5992</v>
      </c>
      <c r="C663" s="1" t="s">
        <v>74</v>
      </c>
      <c r="D663" s="1" t="s">
        <v>74</v>
      </c>
      <c r="E663" s="1" t="s">
        <v>74</v>
      </c>
      <c r="F663" s="1" t="s">
        <v>5993</v>
      </c>
      <c r="G663" s="1" t="s">
        <v>74</v>
      </c>
      <c r="H663" s="1" t="s">
        <v>74</v>
      </c>
      <c r="I663" s="1" t="s">
        <v>5994</v>
      </c>
      <c r="J663" s="1" t="s">
        <v>1813</v>
      </c>
      <c r="K663" s="1" t="s">
        <v>74</v>
      </c>
      <c r="L663" s="1" t="s">
        <v>74</v>
      </c>
      <c r="M663" s="1" t="s">
        <v>74</v>
      </c>
      <c r="N663" s="1" t="s">
        <v>78</v>
      </c>
      <c r="O663" s="1" t="s">
        <v>74</v>
      </c>
      <c r="P663" s="1" t="s">
        <v>74</v>
      </c>
      <c r="Q663" s="1" t="s">
        <v>74</v>
      </c>
      <c r="R663" s="1" t="s">
        <v>74</v>
      </c>
      <c r="S663" s="1" t="s">
        <v>74</v>
      </c>
      <c r="T663" s="1" t="s">
        <v>5995</v>
      </c>
      <c r="U663" s="1" t="s">
        <v>74</v>
      </c>
      <c r="V663" s="1" t="s">
        <v>5996</v>
      </c>
      <c r="W663" s="1" t="s">
        <v>74</v>
      </c>
      <c r="X663" s="1" t="s">
        <v>74</v>
      </c>
      <c r="Y663" s="1" t="s">
        <v>74</v>
      </c>
      <c r="Z663" s="1" t="s">
        <v>74</v>
      </c>
      <c r="AA663" s="1" t="s">
        <v>74</v>
      </c>
      <c r="AB663" s="1" t="s">
        <v>74</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74</v>
      </c>
      <c r="AP663" s="1" t="s">
        <v>1816</v>
      </c>
      <c r="AQ663" s="1" t="s">
        <v>74</v>
      </c>
      <c r="AR663" s="1" t="s">
        <v>74</v>
      </c>
      <c r="AS663" s="1" t="s">
        <v>74</v>
      </c>
      <c r="AT663" s="1" t="s">
        <v>5997</v>
      </c>
      <c r="AU663" s="1">
        <v>2025.0</v>
      </c>
      <c r="AV663" s="1">
        <v>7.0</v>
      </c>
      <c r="AW663" s="1">
        <v>3.0</v>
      </c>
      <c r="AX663" s="1" t="s">
        <v>74</v>
      </c>
      <c r="AY663" s="1" t="s">
        <v>74</v>
      </c>
      <c r="AZ663" s="1" t="s">
        <v>74</v>
      </c>
      <c r="BA663" s="1" t="s">
        <v>74</v>
      </c>
      <c r="BB663" s="1" t="s">
        <v>74</v>
      </c>
      <c r="BC663" s="1" t="s">
        <v>74</v>
      </c>
      <c r="BD663" s="1">
        <v>73.0</v>
      </c>
      <c r="BE663" s="1" t="s">
        <v>5998</v>
      </c>
      <c r="BF663" s="2" t="str">
        <f>HYPERLINK("http://dx.doi.org/10.3390/make7030073","http://dx.doi.org/10.3390/make7030073")</f>
        <v>http://dx.doi.org/10.3390/make7030073</v>
      </c>
      <c r="BG663" s="1" t="s">
        <v>74</v>
      </c>
      <c r="BH663" s="1" t="s">
        <v>74</v>
      </c>
      <c r="BI663" s="1" t="s">
        <v>74</v>
      </c>
      <c r="BJ663" s="1" t="s">
        <v>74</v>
      </c>
      <c r="BK663" s="1" t="s">
        <v>74</v>
      </c>
      <c r="BL663" s="1" t="s">
        <v>98</v>
      </c>
      <c r="BM663" s="1" t="s">
        <v>74</v>
      </c>
      <c r="BN663" s="1" t="s">
        <v>74</v>
      </c>
      <c r="BO663" s="1" t="s">
        <v>163</v>
      </c>
      <c r="BP663" s="1" t="s">
        <v>74</v>
      </c>
      <c r="BQ663" s="1" t="s">
        <v>74</v>
      </c>
      <c r="BR663" s="1" t="s">
        <v>74</v>
      </c>
      <c r="BS663" s="1" t="s">
        <v>5999</v>
      </c>
      <c r="BT663" s="1" t="str">
        <f>HYPERLINK("https%3A%2F%2Fwww.webofscience.com%2Fwos%2Fwoscc%2Ffull-record%2FWOS:001580477800001","View Full Record in Web of Science")</f>
        <v>View Full Record in Web of Science</v>
      </c>
    </row>
    <row r="664" ht="12.75" customHeight="1">
      <c r="A664" s="1" t="s">
        <v>72</v>
      </c>
      <c r="B664" s="1" t="s">
        <v>6000</v>
      </c>
      <c r="C664" s="1" t="s">
        <v>74</v>
      </c>
      <c r="D664" s="1" t="s">
        <v>74</v>
      </c>
      <c r="E664" s="1" t="s">
        <v>74</v>
      </c>
      <c r="F664" s="1" t="s">
        <v>6001</v>
      </c>
      <c r="G664" s="1" t="s">
        <v>74</v>
      </c>
      <c r="H664" s="1" t="s">
        <v>74</v>
      </c>
      <c r="I664" s="1" t="s">
        <v>6002</v>
      </c>
      <c r="J664" s="1" t="s">
        <v>519</v>
      </c>
      <c r="K664" s="1" t="s">
        <v>74</v>
      </c>
      <c r="L664" s="1" t="s">
        <v>74</v>
      </c>
      <c r="M664" s="1" t="s">
        <v>74</v>
      </c>
      <c r="N664" s="1" t="s">
        <v>78</v>
      </c>
      <c r="O664" s="1" t="s">
        <v>74</v>
      </c>
      <c r="P664" s="1" t="s">
        <v>74</v>
      </c>
      <c r="Q664" s="1" t="s">
        <v>74</v>
      </c>
      <c r="R664" s="1" t="s">
        <v>74</v>
      </c>
      <c r="S664" s="1" t="s">
        <v>74</v>
      </c>
      <c r="T664" s="1" t="s">
        <v>6003</v>
      </c>
      <c r="U664" s="1" t="s">
        <v>6004</v>
      </c>
      <c r="V664" s="1" t="s">
        <v>6005</v>
      </c>
      <c r="W664" s="1" t="s">
        <v>74</v>
      </c>
      <c r="X664" s="1" t="s">
        <v>74</v>
      </c>
      <c r="Y664" s="1" t="s">
        <v>74</v>
      </c>
      <c r="Z664" s="1" t="s">
        <v>74</v>
      </c>
      <c r="AA664" s="1" t="s">
        <v>74</v>
      </c>
      <c r="AB664" s="1" t="s">
        <v>74</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523</v>
      </c>
      <c r="AP664" s="1" t="s">
        <v>524</v>
      </c>
      <c r="AQ664" s="1" t="s">
        <v>74</v>
      </c>
      <c r="AR664" s="1" t="s">
        <v>74</v>
      </c>
      <c r="AS664" s="1" t="s">
        <v>74</v>
      </c>
      <c r="AT664" s="1" t="s">
        <v>736</v>
      </c>
      <c r="AU664" s="1">
        <v>2025.0</v>
      </c>
      <c r="AV664" s="1">
        <v>113.0</v>
      </c>
      <c r="AW664" s="1" t="s">
        <v>74</v>
      </c>
      <c r="AX664" s="1" t="s">
        <v>74</v>
      </c>
      <c r="AY664" s="1" t="s">
        <v>74</v>
      </c>
      <c r="AZ664" s="1" t="s">
        <v>74</v>
      </c>
      <c r="BA664" s="1" t="s">
        <v>74</v>
      </c>
      <c r="BB664" s="1" t="s">
        <v>74</v>
      </c>
      <c r="BC664" s="1" t="s">
        <v>74</v>
      </c>
      <c r="BD664" s="1">
        <v>102616.0</v>
      </c>
      <c r="BE664" s="1" t="s">
        <v>6006</v>
      </c>
      <c r="BF664" s="2" t="str">
        <f>HYPERLINK("http://dx.doi.org/10.1016/j.inffus.2024.102616","http://dx.doi.org/10.1016/j.inffus.2024.102616")</f>
        <v>http://dx.doi.org/10.1016/j.inffus.2024.102616</v>
      </c>
      <c r="BG664" s="1" t="s">
        <v>74</v>
      </c>
      <c r="BH664" s="1" t="s">
        <v>3887</v>
      </c>
      <c r="BI664" s="1" t="s">
        <v>74</v>
      </c>
      <c r="BJ664" s="1" t="s">
        <v>74</v>
      </c>
      <c r="BK664" s="1" t="s">
        <v>74</v>
      </c>
      <c r="BL664" s="1" t="s">
        <v>174</v>
      </c>
      <c r="BM664" s="1" t="s">
        <v>74</v>
      </c>
      <c r="BN664" s="1" t="s">
        <v>74</v>
      </c>
      <c r="BO664" s="1" t="s">
        <v>114</v>
      </c>
      <c r="BP664" s="1" t="s">
        <v>74</v>
      </c>
      <c r="BQ664" s="1" t="s">
        <v>74</v>
      </c>
      <c r="BR664" s="1" t="s">
        <v>74</v>
      </c>
      <c r="BS664" s="1" t="s">
        <v>6007</v>
      </c>
      <c r="BT664" s="1" t="str">
        <f>HYPERLINK("https%3A%2F%2Fwww.webofscience.com%2Fwos%2Fwoscc%2Ffull-record%2FWOS:001295908300001","View Full Record in Web of Science")</f>
        <v>View Full Record in Web of Science</v>
      </c>
    </row>
    <row r="665" ht="12.75" customHeight="1">
      <c r="A665" s="1" t="s">
        <v>72</v>
      </c>
      <c r="B665" s="1" t="s">
        <v>6008</v>
      </c>
      <c r="C665" s="1" t="s">
        <v>74</v>
      </c>
      <c r="D665" s="1" t="s">
        <v>74</v>
      </c>
      <c r="E665" s="1" t="s">
        <v>74</v>
      </c>
      <c r="F665" s="1" t="s">
        <v>6009</v>
      </c>
      <c r="G665" s="1" t="s">
        <v>74</v>
      </c>
      <c r="H665" s="1" t="s">
        <v>74</v>
      </c>
      <c r="I665" s="1" t="s">
        <v>6010</v>
      </c>
      <c r="J665" s="1" t="s">
        <v>3497</v>
      </c>
      <c r="K665" s="1" t="s">
        <v>74</v>
      </c>
      <c r="L665" s="1" t="s">
        <v>74</v>
      </c>
      <c r="M665" s="1" t="s">
        <v>74</v>
      </c>
      <c r="N665" s="1" t="s">
        <v>78</v>
      </c>
      <c r="O665" s="1" t="s">
        <v>74</v>
      </c>
      <c r="P665" s="1" t="s">
        <v>74</v>
      </c>
      <c r="Q665" s="1" t="s">
        <v>74</v>
      </c>
      <c r="R665" s="1" t="s">
        <v>74</v>
      </c>
      <c r="S665" s="1" t="s">
        <v>74</v>
      </c>
      <c r="T665" s="1" t="s">
        <v>6011</v>
      </c>
      <c r="U665" s="1" t="s">
        <v>74</v>
      </c>
      <c r="V665" s="1" t="s">
        <v>6012</v>
      </c>
      <c r="W665" s="1" t="s">
        <v>74</v>
      </c>
      <c r="X665" s="1" t="s">
        <v>74</v>
      </c>
      <c r="Y665" s="1" t="s">
        <v>74</v>
      </c>
      <c r="Z665" s="1" t="s">
        <v>74</v>
      </c>
      <c r="AA665" s="1" t="s">
        <v>74</v>
      </c>
      <c r="AB665" s="1" t="s">
        <v>74</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3500</v>
      </c>
      <c r="AP665" s="1" t="s">
        <v>3501</v>
      </c>
      <c r="AQ665" s="1" t="s">
        <v>74</v>
      </c>
      <c r="AR665" s="1" t="s">
        <v>74</v>
      </c>
      <c r="AS665" s="1" t="s">
        <v>74</v>
      </c>
      <c r="AT665" s="1" t="s">
        <v>736</v>
      </c>
      <c r="AU665" s="1">
        <v>2026.0</v>
      </c>
      <c r="AV665" s="1">
        <v>193.0</v>
      </c>
      <c r="AW665" s="1" t="s">
        <v>74</v>
      </c>
      <c r="AX665" s="1" t="s">
        <v>74</v>
      </c>
      <c r="AY665" s="1" t="s">
        <v>74</v>
      </c>
      <c r="AZ665" s="1" t="s">
        <v>74</v>
      </c>
      <c r="BA665" s="1" t="s">
        <v>74</v>
      </c>
      <c r="BB665" s="1" t="s">
        <v>74</v>
      </c>
      <c r="BC665" s="1" t="s">
        <v>74</v>
      </c>
      <c r="BD665" s="1">
        <v>107969.0</v>
      </c>
      <c r="BE665" s="1" t="s">
        <v>6013</v>
      </c>
      <c r="BF665" s="2" t="str">
        <f>HYPERLINK("http://dx.doi.org/10.1016/j.neunet.2025.107969","http://dx.doi.org/10.1016/j.neunet.2025.107969")</f>
        <v>http://dx.doi.org/10.1016/j.neunet.2025.107969</v>
      </c>
      <c r="BG665" s="1" t="s">
        <v>74</v>
      </c>
      <c r="BH665" s="1" t="s">
        <v>276</v>
      </c>
      <c r="BI665" s="1" t="s">
        <v>74</v>
      </c>
      <c r="BJ665" s="1" t="s">
        <v>74</v>
      </c>
      <c r="BK665" s="1" t="s">
        <v>74</v>
      </c>
      <c r="BL665" s="1" t="s">
        <v>1460</v>
      </c>
      <c r="BM665" s="1" t="s">
        <v>74</v>
      </c>
      <c r="BN665" s="1" t="s">
        <v>74</v>
      </c>
      <c r="BO665" s="1" t="s">
        <v>114</v>
      </c>
      <c r="BP665" s="1" t="s">
        <v>74</v>
      </c>
      <c r="BQ665" s="1" t="s">
        <v>74</v>
      </c>
      <c r="BR665" s="1" t="s">
        <v>74</v>
      </c>
      <c r="BS665" s="1" t="s">
        <v>6014</v>
      </c>
      <c r="BT665" s="1" t="str">
        <f>HYPERLINK("https%3A%2F%2Fwww.webofscience.com%2Fwos%2Fwoscc%2Ffull-record%2FWOS:001582002900001","View Full Record in Web of Science")</f>
        <v>View Full Record in Web of Science</v>
      </c>
    </row>
    <row r="666" ht="12.75" customHeight="1">
      <c r="A666" s="1" t="s">
        <v>72</v>
      </c>
      <c r="B666" s="1" t="s">
        <v>6015</v>
      </c>
      <c r="C666" s="1" t="s">
        <v>74</v>
      </c>
      <c r="D666" s="1" t="s">
        <v>74</v>
      </c>
      <c r="E666" s="1" t="s">
        <v>74</v>
      </c>
      <c r="F666" s="1" t="s">
        <v>6016</v>
      </c>
      <c r="G666" s="1" t="s">
        <v>74</v>
      </c>
      <c r="H666" s="1" t="s">
        <v>74</v>
      </c>
      <c r="I666" s="1" t="s">
        <v>6017</v>
      </c>
      <c r="J666" s="1" t="s">
        <v>342</v>
      </c>
      <c r="K666" s="1" t="s">
        <v>74</v>
      </c>
      <c r="L666" s="1" t="s">
        <v>74</v>
      </c>
      <c r="M666" s="1" t="s">
        <v>74</v>
      </c>
      <c r="N666" s="1" t="s">
        <v>78</v>
      </c>
      <c r="O666" s="1" t="s">
        <v>74</v>
      </c>
      <c r="P666" s="1" t="s">
        <v>74</v>
      </c>
      <c r="Q666" s="1" t="s">
        <v>74</v>
      </c>
      <c r="R666" s="1" t="s">
        <v>74</v>
      </c>
      <c r="S666" s="1" t="s">
        <v>74</v>
      </c>
      <c r="T666" s="1" t="s">
        <v>6018</v>
      </c>
      <c r="U666" s="1" t="s">
        <v>6019</v>
      </c>
      <c r="V666" s="1" t="s">
        <v>6020</v>
      </c>
      <c r="W666" s="1" t="s">
        <v>74</v>
      </c>
      <c r="X666" s="1" t="s">
        <v>74</v>
      </c>
      <c r="Y666" s="1" t="s">
        <v>74</v>
      </c>
      <c r="Z666" s="1" t="s">
        <v>74</v>
      </c>
      <c r="AA666" s="1" t="s">
        <v>74</v>
      </c>
      <c r="AB666" s="1" t="s">
        <v>74</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74</v>
      </c>
      <c r="AP666" s="1" t="s">
        <v>345</v>
      </c>
      <c r="AQ666" s="1" t="s">
        <v>74</v>
      </c>
      <c r="AR666" s="1" t="s">
        <v>74</v>
      </c>
      <c r="AS666" s="1" t="s">
        <v>74</v>
      </c>
      <c r="AT666" s="1" t="s">
        <v>736</v>
      </c>
      <c r="AU666" s="1">
        <v>2025.0</v>
      </c>
      <c r="AV666" s="1">
        <v>45.0</v>
      </c>
      <c r="AW666" s="1" t="s">
        <v>74</v>
      </c>
      <c r="AX666" s="1" t="s">
        <v>74</v>
      </c>
      <c r="AY666" s="1" t="s">
        <v>74</v>
      </c>
      <c r="AZ666" s="1" t="s">
        <v>74</v>
      </c>
      <c r="BA666" s="1" t="s">
        <v>74</v>
      </c>
      <c r="BB666" s="1" t="s">
        <v>74</v>
      </c>
      <c r="BC666" s="1" t="s">
        <v>74</v>
      </c>
      <c r="BD666" s="1">
        <v>100296.0</v>
      </c>
      <c r="BE666" s="1" t="s">
        <v>6021</v>
      </c>
      <c r="BF666" s="2" t="str">
        <f>HYPERLINK("http://dx.doi.org/10.1016/j.osnem.2024.100296","http://dx.doi.org/10.1016/j.osnem.2024.100296")</f>
        <v>http://dx.doi.org/10.1016/j.osnem.2024.100296</v>
      </c>
      <c r="BG666" s="1" t="s">
        <v>74</v>
      </c>
      <c r="BH666" s="1" t="s">
        <v>314</v>
      </c>
      <c r="BI666" s="1" t="s">
        <v>74</v>
      </c>
      <c r="BJ666" s="1" t="s">
        <v>74</v>
      </c>
      <c r="BK666" s="1" t="s">
        <v>74</v>
      </c>
      <c r="BL666" s="1" t="s">
        <v>348</v>
      </c>
      <c r="BM666" s="1" t="s">
        <v>74</v>
      </c>
      <c r="BN666" s="1" t="s">
        <v>74</v>
      </c>
      <c r="BO666" s="1" t="s">
        <v>74</v>
      </c>
      <c r="BP666" s="1" t="s">
        <v>74</v>
      </c>
      <c r="BQ666" s="1" t="s">
        <v>74</v>
      </c>
      <c r="BR666" s="1" t="s">
        <v>74</v>
      </c>
      <c r="BS666" s="1" t="s">
        <v>6022</v>
      </c>
      <c r="BT666" s="1" t="str">
        <f>HYPERLINK("https%3A%2F%2Fwww.webofscience.com%2Fwos%2Fwoscc%2Ffull-record%2FWOS:001419681400001","View Full Record in Web of Science")</f>
        <v>View Full Record in Web of Science</v>
      </c>
    </row>
    <row r="667" ht="12.75" customHeight="1">
      <c r="A667" s="1" t="s">
        <v>72</v>
      </c>
      <c r="B667" s="1" t="s">
        <v>6023</v>
      </c>
      <c r="C667" s="1" t="s">
        <v>74</v>
      </c>
      <c r="D667" s="1" t="s">
        <v>74</v>
      </c>
      <c r="E667" s="1" t="s">
        <v>74</v>
      </c>
      <c r="F667" s="1" t="s">
        <v>6024</v>
      </c>
      <c r="G667" s="1" t="s">
        <v>74</v>
      </c>
      <c r="H667" s="1" t="s">
        <v>74</v>
      </c>
      <c r="I667" s="1" t="s">
        <v>6025</v>
      </c>
      <c r="J667" s="1" t="s">
        <v>1914</v>
      </c>
      <c r="K667" s="1" t="s">
        <v>74</v>
      </c>
      <c r="L667" s="1" t="s">
        <v>74</v>
      </c>
      <c r="M667" s="1" t="s">
        <v>74</v>
      </c>
      <c r="N667" s="1" t="s">
        <v>78</v>
      </c>
      <c r="O667" s="1" t="s">
        <v>74</v>
      </c>
      <c r="P667" s="1" t="s">
        <v>74</v>
      </c>
      <c r="Q667" s="1" t="s">
        <v>74</v>
      </c>
      <c r="R667" s="1" t="s">
        <v>74</v>
      </c>
      <c r="S667" s="1" t="s">
        <v>74</v>
      </c>
      <c r="T667" s="1" t="s">
        <v>6026</v>
      </c>
      <c r="U667" s="1" t="s">
        <v>6027</v>
      </c>
      <c r="V667" s="1" t="s">
        <v>6028</v>
      </c>
      <c r="W667" s="1" t="s">
        <v>74</v>
      </c>
      <c r="X667" s="1" t="s">
        <v>74</v>
      </c>
      <c r="Y667" s="1" t="s">
        <v>74</v>
      </c>
      <c r="Z667" s="1" t="s">
        <v>74</v>
      </c>
      <c r="AA667" s="1" t="s">
        <v>74</v>
      </c>
      <c r="AB667" s="1" t="s">
        <v>74</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1917</v>
      </c>
      <c r="AP667" s="1" t="s">
        <v>1918</v>
      </c>
      <c r="AQ667" s="1" t="s">
        <v>74</v>
      </c>
      <c r="AR667" s="1" t="s">
        <v>74</v>
      </c>
      <c r="AS667" s="1" t="s">
        <v>74</v>
      </c>
      <c r="AT667" s="1" t="s">
        <v>84</v>
      </c>
      <c r="AU667" s="1">
        <v>2025.0</v>
      </c>
      <c r="AV667" s="1">
        <v>36.0</v>
      </c>
      <c r="AW667" s="1">
        <v>5.0</v>
      </c>
      <c r="AX667" s="1" t="s">
        <v>74</v>
      </c>
      <c r="AY667" s="1" t="s">
        <v>74</v>
      </c>
      <c r="AZ667" s="1" t="s">
        <v>74</v>
      </c>
      <c r="BA667" s="1" t="s">
        <v>74</v>
      </c>
      <c r="BB667" s="1">
        <v>9298.0</v>
      </c>
      <c r="BC667" s="1">
        <v>9312.0</v>
      </c>
      <c r="BD667" s="1" t="s">
        <v>74</v>
      </c>
      <c r="BE667" s="1" t="s">
        <v>6029</v>
      </c>
      <c r="BF667" s="2" t="str">
        <f>HYPERLINK("http://dx.doi.org/10.1109/TNNLS.2024.3415028","http://dx.doi.org/10.1109/TNNLS.2024.3415028")</f>
        <v>http://dx.doi.org/10.1109/TNNLS.2024.3415028</v>
      </c>
      <c r="BG667" s="1" t="s">
        <v>74</v>
      </c>
      <c r="BH667" s="1" t="s">
        <v>498</v>
      </c>
      <c r="BI667" s="1" t="s">
        <v>74</v>
      </c>
      <c r="BJ667" s="1" t="s">
        <v>74</v>
      </c>
      <c r="BK667" s="1" t="s">
        <v>74</v>
      </c>
      <c r="BL667" s="1" t="s">
        <v>98</v>
      </c>
      <c r="BM667" s="1" t="s">
        <v>74</v>
      </c>
      <c r="BN667" s="1" t="s">
        <v>74</v>
      </c>
      <c r="BO667" s="1" t="s">
        <v>74</v>
      </c>
      <c r="BP667" s="1" t="s">
        <v>74</v>
      </c>
      <c r="BQ667" s="1" t="s">
        <v>74</v>
      </c>
      <c r="BR667" s="1" t="s">
        <v>74</v>
      </c>
      <c r="BS667" s="1" t="s">
        <v>6030</v>
      </c>
      <c r="BT667" s="1" t="str">
        <f>HYPERLINK("https%3A%2F%2Fwww.webofscience.com%2Fwos%2Fwoscc%2Ffull-record%2FWOS:001258809100001","View Full Record in Web of Science")</f>
        <v>View Full Record in Web of Science</v>
      </c>
    </row>
    <row r="668" ht="12.75" customHeight="1">
      <c r="A668" s="1" t="s">
        <v>72</v>
      </c>
      <c r="B668" s="1" t="s">
        <v>6031</v>
      </c>
      <c r="C668" s="1" t="s">
        <v>74</v>
      </c>
      <c r="D668" s="1" t="s">
        <v>74</v>
      </c>
      <c r="E668" s="1" t="s">
        <v>74</v>
      </c>
      <c r="F668" s="1" t="s">
        <v>6032</v>
      </c>
      <c r="G668" s="1" t="s">
        <v>74</v>
      </c>
      <c r="H668" s="1" t="s">
        <v>74</v>
      </c>
      <c r="I668" s="1" t="s">
        <v>6033</v>
      </c>
      <c r="J668" s="1" t="s">
        <v>296</v>
      </c>
      <c r="K668" s="1" t="s">
        <v>74</v>
      </c>
      <c r="L668" s="1" t="s">
        <v>74</v>
      </c>
      <c r="M668" s="1" t="s">
        <v>74</v>
      </c>
      <c r="N668" s="1" t="s">
        <v>78</v>
      </c>
      <c r="O668" s="1" t="s">
        <v>74</v>
      </c>
      <c r="P668" s="1" t="s">
        <v>74</v>
      </c>
      <c r="Q668" s="1" t="s">
        <v>74</v>
      </c>
      <c r="R668" s="1" t="s">
        <v>74</v>
      </c>
      <c r="S668" s="1" t="s">
        <v>74</v>
      </c>
      <c r="T668" s="1" t="s">
        <v>6034</v>
      </c>
      <c r="U668" s="1" t="s">
        <v>74</v>
      </c>
      <c r="V668" s="1" t="s">
        <v>6035</v>
      </c>
      <c r="W668" s="1" t="s">
        <v>74</v>
      </c>
      <c r="X668" s="1" t="s">
        <v>74</v>
      </c>
      <c r="Y668" s="1" t="s">
        <v>74</v>
      </c>
      <c r="Z668" s="1" t="s">
        <v>74</v>
      </c>
      <c r="AA668" s="1" t="s">
        <v>74</v>
      </c>
      <c r="AB668" s="1" t="s">
        <v>74</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299</v>
      </c>
      <c r="AP668" s="1" t="s">
        <v>300</v>
      </c>
      <c r="AQ668" s="1" t="s">
        <v>74</v>
      </c>
      <c r="AR668" s="1" t="s">
        <v>74</v>
      </c>
      <c r="AS668" s="1" t="s">
        <v>74</v>
      </c>
      <c r="AT668" s="1" t="s">
        <v>74</v>
      </c>
      <c r="AU668" s="1">
        <v>2025.0</v>
      </c>
      <c r="AV668" s="1">
        <v>83.0</v>
      </c>
      <c r="AW668" s="1">
        <v>2.0</v>
      </c>
      <c r="AX668" s="1" t="s">
        <v>74</v>
      </c>
      <c r="AY668" s="1" t="s">
        <v>74</v>
      </c>
      <c r="AZ668" s="1" t="s">
        <v>74</v>
      </c>
      <c r="BA668" s="1" t="s">
        <v>74</v>
      </c>
      <c r="BB668" s="1">
        <v>3165.0</v>
      </c>
      <c r="BC668" s="1">
        <v>3185.0</v>
      </c>
      <c r="BD668" s="1" t="s">
        <v>74</v>
      </c>
      <c r="BE668" s="1" t="s">
        <v>6036</v>
      </c>
      <c r="BF668" s="2" t="str">
        <f>HYPERLINK("http://dx.doi.org/10.32604/cmc.2025.061674","http://dx.doi.org/10.32604/cmc.2025.061674")</f>
        <v>http://dx.doi.org/10.32604/cmc.2025.061674</v>
      </c>
      <c r="BG668" s="1" t="s">
        <v>74</v>
      </c>
      <c r="BH668" s="1" t="s">
        <v>74</v>
      </c>
      <c r="BI668" s="1" t="s">
        <v>74</v>
      </c>
      <c r="BJ668" s="1" t="s">
        <v>74</v>
      </c>
      <c r="BK668" s="1" t="s">
        <v>74</v>
      </c>
      <c r="BL668" s="1" t="s">
        <v>302</v>
      </c>
      <c r="BM668" s="1" t="s">
        <v>74</v>
      </c>
      <c r="BN668" s="1" t="s">
        <v>74</v>
      </c>
      <c r="BO668" s="1" t="s">
        <v>163</v>
      </c>
      <c r="BP668" s="1" t="s">
        <v>74</v>
      </c>
      <c r="BQ668" s="1" t="s">
        <v>74</v>
      </c>
      <c r="BR668" s="1" t="s">
        <v>74</v>
      </c>
      <c r="BS668" s="1" t="s">
        <v>6037</v>
      </c>
      <c r="BT668" s="1" t="str">
        <f>HYPERLINK("https%3A%2F%2Fwww.webofscience.com%2Fwos%2Fwoscc%2Ffull-record%2FWOS:001476974600001","View Full Record in Web of Science")</f>
        <v>View Full Record in Web of Science</v>
      </c>
    </row>
    <row r="669" ht="12.75" customHeight="1">
      <c r="A669" s="1" t="s">
        <v>72</v>
      </c>
      <c r="B669" s="1" t="s">
        <v>6038</v>
      </c>
      <c r="C669" s="1" t="s">
        <v>74</v>
      </c>
      <c r="D669" s="1" t="s">
        <v>74</v>
      </c>
      <c r="E669" s="1" t="s">
        <v>74</v>
      </c>
      <c r="F669" s="1" t="s">
        <v>6039</v>
      </c>
      <c r="G669" s="1" t="s">
        <v>74</v>
      </c>
      <c r="H669" s="1" t="s">
        <v>74</v>
      </c>
      <c r="I669" s="1" t="s">
        <v>6040</v>
      </c>
      <c r="J669" s="1" t="s">
        <v>6041</v>
      </c>
      <c r="K669" s="1" t="s">
        <v>74</v>
      </c>
      <c r="L669" s="1" t="s">
        <v>74</v>
      </c>
      <c r="M669" s="1" t="s">
        <v>74</v>
      </c>
      <c r="N669" s="1" t="s">
        <v>78</v>
      </c>
      <c r="O669" s="1" t="s">
        <v>74</v>
      </c>
      <c r="P669" s="1" t="s">
        <v>74</v>
      </c>
      <c r="Q669" s="1" t="s">
        <v>74</v>
      </c>
      <c r="R669" s="1" t="s">
        <v>74</v>
      </c>
      <c r="S669" s="1" t="s">
        <v>74</v>
      </c>
      <c r="T669" s="1" t="s">
        <v>6042</v>
      </c>
      <c r="U669" s="1" t="s">
        <v>74</v>
      </c>
      <c r="V669" s="1" t="s">
        <v>6043</v>
      </c>
      <c r="W669" s="1" t="s">
        <v>74</v>
      </c>
      <c r="X669" s="1" t="s">
        <v>74</v>
      </c>
      <c r="Y669" s="1" t="s">
        <v>74</v>
      </c>
      <c r="Z669" s="1" t="s">
        <v>74</v>
      </c>
      <c r="AA669" s="1" t="s">
        <v>74</v>
      </c>
      <c r="AB669" s="1" t="s">
        <v>74</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74</v>
      </c>
      <c r="AP669" s="1" t="s">
        <v>6044</v>
      </c>
      <c r="AQ669" s="1" t="s">
        <v>74</v>
      </c>
      <c r="AR669" s="1" t="s">
        <v>74</v>
      </c>
      <c r="AS669" s="1" t="s">
        <v>74</v>
      </c>
      <c r="AT669" s="1" t="s">
        <v>6045</v>
      </c>
      <c r="AU669" s="1">
        <v>2022.0</v>
      </c>
      <c r="AV669" s="1">
        <v>5.0</v>
      </c>
      <c r="AW669" s="1" t="s">
        <v>74</v>
      </c>
      <c r="AX669" s="1" t="s">
        <v>74</v>
      </c>
      <c r="AY669" s="1" t="s">
        <v>74</v>
      </c>
      <c r="AZ669" s="1" t="s">
        <v>74</v>
      </c>
      <c r="BA669" s="1" t="s">
        <v>74</v>
      </c>
      <c r="BB669" s="1" t="s">
        <v>74</v>
      </c>
      <c r="BC669" s="1" t="s">
        <v>74</v>
      </c>
      <c r="BD669" s="1">
        <v>966982.0</v>
      </c>
      <c r="BE669" s="1" t="s">
        <v>6046</v>
      </c>
      <c r="BF669" s="2" t="str">
        <f>HYPERLINK("http://dx.doi.org/10.3389/fdata.2022.966982","http://dx.doi.org/10.3389/fdata.2022.966982")</f>
        <v>http://dx.doi.org/10.3389/fdata.2022.966982</v>
      </c>
      <c r="BG669" s="1" t="s">
        <v>74</v>
      </c>
      <c r="BH669" s="1" t="s">
        <v>74</v>
      </c>
      <c r="BI669" s="1" t="s">
        <v>74</v>
      </c>
      <c r="BJ669" s="1" t="s">
        <v>74</v>
      </c>
      <c r="BK669" s="1" t="s">
        <v>74</v>
      </c>
      <c r="BL669" s="1" t="s">
        <v>361</v>
      </c>
      <c r="BM669" s="1" t="s">
        <v>74</v>
      </c>
      <c r="BN669" s="1" t="s">
        <v>74</v>
      </c>
      <c r="BO669" s="1" t="s">
        <v>153</v>
      </c>
      <c r="BP669" s="1" t="s">
        <v>74</v>
      </c>
      <c r="BQ669" s="1" t="s">
        <v>74</v>
      </c>
      <c r="BR669" s="1" t="s">
        <v>74</v>
      </c>
      <c r="BS669" s="1" t="s">
        <v>6047</v>
      </c>
      <c r="BT669" s="1" t="str">
        <f>HYPERLINK("https%3A%2F%2Fwww.webofscience.com%2Fwos%2Fwoscc%2Ffull-record%2FWOS:000874161000001","View Full Record in Web of Science")</f>
        <v>View Full Record in Web of Science</v>
      </c>
    </row>
    <row r="670" ht="12.75" customHeight="1">
      <c r="A670" s="1" t="s">
        <v>72</v>
      </c>
      <c r="B670" s="1" t="s">
        <v>6048</v>
      </c>
      <c r="C670" s="1" t="s">
        <v>74</v>
      </c>
      <c r="D670" s="1" t="s">
        <v>74</v>
      </c>
      <c r="E670" s="1" t="s">
        <v>74</v>
      </c>
      <c r="F670" s="1" t="s">
        <v>6049</v>
      </c>
      <c r="G670" s="1" t="s">
        <v>74</v>
      </c>
      <c r="H670" s="1" t="s">
        <v>74</v>
      </c>
      <c r="I670" s="1" t="s">
        <v>6050</v>
      </c>
      <c r="J670" s="1" t="s">
        <v>6051</v>
      </c>
      <c r="K670" s="1" t="s">
        <v>74</v>
      </c>
      <c r="L670" s="1" t="s">
        <v>74</v>
      </c>
      <c r="M670" s="1" t="s">
        <v>74</v>
      </c>
      <c r="N670" s="1" t="s">
        <v>78</v>
      </c>
      <c r="O670" s="1" t="s">
        <v>74</v>
      </c>
      <c r="P670" s="1" t="s">
        <v>74</v>
      </c>
      <c r="Q670" s="1" t="s">
        <v>74</v>
      </c>
      <c r="R670" s="1" t="s">
        <v>74</v>
      </c>
      <c r="S670" s="1" t="s">
        <v>74</v>
      </c>
      <c r="T670" s="1" t="s">
        <v>6052</v>
      </c>
      <c r="U670" s="1" t="s">
        <v>512</v>
      </c>
      <c r="V670" s="1" t="s">
        <v>6053</v>
      </c>
      <c r="W670" s="1" t="s">
        <v>74</v>
      </c>
      <c r="X670" s="1" t="s">
        <v>74</v>
      </c>
      <c r="Y670" s="1" t="s">
        <v>74</v>
      </c>
      <c r="Z670" s="1" t="s">
        <v>74</v>
      </c>
      <c r="AA670" s="1" t="s">
        <v>74</v>
      </c>
      <c r="AB670" s="1" t="s">
        <v>74</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6054</v>
      </c>
      <c r="AP670" s="1" t="s">
        <v>6055</v>
      </c>
      <c r="AQ670" s="1" t="s">
        <v>74</v>
      </c>
      <c r="AR670" s="1" t="s">
        <v>74</v>
      </c>
      <c r="AS670" s="1" t="s">
        <v>74</v>
      </c>
      <c r="AT670" s="1" t="s">
        <v>335</v>
      </c>
      <c r="AU670" s="1">
        <v>2025.0</v>
      </c>
      <c r="AV670" s="1">
        <v>192.0</v>
      </c>
      <c r="AW670" s="1" t="s">
        <v>74</v>
      </c>
      <c r="AX670" s="1" t="s">
        <v>74</v>
      </c>
      <c r="AY670" s="1" t="s">
        <v>74</v>
      </c>
      <c r="AZ670" s="1" t="s">
        <v>74</v>
      </c>
      <c r="BA670" s="1" t="s">
        <v>74</v>
      </c>
      <c r="BB670" s="1">
        <v>29.0</v>
      </c>
      <c r="BC670" s="1">
        <v>35.0</v>
      </c>
      <c r="BD670" s="1" t="s">
        <v>74</v>
      </c>
      <c r="BE670" s="1" t="s">
        <v>6056</v>
      </c>
      <c r="BF670" s="2" t="str">
        <f>HYPERLINK("http://dx.doi.org/10.1016/j.patrec.2025.03.017","http://dx.doi.org/10.1016/j.patrec.2025.03.017")</f>
        <v>http://dx.doi.org/10.1016/j.patrec.2025.03.017</v>
      </c>
      <c r="BG670" s="1" t="s">
        <v>74</v>
      </c>
      <c r="BH670" s="1" t="s">
        <v>347</v>
      </c>
      <c r="BI670" s="1" t="s">
        <v>74</v>
      </c>
      <c r="BJ670" s="1" t="s">
        <v>74</v>
      </c>
      <c r="BK670" s="1" t="s">
        <v>74</v>
      </c>
      <c r="BL670" s="1" t="s">
        <v>174</v>
      </c>
      <c r="BM670" s="1" t="s">
        <v>74</v>
      </c>
      <c r="BN670" s="1" t="s">
        <v>74</v>
      </c>
      <c r="BO670" s="1" t="s">
        <v>74</v>
      </c>
      <c r="BP670" s="1" t="s">
        <v>74</v>
      </c>
      <c r="BQ670" s="1" t="s">
        <v>74</v>
      </c>
      <c r="BR670" s="1" t="s">
        <v>74</v>
      </c>
      <c r="BS670" s="1" t="s">
        <v>6057</v>
      </c>
      <c r="BT670" s="1" t="str">
        <f>HYPERLINK("https%3A%2F%2Fwww.webofscience.com%2Fwos%2Fwoscc%2Ffull-record%2FWOS:001458316000001","View Full Record in Web of Science")</f>
        <v>View Full Record in Web of Science</v>
      </c>
    </row>
    <row r="671" ht="12.75" customHeight="1">
      <c r="A671" s="1" t="s">
        <v>72</v>
      </c>
      <c r="B671" s="1" t="s">
        <v>6058</v>
      </c>
      <c r="C671" s="1" t="s">
        <v>74</v>
      </c>
      <c r="D671" s="1" t="s">
        <v>74</v>
      </c>
      <c r="E671" s="1" t="s">
        <v>74</v>
      </c>
      <c r="F671" s="1" t="s">
        <v>6059</v>
      </c>
      <c r="G671" s="1" t="s">
        <v>74</v>
      </c>
      <c r="H671" s="1" t="s">
        <v>74</v>
      </c>
      <c r="I671" s="1" t="s">
        <v>6060</v>
      </c>
      <c r="J671" s="1" t="s">
        <v>1230</v>
      </c>
      <c r="K671" s="1" t="s">
        <v>74</v>
      </c>
      <c r="L671" s="1" t="s">
        <v>74</v>
      </c>
      <c r="M671" s="1" t="s">
        <v>74</v>
      </c>
      <c r="N671" s="1" t="s">
        <v>78</v>
      </c>
      <c r="O671" s="1" t="s">
        <v>74</v>
      </c>
      <c r="P671" s="1" t="s">
        <v>74</v>
      </c>
      <c r="Q671" s="1" t="s">
        <v>74</v>
      </c>
      <c r="R671" s="1" t="s">
        <v>74</v>
      </c>
      <c r="S671" s="1" t="s">
        <v>74</v>
      </c>
      <c r="T671" s="1" t="s">
        <v>6061</v>
      </c>
      <c r="U671" s="1" t="s">
        <v>6062</v>
      </c>
      <c r="V671" s="1" t="s">
        <v>6063</v>
      </c>
      <c r="W671" s="1" t="s">
        <v>74</v>
      </c>
      <c r="X671" s="1" t="s">
        <v>74</v>
      </c>
      <c r="Y671" s="1" t="s">
        <v>74</v>
      </c>
      <c r="Z671" s="1" t="s">
        <v>74</v>
      </c>
      <c r="AA671" s="1" t="s">
        <v>74</v>
      </c>
      <c r="AB671" s="1" t="s">
        <v>74</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1233</v>
      </c>
      <c r="AP671" s="1" t="s">
        <v>1234</v>
      </c>
      <c r="AQ671" s="1" t="s">
        <v>74</v>
      </c>
      <c r="AR671" s="1" t="s">
        <v>74</v>
      </c>
      <c r="AS671" s="1" t="s">
        <v>74</v>
      </c>
      <c r="AT671" s="1" t="s">
        <v>4724</v>
      </c>
      <c r="AU671" s="1">
        <v>2025.0</v>
      </c>
      <c r="AV671" s="1">
        <v>285.0</v>
      </c>
      <c r="AW671" s="1" t="s">
        <v>74</v>
      </c>
      <c r="AX671" s="1" t="s">
        <v>74</v>
      </c>
      <c r="AY671" s="1" t="s">
        <v>74</v>
      </c>
      <c r="AZ671" s="1" t="s">
        <v>74</v>
      </c>
      <c r="BA671" s="1" t="s">
        <v>74</v>
      </c>
      <c r="BB671" s="1" t="s">
        <v>74</v>
      </c>
      <c r="BC671" s="1" t="s">
        <v>74</v>
      </c>
      <c r="BD671" s="1">
        <v>127864.0</v>
      </c>
      <c r="BE671" s="1" t="s">
        <v>6064</v>
      </c>
      <c r="BF671" s="2" t="str">
        <f>HYPERLINK("http://dx.doi.org/10.1016/j.eswa.2025.127864","http://dx.doi.org/10.1016/j.eswa.2025.127864")</f>
        <v>http://dx.doi.org/10.1016/j.eswa.2025.127864</v>
      </c>
      <c r="BG671" s="1" t="s">
        <v>74</v>
      </c>
      <c r="BH671" s="1" t="s">
        <v>1150</v>
      </c>
      <c r="BI671" s="1" t="s">
        <v>74</v>
      </c>
      <c r="BJ671" s="1" t="s">
        <v>74</v>
      </c>
      <c r="BK671" s="1" t="s">
        <v>74</v>
      </c>
      <c r="BL671" s="1" t="s">
        <v>1237</v>
      </c>
      <c r="BM671" s="1" t="s">
        <v>74</v>
      </c>
      <c r="BN671" s="1" t="s">
        <v>74</v>
      </c>
      <c r="BO671" s="1" t="s">
        <v>74</v>
      </c>
      <c r="BP671" s="1" t="s">
        <v>74</v>
      </c>
      <c r="BQ671" s="1" t="s">
        <v>74</v>
      </c>
      <c r="BR671" s="1" t="s">
        <v>74</v>
      </c>
      <c r="BS671" s="1" t="s">
        <v>6065</v>
      </c>
      <c r="BT671" s="1" t="str">
        <f>HYPERLINK("https%3A%2F%2Fwww.webofscience.com%2Fwos%2Fwoscc%2Ffull-record%2FWOS:001510284300001","View Full Record in Web of Science")</f>
        <v>View Full Record in Web of Science</v>
      </c>
    </row>
    <row r="672" ht="12.75" customHeight="1">
      <c r="A672" s="1" t="s">
        <v>72</v>
      </c>
      <c r="B672" s="1" t="s">
        <v>6066</v>
      </c>
      <c r="C672" s="1" t="s">
        <v>74</v>
      </c>
      <c r="D672" s="1" t="s">
        <v>74</v>
      </c>
      <c r="E672" s="1" t="s">
        <v>74</v>
      </c>
      <c r="F672" s="1" t="s">
        <v>6067</v>
      </c>
      <c r="G672" s="1" t="s">
        <v>74</v>
      </c>
      <c r="H672" s="1" t="s">
        <v>74</v>
      </c>
      <c r="I672" s="1" t="s">
        <v>6068</v>
      </c>
      <c r="J672" s="1" t="s">
        <v>2683</v>
      </c>
      <c r="K672" s="1" t="s">
        <v>74</v>
      </c>
      <c r="L672" s="1" t="s">
        <v>74</v>
      </c>
      <c r="M672" s="1" t="s">
        <v>74</v>
      </c>
      <c r="N672" s="1" t="s">
        <v>78</v>
      </c>
      <c r="O672" s="1" t="s">
        <v>74</v>
      </c>
      <c r="P672" s="1" t="s">
        <v>74</v>
      </c>
      <c r="Q672" s="1" t="s">
        <v>74</v>
      </c>
      <c r="R672" s="1" t="s">
        <v>74</v>
      </c>
      <c r="S672" s="1" t="s">
        <v>74</v>
      </c>
      <c r="T672" s="1" t="s">
        <v>6069</v>
      </c>
      <c r="U672" s="1" t="s">
        <v>74</v>
      </c>
      <c r="V672" s="1" t="s">
        <v>6070</v>
      </c>
      <c r="W672" s="1" t="s">
        <v>74</v>
      </c>
      <c r="X672" s="1" t="s">
        <v>74</v>
      </c>
      <c r="Y672" s="1" t="s">
        <v>74</v>
      </c>
      <c r="Z672" s="1" t="s">
        <v>74</v>
      </c>
      <c r="AA672" s="1" t="s">
        <v>74</v>
      </c>
      <c r="AB672" s="1" t="s">
        <v>74</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2687</v>
      </c>
      <c r="AP672" s="1" t="s">
        <v>2688</v>
      </c>
      <c r="AQ672" s="1" t="s">
        <v>74</v>
      </c>
      <c r="AR672" s="1" t="s">
        <v>74</v>
      </c>
      <c r="AS672" s="1" t="s">
        <v>74</v>
      </c>
      <c r="AT672" s="1" t="s">
        <v>3336</v>
      </c>
      <c r="AU672" s="1">
        <v>2025.0</v>
      </c>
      <c r="AV672" s="1">
        <v>28.0</v>
      </c>
      <c r="AW672" s="1">
        <v>1.0</v>
      </c>
      <c r="AX672" s="1" t="s">
        <v>74</v>
      </c>
      <c r="AY672" s="1" t="s">
        <v>74</v>
      </c>
      <c r="AZ672" s="1" t="s">
        <v>74</v>
      </c>
      <c r="BA672" s="1" t="s">
        <v>74</v>
      </c>
      <c r="BB672" s="1" t="s">
        <v>74</v>
      </c>
      <c r="BC672" s="1" t="s">
        <v>74</v>
      </c>
      <c r="BD672" s="1">
        <v>10.0</v>
      </c>
      <c r="BE672" s="1" t="s">
        <v>6071</v>
      </c>
      <c r="BF672" s="2" t="str">
        <f>HYPERLINK("http://dx.doi.org/10.1007/s10676-025-09871-0","http://dx.doi.org/10.1007/s10676-025-09871-0")</f>
        <v>http://dx.doi.org/10.1007/s10676-025-09871-0</v>
      </c>
      <c r="BG672" s="1" t="s">
        <v>74</v>
      </c>
      <c r="BH672" s="1" t="s">
        <v>74</v>
      </c>
      <c r="BI672" s="1" t="s">
        <v>74</v>
      </c>
      <c r="BJ672" s="1" t="s">
        <v>74</v>
      </c>
      <c r="BK672" s="1" t="s">
        <v>74</v>
      </c>
      <c r="BL672" s="1" t="s">
        <v>2690</v>
      </c>
      <c r="BM672" s="1" t="s">
        <v>74</v>
      </c>
      <c r="BN672" s="1" t="s">
        <v>74</v>
      </c>
      <c r="BO672" s="1" t="s">
        <v>114</v>
      </c>
      <c r="BP672" s="1" t="s">
        <v>74</v>
      </c>
      <c r="BQ672" s="1" t="s">
        <v>74</v>
      </c>
      <c r="BR672" s="1" t="s">
        <v>74</v>
      </c>
      <c r="BS672" s="1" t="s">
        <v>6072</v>
      </c>
      <c r="BT672" s="1" t="str">
        <f>HYPERLINK("https%3A%2F%2Fwww.webofscience.com%2Fwos%2Fwoscc%2Ffull-record%2FWOS:001644372400002","View Full Record in Web of Science")</f>
        <v>View Full Record in Web of Science</v>
      </c>
    </row>
    <row r="673" ht="12.75" customHeight="1">
      <c r="A673" s="1" t="s">
        <v>72</v>
      </c>
      <c r="B673" s="1" t="s">
        <v>6073</v>
      </c>
      <c r="C673" s="1" t="s">
        <v>74</v>
      </c>
      <c r="D673" s="1" t="s">
        <v>74</v>
      </c>
      <c r="E673" s="1" t="s">
        <v>74</v>
      </c>
      <c r="F673" s="1" t="s">
        <v>6074</v>
      </c>
      <c r="G673" s="1" t="s">
        <v>74</v>
      </c>
      <c r="H673" s="1" t="s">
        <v>74</v>
      </c>
      <c r="I673" s="1" t="s">
        <v>6075</v>
      </c>
      <c r="J673" s="1" t="s">
        <v>147</v>
      </c>
      <c r="K673" s="1" t="s">
        <v>74</v>
      </c>
      <c r="L673" s="1" t="s">
        <v>74</v>
      </c>
      <c r="M673" s="1" t="s">
        <v>74</v>
      </c>
      <c r="N673" s="1" t="s">
        <v>78</v>
      </c>
      <c r="O673" s="1" t="s">
        <v>74</v>
      </c>
      <c r="P673" s="1" t="s">
        <v>74</v>
      </c>
      <c r="Q673" s="1" t="s">
        <v>74</v>
      </c>
      <c r="R673" s="1" t="s">
        <v>74</v>
      </c>
      <c r="S673" s="1" t="s">
        <v>74</v>
      </c>
      <c r="T673" s="1" t="s">
        <v>6076</v>
      </c>
      <c r="U673" s="1" t="s">
        <v>2289</v>
      </c>
      <c r="V673" s="1" t="s">
        <v>6077</v>
      </c>
      <c r="W673" s="1" t="s">
        <v>74</v>
      </c>
      <c r="X673" s="1" t="s">
        <v>74</v>
      </c>
      <c r="Y673" s="1" t="s">
        <v>74</v>
      </c>
      <c r="Z673" s="1" t="s">
        <v>74</v>
      </c>
      <c r="AA673" s="1" t="s">
        <v>74</v>
      </c>
      <c r="AB673" s="1" t="s">
        <v>74</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150</v>
      </c>
      <c r="AP673" s="1" t="s">
        <v>74</v>
      </c>
      <c r="AQ673" s="1" t="s">
        <v>74</v>
      </c>
      <c r="AR673" s="1" t="s">
        <v>74</v>
      </c>
      <c r="AS673" s="1" t="s">
        <v>74</v>
      </c>
      <c r="AT673" s="1" t="s">
        <v>74</v>
      </c>
      <c r="AU673" s="1">
        <v>2025.0</v>
      </c>
      <c r="AV673" s="1">
        <v>13.0</v>
      </c>
      <c r="AW673" s="1" t="s">
        <v>74</v>
      </c>
      <c r="AX673" s="1" t="s">
        <v>74</v>
      </c>
      <c r="AY673" s="1" t="s">
        <v>74</v>
      </c>
      <c r="AZ673" s="1" t="s">
        <v>74</v>
      </c>
      <c r="BA673" s="1" t="s">
        <v>74</v>
      </c>
      <c r="BB673" s="1">
        <v>176622.0</v>
      </c>
      <c r="BC673" s="1">
        <v>176638.0</v>
      </c>
      <c r="BD673" s="1" t="s">
        <v>74</v>
      </c>
      <c r="BE673" s="1" t="s">
        <v>6078</v>
      </c>
      <c r="BF673" s="2" t="str">
        <f>HYPERLINK("http://dx.doi.org/10.1109/ACCESS.2025.3615942","http://dx.doi.org/10.1109/ACCESS.2025.3615942")</f>
        <v>http://dx.doi.org/10.1109/ACCESS.2025.3615942</v>
      </c>
      <c r="BG673" s="1" t="s">
        <v>74</v>
      </c>
      <c r="BH673" s="1" t="s">
        <v>74</v>
      </c>
      <c r="BI673" s="1" t="s">
        <v>74</v>
      </c>
      <c r="BJ673" s="1" t="s">
        <v>74</v>
      </c>
      <c r="BK673" s="1" t="s">
        <v>74</v>
      </c>
      <c r="BL673" s="1" t="s">
        <v>152</v>
      </c>
      <c r="BM673" s="1" t="s">
        <v>74</v>
      </c>
      <c r="BN673" s="1" t="s">
        <v>74</v>
      </c>
      <c r="BO673" s="1" t="s">
        <v>153</v>
      </c>
      <c r="BP673" s="1" t="s">
        <v>74</v>
      </c>
      <c r="BQ673" s="1" t="s">
        <v>74</v>
      </c>
      <c r="BR673" s="1" t="s">
        <v>74</v>
      </c>
      <c r="BS673" s="1" t="s">
        <v>6079</v>
      </c>
      <c r="BT673" s="1" t="str">
        <f>HYPERLINK("https%3A%2F%2Fwww.webofscience.com%2Fwos%2Fwoscc%2Ffull-record%2FWOS:001596864800028","View Full Record in Web of Science")</f>
        <v>View Full Record in Web of Science</v>
      </c>
    </row>
    <row r="674" ht="12.75" customHeight="1">
      <c r="A674" s="1" t="s">
        <v>72</v>
      </c>
      <c r="B674" s="1" t="s">
        <v>6080</v>
      </c>
      <c r="C674" s="1" t="s">
        <v>74</v>
      </c>
      <c r="D674" s="1" t="s">
        <v>74</v>
      </c>
      <c r="E674" s="1" t="s">
        <v>74</v>
      </c>
      <c r="F674" s="1" t="s">
        <v>6081</v>
      </c>
      <c r="G674" s="1" t="s">
        <v>74</v>
      </c>
      <c r="H674" s="1" t="s">
        <v>74</v>
      </c>
      <c r="I674" s="1" t="s">
        <v>6082</v>
      </c>
      <c r="J674" s="1" t="s">
        <v>147</v>
      </c>
      <c r="K674" s="1" t="s">
        <v>74</v>
      </c>
      <c r="L674" s="1" t="s">
        <v>74</v>
      </c>
      <c r="M674" s="1" t="s">
        <v>74</v>
      </c>
      <c r="N674" s="1" t="s">
        <v>78</v>
      </c>
      <c r="O674" s="1" t="s">
        <v>74</v>
      </c>
      <c r="P674" s="1" t="s">
        <v>74</v>
      </c>
      <c r="Q674" s="1" t="s">
        <v>74</v>
      </c>
      <c r="R674" s="1" t="s">
        <v>74</v>
      </c>
      <c r="S674" s="1" t="s">
        <v>74</v>
      </c>
      <c r="T674" s="1" t="s">
        <v>6083</v>
      </c>
      <c r="U674" s="1" t="s">
        <v>74</v>
      </c>
      <c r="V674" s="1" t="s">
        <v>6084</v>
      </c>
      <c r="W674" s="1" t="s">
        <v>74</v>
      </c>
      <c r="X674" s="1" t="s">
        <v>74</v>
      </c>
      <c r="Y674" s="1" t="s">
        <v>74</v>
      </c>
      <c r="Z674" s="1" t="s">
        <v>74</v>
      </c>
      <c r="AA674" s="1" t="s">
        <v>74</v>
      </c>
      <c r="AB674" s="1" t="s">
        <v>74</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150</v>
      </c>
      <c r="AP674" s="1" t="s">
        <v>74</v>
      </c>
      <c r="AQ674" s="1" t="s">
        <v>74</v>
      </c>
      <c r="AR674" s="1" t="s">
        <v>74</v>
      </c>
      <c r="AS674" s="1" t="s">
        <v>74</v>
      </c>
      <c r="AT674" s="1" t="s">
        <v>74</v>
      </c>
      <c r="AU674" s="1">
        <v>2024.0</v>
      </c>
      <c r="AV674" s="1">
        <v>12.0</v>
      </c>
      <c r="AW674" s="1" t="s">
        <v>74</v>
      </c>
      <c r="AX674" s="1" t="s">
        <v>74</v>
      </c>
      <c r="AY674" s="1" t="s">
        <v>74</v>
      </c>
      <c r="AZ674" s="1" t="s">
        <v>74</v>
      </c>
      <c r="BA674" s="1" t="s">
        <v>74</v>
      </c>
      <c r="BB674" s="1">
        <v>177811.0</v>
      </c>
      <c r="BC674" s="1">
        <v>177828.0</v>
      </c>
      <c r="BD674" s="1" t="s">
        <v>74</v>
      </c>
      <c r="BE674" s="1" t="s">
        <v>6085</v>
      </c>
      <c r="BF674" s="2" t="str">
        <f>HYPERLINK("http://dx.doi.org/10.1109/ACCESS.2024.3505614","http://dx.doi.org/10.1109/ACCESS.2024.3505614")</f>
        <v>http://dx.doi.org/10.1109/ACCESS.2024.3505614</v>
      </c>
      <c r="BG674" s="1" t="s">
        <v>74</v>
      </c>
      <c r="BH674" s="1" t="s">
        <v>74</v>
      </c>
      <c r="BI674" s="1" t="s">
        <v>74</v>
      </c>
      <c r="BJ674" s="1" t="s">
        <v>74</v>
      </c>
      <c r="BK674" s="1" t="s">
        <v>74</v>
      </c>
      <c r="BL674" s="1" t="s">
        <v>152</v>
      </c>
      <c r="BM674" s="1" t="s">
        <v>74</v>
      </c>
      <c r="BN674" s="1" t="s">
        <v>74</v>
      </c>
      <c r="BO674" s="1" t="s">
        <v>153</v>
      </c>
      <c r="BP674" s="1" t="s">
        <v>74</v>
      </c>
      <c r="BQ674" s="1" t="s">
        <v>74</v>
      </c>
      <c r="BR674" s="1" t="s">
        <v>74</v>
      </c>
      <c r="BS674" s="1" t="s">
        <v>6086</v>
      </c>
      <c r="BT674" s="1" t="str">
        <f>HYPERLINK("https%3A%2F%2Fwww.webofscience.com%2Fwos%2Fwoscc%2Ffull-record%2FWOS:001373836200023","View Full Record in Web of Science")</f>
        <v>View Full Record in Web of Science</v>
      </c>
    </row>
    <row r="675" ht="12.75" customHeight="1">
      <c r="A675" s="1" t="s">
        <v>72</v>
      </c>
      <c r="B675" s="1" t="s">
        <v>6087</v>
      </c>
      <c r="C675" s="1" t="s">
        <v>74</v>
      </c>
      <c r="D675" s="1" t="s">
        <v>74</v>
      </c>
      <c r="E675" s="1" t="s">
        <v>74</v>
      </c>
      <c r="F675" s="1" t="s">
        <v>6088</v>
      </c>
      <c r="G675" s="1" t="s">
        <v>74</v>
      </c>
      <c r="H675" s="1" t="s">
        <v>74</v>
      </c>
      <c r="I675" s="1" t="s">
        <v>6089</v>
      </c>
      <c r="J675" s="1" t="s">
        <v>6090</v>
      </c>
      <c r="K675" s="1" t="s">
        <v>74</v>
      </c>
      <c r="L675" s="1" t="s">
        <v>74</v>
      </c>
      <c r="M675" s="1" t="s">
        <v>74</v>
      </c>
      <c r="N675" s="1" t="s">
        <v>158</v>
      </c>
      <c r="O675" s="1" t="s">
        <v>74</v>
      </c>
      <c r="P675" s="1" t="s">
        <v>74</v>
      </c>
      <c r="Q675" s="1" t="s">
        <v>74</v>
      </c>
      <c r="R675" s="1" t="s">
        <v>74</v>
      </c>
      <c r="S675" s="1" t="s">
        <v>74</v>
      </c>
      <c r="T675" s="1" t="s">
        <v>6091</v>
      </c>
      <c r="U675" s="1" t="s">
        <v>6092</v>
      </c>
      <c r="V675" s="1" t="s">
        <v>6093</v>
      </c>
      <c r="W675" s="1" t="s">
        <v>74</v>
      </c>
      <c r="X675" s="1" t="s">
        <v>74</v>
      </c>
      <c r="Y675" s="1" t="s">
        <v>74</v>
      </c>
      <c r="Z675" s="1" t="s">
        <v>74</v>
      </c>
      <c r="AA675" s="1" t="s">
        <v>74</v>
      </c>
      <c r="AB675" s="1" t="s">
        <v>74</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6094</v>
      </c>
      <c r="AP675" s="1" t="s">
        <v>6095</v>
      </c>
      <c r="AQ675" s="1" t="s">
        <v>74</v>
      </c>
      <c r="AR675" s="1" t="s">
        <v>74</v>
      </c>
      <c r="AS675" s="1" t="s">
        <v>74</v>
      </c>
      <c r="AT675" s="1" t="s">
        <v>262</v>
      </c>
      <c r="AU675" s="1">
        <v>2025.0</v>
      </c>
      <c r="AV675" s="1">
        <v>15.0</v>
      </c>
      <c r="AW675" s="1">
        <v>3.0</v>
      </c>
      <c r="AX675" s="1" t="s">
        <v>74</v>
      </c>
      <c r="AY675" s="1" t="s">
        <v>74</v>
      </c>
      <c r="AZ675" s="1" t="s">
        <v>74</v>
      </c>
      <c r="BA675" s="1" t="s">
        <v>74</v>
      </c>
      <c r="BB675" s="1" t="s">
        <v>74</v>
      </c>
      <c r="BC675" s="1" t="s">
        <v>74</v>
      </c>
      <c r="BD675" s="1" t="s">
        <v>6096</v>
      </c>
      <c r="BE675" s="1" t="s">
        <v>6097</v>
      </c>
      <c r="BF675" s="2" t="str">
        <f>HYPERLINK("http://dx.doi.org/10.1002/widm.70029","http://dx.doi.org/10.1002/widm.70029")</f>
        <v>http://dx.doi.org/10.1002/widm.70029</v>
      </c>
      <c r="BG675" s="1" t="s">
        <v>74</v>
      </c>
      <c r="BH675" s="1" t="s">
        <v>74</v>
      </c>
      <c r="BI675" s="1" t="s">
        <v>74</v>
      </c>
      <c r="BJ675" s="1" t="s">
        <v>74</v>
      </c>
      <c r="BK675" s="1" t="s">
        <v>74</v>
      </c>
      <c r="BL675" s="1" t="s">
        <v>174</v>
      </c>
      <c r="BM675" s="1" t="s">
        <v>74</v>
      </c>
      <c r="BN675" s="1" t="s">
        <v>74</v>
      </c>
      <c r="BO675" s="1" t="s">
        <v>114</v>
      </c>
      <c r="BP675" s="1" t="s">
        <v>74</v>
      </c>
      <c r="BQ675" s="1" t="s">
        <v>74</v>
      </c>
      <c r="BR675" s="1" t="s">
        <v>74</v>
      </c>
      <c r="BS675" s="1" t="s">
        <v>6098</v>
      </c>
      <c r="BT675" s="1" t="str">
        <f>HYPERLINK("https%3A%2F%2Fwww.webofscience.com%2Fwos%2Fwoscc%2Ffull-record%2FWOS:001582685700002","View Full Record in Web of Science")</f>
        <v>View Full Record in Web of Science</v>
      </c>
    </row>
    <row r="676" ht="12.75" customHeight="1">
      <c r="A676" s="1" t="s">
        <v>72</v>
      </c>
      <c r="B676" s="1" t="s">
        <v>6099</v>
      </c>
      <c r="C676" s="1" t="s">
        <v>74</v>
      </c>
      <c r="D676" s="1" t="s">
        <v>74</v>
      </c>
      <c r="E676" s="1" t="s">
        <v>74</v>
      </c>
      <c r="F676" s="1" t="s">
        <v>6100</v>
      </c>
      <c r="G676" s="1" t="s">
        <v>74</v>
      </c>
      <c r="H676" s="1" t="s">
        <v>74</v>
      </c>
      <c r="I676" s="1" t="s">
        <v>6101</v>
      </c>
      <c r="J676" s="1" t="s">
        <v>4450</v>
      </c>
      <c r="K676" s="1" t="s">
        <v>74</v>
      </c>
      <c r="L676" s="1" t="s">
        <v>74</v>
      </c>
      <c r="M676" s="1" t="s">
        <v>74</v>
      </c>
      <c r="N676" s="1" t="s">
        <v>78</v>
      </c>
      <c r="O676" s="1" t="s">
        <v>74</v>
      </c>
      <c r="P676" s="1" t="s">
        <v>74</v>
      </c>
      <c r="Q676" s="1" t="s">
        <v>74</v>
      </c>
      <c r="R676" s="1" t="s">
        <v>74</v>
      </c>
      <c r="S676" s="1" t="s">
        <v>74</v>
      </c>
      <c r="T676" s="1" t="s">
        <v>6102</v>
      </c>
      <c r="U676" s="1" t="s">
        <v>6103</v>
      </c>
      <c r="V676" s="1" t="s">
        <v>6104</v>
      </c>
      <c r="W676" s="1" t="s">
        <v>74</v>
      </c>
      <c r="X676" s="1" t="s">
        <v>74</v>
      </c>
      <c r="Y676" s="1" t="s">
        <v>74</v>
      </c>
      <c r="Z676" s="1" t="s">
        <v>74</v>
      </c>
      <c r="AA676" s="1" t="s">
        <v>74</v>
      </c>
      <c r="AB676" s="1" t="s">
        <v>74</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4454</v>
      </c>
      <c r="AP676" s="1" t="s">
        <v>4455</v>
      </c>
      <c r="AQ676" s="1" t="s">
        <v>74</v>
      </c>
      <c r="AR676" s="1" t="s">
        <v>74</v>
      </c>
      <c r="AS676" s="1" t="s">
        <v>74</v>
      </c>
      <c r="AT676" s="1" t="s">
        <v>3559</v>
      </c>
      <c r="AU676" s="1">
        <v>2025.0</v>
      </c>
      <c r="AV676" s="1">
        <v>10.0</v>
      </c>
      <c r="AW676" s="1">
        <v>5.0</v>
      </c>
      <c r="AX676" s="1" t="s">
        <v>74</v>
      </c>
      <c r="AY676" s="1" t="s">
        <v>74</v>
      </c>
      <c r="AZ676" s="1" t="s">
        <v>74</v>
      </c>
      <c r="BA676" s="1" t="s">
        <v>74</v>
      </c>
      <c r="BB676" s="1" t="s">
        <v>74</v>
      </c>
      <c r="BC676" s="1" t="s">
        <v>74</v>
      </c>
      <c r="BD676" s="1">
        <v>100796.0</v>
      </c>
      <c r="BE676" s="1" t="s">
        <v>6105</v>
      </c>
      <c r="BF676" s="2" t="str">
        <f>HYPERLINK("http://dx.doi.org/10.1016/j.jik.2025.100796","http://dx.doi.org/10.1016/j.jik.2025.100796")</f>
        <v>http://dx.doi.org/10.1016/j.jik.2025.100796</v>
      </c>
      <c r="BG676" s="1" t="s">
        <v>74</v>
      </c>
      <c r="BH676" s="1" t="s">
        <v>738</v>
      </c>
      <c r="BI676" s="1" t="s">
        <v>74</v>
      </c>
      <c r="BJ676" s="1" t="s">
        <v>74</v>
      </c>
      <c r="BK676" s="1" t="s">
        <v>74</v>
      </c>
      <c r="BL676" s="1" t="s">
        <v>214</v>
      </c>
      <c r="BM676" s="1" t="s">
        <v>74</v>
      </c>
      <c r="BN676" s="1" t="s">
        <v>74</v>
      </c>
      <c r="BO676" s="1" t="s">
        <v>163</v>
      </c>
      <c r="BP676" s="1" t="s">
        <v>74</v>
      </c>
      <c r="BQ676" s="1" t="s">
        <v>74</v>
      </c>
      <c r="BR676" s="1" t="s">
        <v>74</v>
      </c>
      <c r="BS676" s="1" t="s">
        <v>6106</v>
      </c>
      <c r="BT676" s="1" t="str">
        <f>HYPERLINK("https%3A%2F%2Fwww.webofscience.com%2Fwos%2Fwoscc%2Ffull-record%2FWOS:001566181800001","View Full Record in Web of Science")</f>
        <v>View Full Record in Web of Science</v>
      </c>
    </row>
    <row r="677" ht="12.75" customHeight="1">
      <c r="A677" s="1" t="s">
        <v>72</v>
      </c>
      <c r="B677" s="1" t="s">
        <v>6107</v>
      </c>
      <c r="C677" s="1" t="s">
        <v>74</v>
      </c>
      <c r="D677" s="1" t="s">
        <v>74</v>
      </c>
      <c r="E677" s="1" t="s">
        <v>74</v>
      </c>
      <c r="F677" s="1" t="s">
        <v>6108</v>
      </c>
      <c r="G677" s="1" t="s">
        <v>74</v>
      </c>
      <c r="H677" s="1" t="s">
        <v>74</v>
      </c>
      <c r="I677" s="1" t="s">
        <v>6109</v>
      </c>
      <c r="J677" s="1" t="s">
        <v>675</v>
      </c>
      <c r="K677" s="1" t="s">
        <v>74</v>
      </c>
      <c r="L677" s="1" t="s">
        <v>74</v>
      </c>
      <c r="M677" s="1" t="s">
        <v>74</v>
      </c>
      <c r="N677" s="1" t="s">
        <v>78</v>
      </c>
      <c r="O677" s="1" t="s">
        <v>74</v>
      </c>
      <c r="P677" s="1" t="s">
        <v>74</v>
      </c>
      <c r="Q677" s="1" t="s">
        <v>74</v>
      </c>
      <c r="R677" s="1" t="s">
        <v>74</v>
      </c>
      <c r="S677" s="1" t="s">
        <v>74</v>
      </c>
      <c r="T677" s="1" t="s">
        <v>6110</v>
      </c>
      <c r="U677" s="1" t="s">
        <v>6111</v>
      </c>
      <c r="V677" s="1" t="s">
        <v>6112</v>
      </c>
      <c r="W677" s="1" t="s">
        <v>74</v>
      </c>
      <c r="X677" s="1" t="s">
        <v>74</v>
      </c>
      <c r="Y677" s="1" t="s">
        <v>74</v>
      </c>
      <c r="Z677" s="1" t="s">
        <v>74</v>
      </c>
      <c r="AA677" s="1" t="s">
        <v>74</v>
      </c>
      <c r="AB677" s="1" t="s">
        <v>74</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74</v>
      </c>
      <c r="AP677" s="1" t="s">
        <v>679</v>
      </c>
      <c r="AQ677" s="1" t="s">
        <v>74</v>
      </c>
      <c r="AR677" s="1" t="s">
        <v>74</v>
      </c>
      <c r="AS677" s="1" t="s">
        <v>74</v>
      </c>
      <c r="AT677" s="1" t="s">
        <v>2257</v>
      </c>
      <c r="AU677" s="1">
        <v>2025.0</v>
      </c>
      <c r="AV677" s="1">
        <v>8.0</v>
      </c>
      <c r="AW677" s="1" t="s">
        <v>74</v>
      </c>
      <c r="AX677" s="1" t="s">
        <v>74</v>
      </c>
      <c r="AY677" s="1" t="s">
        <v>74</v>
      </c>
      <c r="AZ677" s="1" t="s">
        <v>74</v>
      </c>
      <c r="BA677" s="1" t="s">
        <v>74</v>
      </c>
      <c r="BB677" s="1" t="s">
        <v>74</v>
      </c>
      <c r="BC677" s="1" t="s">
        <v>74</v>
      </c>
      <c r="BD677" s="1">
        <v>1662202.0</v>
      </c>
      <c r="BE677" s="1" t="s">
        <v>6113</v>
      </c>
      <c r="BF677" s="2" t="str">
        <f>HYPERLINK("http://dx.doi.org/10.3389/frai.2025.1662202","http://dx.doi.org/10.3389/frai.2025.1662202")</f>
        <v>http://dx.doi.org/10.3389/frai.2025.1662202</v>
      </c>
      <c r="BG677" s="1" t="s">
        <v>74</v>
      </c>
      <c r="BH677" s="1" t="s">
        <v>74</v>
      </c>
      <c r="BI677" s="1" t="s">
        <v>74</v>
      </c>
      <c r="BJ677" s="1" t="s">
        <v>74</v>
      </c>
      <c r="BK677" s="1" t="s">
        <v>74</v>
      </c>
      <c r="BL677" s="1" t="s">
        <v>174</v>
      </c>
      <c r="BM677" s="1" t="s">
        <v>74</v>
      </c>
      <c r="BN677" s="1" t="s">
        <v>74</v>
      </c>
      <c r="BO677" s="1" t="s">
        <v>163</v>
      </c>
      <c r="BP677" s="1" t="s">
        <v>74</v>
      </c>
      <c r="BQ677" s="1" t="s">
        <v>74</v>
      </c>
      <c r="BR677" s="1" t="s">
        <v>74</v>
      </c>
      <c r="BS677" s="1" t="s">
        <v>6114</v>
      </c>
      <c r="BT677" s="1" t="str">
        <f>HYPERLINK("https%3A%2F%2Fwww.webofscience.com%2Fwos%2Fwoscc%2Ffull-record%2FWOS:001630334000001","View Full Record in Web of Science")</f>
        <v>View Full Record in Web of Science</v>
      </c>
    </row>
    <row r="678" ht="12.75" customHeight="1">
      <c r="A678" s="1" t="s">
        <v>72</v>
      </c>
      <c r="B678" s="1" t="s">
        <v>6115</v>
      </c>
      <c r="C678" s="1" t="s">
        <v>74</v>
      </c>
      <c r="D678" s="1" t="s">
        <v>74</v>
      </c>
      <c r="E678" s="1" t="s">
        <v>74</v>
      </c>
      <c r="F678" s="1" t="s">
        <v>6116</v>
      </c>
      <c r="G678" s="1" t="s">
        <v>74</v>
      </c>
      <c r="H678" s="1" t="s">
        <v>74</v>
      </c>
      <c r="I678" s="1" t="s">
        <v>6117</v>
      </c>
      <c r="J678" s="1" t="s">
        <v>2695</v>
      </c>
      <c r="K678" s="1" t="s">
        <v>74</v>
      </c>
      <c r="L678" s="1" t="s">
        <v>74</v>
      </c>
      <c r="M678" s="1" t="s">
        <v>74</v>
      </c>
      <c r="N678" s="1" t="s">
        <v>78</v>
      </c>
      <c r="O678" s="1" t="s">
        <v>74</v>
      </c>
      <c r="P678" s="1" t="s">
        <v>74</v>
      </c>
      <c r="Q678" s="1" t="s">
        <v>74</v>
      </c>
      <c r="R678" s="1" t="s">
        <v>74</v>
      </c>
      <c r="S678" s="1" t="s">
        <v>74</v>
      </c>
      <c r="T678" s="1" t="s">
        <v>6118</v>
      </c>
      <c r="U678" s="1" t="s">
        <v>74</v>
      </c>
      <c r="V678" s="1" t="s">
        <v>6119</v>
      </c>
      <c r="W678" s="1" t="s">
        <v>74</v>
      </c>
      <c r="X678" s="1" t="s">
        <v>74</v>
      </c>
      <c r="Y678" s="1" t="s">
        <v>74</v>
      </c>
      <c r="Z678" s="1" t="s">
        <v>74</v>
      </c>
      <c r="AA678" s="1" t="s">
        <v>74</v>
      </c>
      <c r="AB678" s="1" t="s">
        <v>74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74</v>
      </c>
      <c r="AP678" s="1" t="s">
        <v>2698</v>
      </c>
      <c r="AQ678" s="1" t="s">
        <v>74</v>
      </c>
      <c r="AR678" s="1" t="s">
        <v>74</v>
      </c>
      <c r="AS678" s="1" t="s">
        <v>74</v>
      </c>
      <c r="AT678" s="1" t="s">
        <v>74</v>
      </c>
      <c r="AU678" s="1">
        <v>2024.0</v>
      </c>
      <c r="AV678" s="1">
        <v>6.0</v>
      </c>
      <c r="AW678" s="1">
        <v>4.0</v>
      </c>
      <c r="AX678" s="1" t="s">
        <v>74</v>
      </c>
      <c r="AY678" s="1" t="s">
        <v>74</v>
      </c>
      <c r="AZ678" s="1" t="s">
        <v>74</v>
      </c>
      <c r="BA678" s="1" t="s">
        <v>74</v>
      </c>
      <c r="BB678" s="1">
        <v>923.0</v>
      </c>
      <c r="BC678" s="1">
        <v>945.0</v>
      </c>
      <c r="BD678" s="1" t="s">
        <v>74</v>
      </c>
      <c r="BE678" s="1" t="s">
        <v>6120</v>
      </c>
      <c r="BF678" s="2" t="str">
        <f>HYPERLINK("http://dx.doi.org/10.3724/2096-7004.di.2024.0013","http://dx.doi.org/10.3724/2096-7004.di.2024.0013")</f>
        <v>http://dx.doi.org/10.3724/2096-7004.di.2024.0013</v>
      </c>
      <c r="BG678" s="1" t="s">
        <v>74</v>
      </c>
      <c r="BH678" s="1" t="s">
        <v>74</v>
      </c>
      <c r="BI678" s="1" t="s">
        <v>74</v>
      </c>
      <c r="BJ678" s="1" t="s">
        <v>74</v>
      </c>
      <c r="BK678" s="1" t="s">
        <v>74</v>
      </c>
      <c r="BL678" s="1" t="s">
        <v>174</v>
      </c>
      <c r="BM678" s="1" t="s">
        <v>74</v>
      </c>
      <c r="BN678" s="1" t="s">
        <v>74</v>
      </c>
      <c r="BO678" s="1" t="s">
        <v>163</v>
      </c>
      <c r="BP678" s="1" t="s">
        <v>74</v>
      </c>
      <c r="BQ678" s="1" t="s">
        <v>74</v>
      </c>
      <c r="BR678" s="1" t="s">
        <v>74</v>
      </c>
      <c r="BS678" s="1" t="s">
        <v>6121</v>
      </c>
      <c r="BT678" s="1" t="str">
        <f>HYPERLINK("https%3A%2F%2Fwww.webofscience.com%2Fwos%2Fwoscc%2Ffull-record%2FWOS:001446914500004","View Full Record in Web of Science")</f>
        <v>View Full Record in Web of Science</v>
      </c>
    </row>
    <row r="679" ht="12.75" customHeight="1">
      <c r="A679" s="1" t="s">
        <v>72</v>
      </c>
      <c r="B679" s="1" t="s">
        <v>6122</v>
      </c>
      <c r="C679" s="1" t="s">
        <v>74</v>
      </c>
      <c r="D679" s="1" t="s">
        <v>74</v>
      </c>
      <c r="E679" s="1" t="s">
        <v>74</v>
      </c>
      <c r="F679" s="1" t="s">
        <v>6123</v>
      </c>
      <c r="G679" s="1" t="s">
        <v>74</v>
      </c>
      <c r="H679" s="1" t="s">
        <v>74</v>
      </c>
      <c r="I679" s="1" t="s">
        <v>6124</v>
      </c>
      <c r="J679" s="1" t="s">
        <v>147</v>
      </c>
      <c r="K679" s="1" t="s">
        <v>74</v>
      </c>
      <c r="L679" s="1" t="s">
        <v>74</v>
      </c>
      <c r="M679" s="1" t="s">
        <v>74</v>
      </c>
      <c r="N679" s="1" t="s">
        <v>78</v>
      </c>
      <c r="O679" s="1" t="s">
        <v>74</v>
      </c>
      <c r="P679" s="1" t="s">
        <v>74</v>
      </c>
      <c r="Q679" s="1" t="s">
        <v>74</v>
      </c>
      <c r="R679" s="1" t="s">
        <v>74</v>
      </c>
      <c r="S679" s="1" t="s">
        <v>74</v>
      </c>
      <c r="T679" s="1" t="s">
        <v>6125</v>
      </c>
      <c r="U679" s="1" t="s">
        <v>74</v>
      </c>
      <c r="V679" s="1" t="s">
        <v>6126</v>
      </c>
      <c r="W679" s="1" t="s">
        <v>74</v>
      </c>
      <c r="X679" s="1" t="s">
        <v>74</v>
      </c>
      <c r="Y679" s="1" t="s">
        <v>74</v>
      </c>
      <c r="Z679" s="1" t="s">
        <v>74</v>
      </c>
      <c r="AA679" s="1" t="s">
        <v>74</v>
      </c>
      <c r="AB679" s="1" t="s">
        <v>74</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150</v>
      </c>
      <c r="AP679" s="1" t="s">
        <v>74</v>
      </c>
      <c r="AQ679" s="1" t="s">
        <v>74</v>
      </c>
      <c r="AR679" s="1" t="s">
        <v>74</v>
      </c>
      <c r="AS679" s="1" t="s">
        <v>74</v>
      </c>
      <c r="AT679" s="1" t="s">
        <v>74</v>
      </c>
      <c r="AU679" s="1">
        <v>2025.0</v>
      </c>
      <c r="AV679" s="1">
        <v>13.0</v>
      </c>
      <c r="AW679" s="1" t="s">
        <v>74</v>
      </c>
      <c r="AX679" s="1" t="s">
        <v>74</v>
      </c>
      <c r="AY679" s="1" t="s">
        <v>74</v>
      </c>
      <c r="AZ679" s="1" t="s">
        <v>74</v>
      </c>
      <c r="BA679" s="1" t="s">
        <v>74</v>
      </c>
      <c r="BB679" s="1">
        <v>41097.0</v>
      </c>
      <c r="BC679" s="1">
        <v>41110.0</v>
      </c>
      <c r="BD679" s="1" t="s">
        <v>74</v>
      </c>
      <c r="BE679" s="1" t="s">
        <v>6127</v>
      </c>
      <c r="BF679" s="2" t="str">
        <f>HYPERLINK("http://dx.doi.org/10.1109/ACCESS.2025.3547763","http://dx.doi.org/10.1109/ACCESS.2025.3547763")</f>
        <v>http://dx.doi.org/10.1109/ACCESS.2025.3547763</v>
      </c>
      <c r="BG679" s="1" t="s">
        <v>74</v>
      </c>
      <c r="BH679" s="1" t="s">
        <v>74</v>
      </c>
      <c r="BI679" s="1" t="s">
        <v>74</v>
      </c>
      <c r="BJ679" s="1" t="s">
        <v>74</v>
      </c>
      <c r="BK679" s="1" t="s">
        <v>74</v>
      </c>
      <c r="BL679" s="1" t="s">
        <v>152</v>
      </c>
      <c r="BM679" s="1" t="s">
        <v>74</v>
      </c>
      <c r="BN679" s="1" t="s">
        <v>74</v>
      </c>
      <c r="BO679" s="1" t="s">
        <v>153</v>
      </c>
      <c r="BP679" s="1" t="s">
        <v>74</v>
      </c>
      <c r="BQ679" s="1" t="s">
        <v>74</v>
      </c>
      <c r="BR679" s="1" t="s">
        <v>74</v>
      </c>
      <c r="BS679" s="1" t="s">
        <v>6128</v>
      </c>
      <c r="BT679" s="1" t="str">
        <f>HYPERLINK("https%3A%2F%2Fwww.webofscience.com%2Fwos%2Fwoscc%2Ffull-record%2FWOS:001439584100002","View Full Record in Web of Science")</f>
        <v>View Full Record in Web of Science</v>
      </c>
    </row>
    <row r="680" ht="12.75" customHeight="1">
      <c r="A680" s="1" t="s">
        <v>72</v>
      </c>
      <c r="B680" s="1" t="s">
        <v>6129</v>
      </c>
      <c r="C680" s="1" t="s">
        <v>74</v>
      </c>
      <c r="D680" s="1" t="s">
        <v>74</v>
      </c>
      <c r="E680" s="1" t="s">
        <v>74</v>
      </c>
      <c r="F680" s="1" t="s">
        <v>6130</v>
      </c>
      <c r="G680" s="1" t="s">
        <v>74</v>
      </c>
      <c r="H680" s="1" t="s">
        <v>74</v>
      </c>
      <c r="I680" s="1" t="s">
        <v>6131</v>
      </c>
      <c r="J680" s="1" t="s">
        <v>1619</v>
      </c>
      <c r="K680" s="1" t="s">
        <v>74</v>
      </c>
      <c r="L680" s="1" t="s">
        <v>74</v>
      </c>
      <c r="M680" s="1" t="s">
        <v>74</v>
      </c>
      <c r="N680" s="1" t="s">
        <v>78</v>
      </c>
      <c r="O680" s="1" t="s">
        <v>74</v>
      </c>
      <c r="P680" s="1" t="s">
        <v>74</v>
      </c>
      <c r="Q680" s="1" t="s">
        <v>74</v>
      </c>
      <c r="R680" s="1" t="s">
        <v>74</v>
      </c>
      <c r="S680" s="1" t="s">
        <v>74</v>
      </c>
      <c r="T680" s="1" t="s">
        <v>6132</v>
      </c>
      <c r="U680" s="1" t="s">
        <v>6133</v>
      </c>
      <c r="V680" s="1" t="s">
        <v>6134</v>
      </c>
      <c r="W680" s="1" t="s">
        <v>74</v>
      </c>
      <c r="X680" s="1" t="s">
        <v>74</v>
      </c>
      <c r="Y680" s="1" t="s">
        <v>74</v>
      </c>
      <c r="Z680" s="1" t="s">
        <v>74</v>
      </c>
      <c r="AA680" s="1" t="s">
        <v>74</v>
      </c>
      <c r="AB680" s="1" t="s">
        <v>74</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1622</v>
      </c>
      <c r="AP680" s="1" t="s">
        <v>1623</v>
      </c>
      <c r="AQ680" s="1" t="s">
        <v>74</v>
      </c>
      <c r="AR680" s="1" t="s">
        <v>74</v>
      </c>
      <c r="AS680" s="1" t="s">
        <v>74</v>
      </c>
      <c r="AT680" s="1" t="s">
        <v>1078</v>
      </c>
      <c r="AU680" s="1">
        <v>2025.0</v>
      </c>
      <c r="AV680" s="1">
        <v>25.0</v>
      </c>
      <c r="AW680" s="1">
        <v>2.0</v>
      </c>
      <c r="AX680" s="1" t="s">
        <v>74</v>
      </c>
      <c r="AY680" s="1" t="s">
        <v>74</v>
      </c>
      <c r="AZ680" s="1" t="s">
        <v>74</v>
      </c>
      <c r="BA680" s="1" t="s">
        <v>74</v>
      </c>
      <c r="BB680" s="1" t="s">
        <v>74</v>
      </c>
      <c r="BC680" s="1" t="s">
        <v>74</v>
      </c>
      <c r="BD680" s="1">
        <v>21005.0</v>
      </c>
      <c r="BE680" s="1" t="s">
        <v>6135</v>
      </c>
      <c r="BF680" s="2" t="str">
        <f>HYPERLINK("http://dx.doi.org/10.1115/1.4067085","http://dx.doi.org/10.1115/1.4067085")</f>
        <v>http://dx.doi.org/10.1115/1.4067085</v>
      </c>
      <c r="BG680" s="1" t="s">
        <v>74</v>
      </c>
      <c r="BH680" s="1" t="s">
        <v>74</v>
      </c>
      <c r="BI680" s="1" t="s">
        <v>74</v>
      </c>
      <c r="BJ680" s="1" t="s">
        <v>74</v>
      </c>
      <c r="BK680" s="1" t="s">
        <v>74</v>
      </c>
      <c r="BL680" s="1" t="s">
        <v>98</v>
      </c>
      <c r="BM680" s="1" t="s">
        <v>74</v>
      </c>
      <c r="BN680" s="1" t="s">
        <v>74</v>
      </c>
      <c r="BO680" s="1" t="s">
        <v>74</v>
      </c>
      <c r="BP680" s="1" t="s">
        <v>74</v>
      </c>
      <c r="BQ680" s="1" t="s">
        <v>74</v>
      </c>
      <c r="BR680" s="1" t="s">
        <v>74</v>
      </c>
      <c r="BS680" s="1" t="s">
        <v>6136</v>
      </c>
      <c r="BT680" s="1" t="str">
        <f>HYPERLINK("https%3A%2F%2Fwww.webofscience.com%2Fwos%2Fwoscc%2Ffull-record%2FWOS:001403467800006","View Full Record in Web of Science")</f>
        <v>View Full Record in Web of Science</v>
      </c>
    </row>
    <row r="681" ht="12.75" customHeight="1">
      <c r="A681" s="1" t="s">
        <v>72</v>
      </c>
      <c r="B681" s="1" t="s">
        <v>6137</v>
      </c>
      <c r="C681" s="1" t="s">
        <v>74</v>
      </c>
      <c r="D681" s="1" t="s">
        <v>74</v>
      </c>
      <c r="E681" s="1" t="s">
        <v>74</v>
      </c>
      <c r="F681" s="1" t="s">
        <v>6138</v>
      </c>
      <c r="G681" s="1" t="s">
        <v>74</v>
      </c>
      <c r="H681" s="1" t="s">
        <v>74</v>
      </c>
      <c r="I681" s="1" t="s">
        <v>6139</v>
      </c>
      <c r="J681" s="1" t="s">
        <v>4886</v>
      </c>
      <c r="K681" s="1" t="s">
        <v>74</v>
      </c>
      <c r="L681" s="1" t="s">
        <v>74</v>
      </c>
      <c r="M681" s="1" t="s">
        <v>74</v>
      </c>
      <c r="N681" s="1" t="s">
        <v>78</v>
      </c>
      <c r="O681" s="1" t="s">
        <v>74</v>
      </c>
      <c r="P681" s="1" t="s">
        <v>74</v>
      </c>
      <c r="Q681" s="1" t="s">
        <v>74</v>
      </c>
      <c r="R681" s="1" t="s">
        <v>74</v>
      </c>
      <c r="S681" s="1" t="s">
        <v>74</v>
      </c>
      <c r="T681" s="1" t="s">
        <v>6140</v>
      </c>
      <c r="U681" s="1" t="s">
        <v>74</v>
      </c>
      <c r="V681" s="1" t="s">
        <v>6141</v>
      </c>
      <c r="W681" s="1" t="s">
        <v>74</v>
      </c>
      <c r="X681" s="1" t="s">
        <v>74</v>
      </c>
      <c r="Y681" s="1" t="s">
        <v>74</v>
      </c>
      <c r="Z681" s="1" t="s">
        <v>74</v>
      </c>
      <c r="AA681" s="1" t="s">
        <v>74</v>
      </c>
      <c r="AB681" s="1" t="s">
        <v>74</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4889</v>
      </c>
      <c r="AP681" s="1" t="s">
        <v>4890</v>
      </c>
      <c r="AQ681" s="1" t="s">
        <v>74</v>
      </c>
      <c r="AR681" s="1" t="s">
        <v>74</v>
      </c>
      <c r="AS681" s="1" t="s">
        <v>74</v>
      </c>
      <c r="AT681" s="1" t="s">
        <v>262</v>
      </c>
      <c r="AU681" s="1">
        <v>2024.0</v>
      </c>
      <c r="AV681" s="1">
        <v>61.0</v>
      </c>
      <c r="AW681" s="1">
        <v>6.0</v>
      </c>
      <c r="AX681" s="1" t="s">
        <v>74</v>
      </c>
      <c r="AY681" s="1" t="s">
        <v>74</v>
      </c>
      <c r="AZ681" s="1" t="s">
        <v>74</v>
      </c>
      <c r="BA681" s="1" t="s">
        <v>74</v>
      </c>
      <c r="BB681" s="1" t="s">
        <v>74</v>
      </c>
      <c r="BC681" s="1" t="s">
        <v>74</v>
      </c>
      <c r="BD681" s="1">
        <v>104010.0</v>
      </c>
      <c r="BE681" s="1" t="s">
        <v>6142</v>
      </c>
      <c r="BF681" s="2" t="str">
        <f>HYPERLINK("http://dx.doi.org/10.1016/j.im.2024.104010","http://dx.doi.org/10.1016/j.im.2024.104010")</f>
        <v>http://dx.doi.org/10.1016/j.im.2024.104010</v>
      </c>
      <c r="BG681" s="1" t="s">
        <v>74</v>
      </c>
      <c r="BH681" s="1" t="s">
        <v>545</v>
      </c>
      <c r="BI681" s="1" t="s">
        <v>74</v>
      </c>
      <c r="BJ681" s="1" t="s">
        <v>74</v>
      </c>
      <c r="BK681" s="1" t="s">
        <v>74</v>
      </c>
      <c r="BL681" s="1" t="s">
        <v>834</v>
      </c>
      <c r="BM681" s="1" t="s">
        <v>74</v>
      </c>
      <c r="BN681" s="1" t="s">
        <v>74</v>
      </c>
      <c r="BO681" s="1" t="s">
        <v>74</v>
      </c>
      <c r="BP681" s="1" t="s">
        <v>74</v>
      </c>
      <c r="BQ681" s="1" t="s">
        <v>74</v>
      </c>
      <c r="BR681" s="1" t="s">
        <v>74</v>
      </c>
      <c r="BS681" s="1" t="s">
        <v>6143</v>
      </c>
      <c r="BT681" s="1" t="str">
        <f>HYPERLINK("https%3A%2F%2Fwww.webofscience.com%2Fwos%2Fwoscc%2Ffull-record%2FWOS:001285202600001","View Full Record in Web of Science")</f>
        <v>View Full Record in Web of Science</v>
      </c>
    </row>
    <row r="682" ht="12.75" customHeight="1">
      <c r="A682" s="1" t="s">
        <v>72</v>
      </c>
      <c r="B682" s="1" t="s">
        <v>6144</v>
      </c>
      <c r="C682" s="1" t="s">
        <v>74</v>
      </c>
      <c r="D682" s="1" t="s">
        <v>74</v>
      </c>
      <c r="E682" s="1" t="s">
        <v>74</v>
      </c>
      <c r="F682" s="1" t="s">
        <v>6145</v>
      </c>
      <c r="G682" s="1" t="s">
        <v>74</v>
      </c>
      <c r="H682" s="1" t="s">
        <v>74</v>
      </c>
      <c r="I682" s="1" t="s">
        <v>6146</v>
      </c>
      <c r="J682" s="1" t="s">
        <v>6147</v>
      </c>
      <c r="K682" s="1" t="s">
        <v>74</v>
      </c>
      <c r="L682" s="1" t="s">
        <v>74</v>
      </c>
      <c r="M682" s="1" t="s">
        <v>74</v>
      </c>
      <c r="N682" s="1" t="s">
        <v>78</v>
      </c>
      <c r="O682" s="1" t="s">
        <v>74</v>
      </c>
      <c r="P682" s="1" t="s">
        <v>74</v>
      </c>
      <c r="Q682" s="1" t="s">
        <v>74</v>
      </c>
      <c r="R682" s="1" t="s">
        <v>74</v>
      </c>
      <c r="S682" s="1" t="s">
        <v>74</v>
      </c>
      <c r="T682" s="1" t="s">
        <v>6148</v>
      </c>
      <c r="U682" s="1" t="s">
        <v>6149</v>
      </c>
      <c r="V682" s="1" t="s">
        <v>6150</v>
      </c>
      <c r="W682" s="1" t="s">
        <v>74</v>
      </c>
      <c r="X682" s="1" t="s">
        <v>74</v>
      </c>
      <c r="Y682" s="1" t="s">
        <v>74</v>
      </c>
      <c r="Z682" s="1" t="s">
        <v>74</v>
      </c>
      <c r="AA682" s="1" t="s">
        <v>74</v>
      </c>
      <c r="AB682" s="1" t="s">
        <v>74</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6151</v>
      </c>
      <c r="AP682" s="1" t="s">
        <v>6152</v>
      </c>
      <c r="AQ682" s="1" t="s">
        <v>74</v>
      </c>
      <c r="AR682" s="1" t="s">
        <v>74</v>
      </c>
      <c r="AS682" s="1" t="s">
        <v>74</v>
      </c>
      <c r="AT682" s="1" t="s">
        <v>225</v>
      </c>
      <c r="AU682" s="1">
        <v>2025.0</v>
      </c>
      <c r="AV682" s="1">
        <v>232.0</v>
      </c>
      <c r="AW682" s="1" t="s">
        <v>74</v>
      </c>
      <c r="AX682" s="1" t="s">
        <v>74</v>
      </c>
      <c r="AY682" s="1" t="s">
        <v>74</v>
      </c>
      <c r="AZ682" s="1" t="s">
        <v>74</v>
      </c>
      <c r="BA682" s="1" t="s">
        <v>74</v>
      </c>
      <c r="BB682" s="1" t="s">
        <v>74</v>
      </c>
      <c r="BC682" s="1" t="s">
        <v>74</v>
      </c>
      <c r="BD682" s="1">
        <v>105307.0</v>
      </c>
      <c r="BE682" s="1" t="s">
        <v>6153</v>
      </c>
      <c r="BF682" s="2" t="str">
        <f>HYPERLINK("http://dx.doi.org/10.1016/j.compedu.2025.105307","http://dx.doi.org/10.1016/j.compedu.2025.105307")</f>
        <v>http://dx.doi.org/10.1016/j.compedu.2025.105307</v>
      </c>
      <c r="BG682" s="1" t="s">
        <v>74</v>
      </c>
      <c r="BH682" s="1" t="s">
        <v>526</v>
      </c>
      <c r="BI682" s="1" t="s">
        <v>74</v>
      </c>
      <c r="BJ682" s="1" t="s">
        <v>74</v>
      </c>
      <c r="BK682" s="1" t="s">
        <v>74</v>
      </c>
      <c r="BL682" s="1" t="s">
        <v>2404</v>
      </c>
      <c r="BM682" s="1" t="s">
        <v>74</v>
      </c>
      <c r="BN682" s="1" t="s">
        <v>74</v>
      </c>
      <c r="BO682" s="1" t="s">
        <v>74</v>
      </c>
      <c r="BP682" s="1" t="s">
        <v>74</v>
      </c>
      <c r="BQ682" s="1" t="s">
        <v>74</v>
      </c>
      <c r="BR682" s="1" t="s">
        <v>74</v>
      </c>
      <c r="BS682" s="1" t="s">
        <v>6154</v>
      </c>
      <c r="BT682" s="1" t="str">
        <f>HYPERLINK("https%3A%2F%2Fwww.webofscience.com%2Fwos%2Fwoscc%2Ffull-record%2FWOS:001464142100001","View Full Record in Web of Science")</f>
        <v>View Full Record in Web of Science</v>
      </c>
    </row>
    <row r="683" ht="12.75" customHeight="1">
      <c r="A683" s="1" t="s">
        <v>72</v>
      </c>
      <c r="B683" s="1" t="s">
        <v>6155</v>
      </c>
      <c r="C683" s="1" t="s">
        <v>74</v>
      </c>
      <c r="D683" s="1" t="s">
        <v>74</v>
      </c>
      <c r="E683" s="1" t="s">
        <v>74</v>
      </c>
      <c r="F683" s="1" t="s">
        <v>6156</v>
      </c>
      <c r="G683" s="1" t="s">
        <v>74</v>
      </c>
      <c r="H683" s="1" t="s">
        <v>74</v>
      </c>
      <c r="I683" s="1" t="s">
        <v>6157</v>
      </c>
      <c r="J683" s="1" t="s">
        <v>6158</v>
      </c>
      <c r="K683" s="1" t="s">
        <v>74</v>
      </c>
      <c r="L683" s="1" t="s">
        <v>74</v>
      </c>
      <c r="M683" s="1" t="s">
        <v>74</v>
      </c>
      <c r="N683" s="1" t="s">
        <v>953</v>
      </c>
      <c r="O683" s="1" t="s">
        <v>74</v>
      </c>
      <c r="P683" s="1" t="s">
        <v>74</v>
      </c>
      <c r="Q683" s="1" t="s">
        <v>74</v>
      </c>
      <c r="R683" s="1" t="s">
        <v>74</v>
      </c>
      <c r="S683" s="1" t="s">
        <v>74</v>
      </c>
      <c r="T683" s="1" t="s">
        <v>6159</v>
      </c>
      <c r="U683" s="1" t="s">
        <v>6160</v>
      </c>
      <c r="V683" s="1" t="s">
        <v>6161</v>
      </c>
      <c r="W683" s="1" t="s">
        <v>74</v>
      </c>
      <c r="X683" s="1" t="s">
        <v>74</v>
      </c>
      <c r="Y683" s="1" t="s">
        <v>74</v>
      </c>
      <c r="Z683" s="1" t="s">
        <v>74</v>
      </c>
      <c r="AA683" s="1" t="s">
        <v>74</v>
      </c>
      <c r="AB683" s="1" t="s">
        <v>74</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6162</v>
      </c>
      <c r="AP683" s="1" t="s">
        <v>6163</v>
      </c>
      <c r="AQ683" s="1" t="s">
        <v>74</v>
      </c>
      <c r="AR683" s="1" t="s">
        <v>74</v>
      </c>
      <c r="AS683" s="1" t="s">
        <v>74</v>
      </c>
      <c r="AT683" s="1" t="s">
        <v>6164</v>
      </c>
      <c r="AU683" s="1">
        <v>2025.0</v>
      </c>
      <c r="AV683" s="1" t="s">
        <v>74</v>
      </c>
      <c r="AW683" s="1" t="s">
        <v>74</v>
      </c>
      <c r="AX683" s="1" t="s">
        <v>74</v>
      </c>
      <c r="AY683" s="1" t="s">
        <v>74</v>
      </c>
      <c r="AZ683" s="1" t="s">
        <v>74</v>
      </c>
      <c r="BA683" s="1" t="s">
        <v>74</v>
      </c>
      <c r="BB683" s="1" t="s">
        <v>74</v>
      </c>
      <c r="BC683" s="1" t="s">
        <v>74</v>
      </c>
      <c r="BD683" s="1" t="s">
        <v>74</v>
      </c>
      <c r="BE683" s="1" t="s">
        <v>6165</v>
      </c>
      <c r="BF683" s="2" t="str">
        <f>HYPERLINK("http://dx.doi.org/10.1007/s10796-025-10582-6","http://dx.doi.org/10.1007/s10796-025-10582-6")</f>
        <v>http://dx.doi.org/10.1007/s10796-025-10582-6</v>
      </c>
      <c r="BG683" s="1" t="s">
        <v>74</v>
      </c>
      <c r="BH683" s="1" t="s">
        <v>314</v>
      </c>
      <c r="BI683" s="1" t="s">
        <v>74</v>
      </c>
      <c r="BJ683" s="1" t="s">
        <v>74</v>
      </c>
      <c r="BK683" s="1" t="s">
        <v>74</v>
      </c>
      <c r="BL683" s="1" t="s">
        <v>174</v>
      </c>
      <c r="BM683" s="1" t="s">
        <v>74</v>
      </c>
      <c r="BN683" s="1" t="s">
        <v>74</v>
      </c>
      <c r="BO683" s="1" t="s">
        <v>576</v>
      </c>
      <c r="BP683" s="1" t="s">
        <v>74</v>
      </c>
      <c r="BQ683" s="1" t="s">
        <v>74</v>
      </c>
      <c r="BR683" s="1" t="s">
        <v>74</v>
      </c>
      <c r="BS683" s="1" t="s">
        <v>6166</v>
      </c>
      <c r="BT683" s="1" t="str">
        <f>HYPERLINK("https%3A%2F%2Fwww.webofscience.com%2Fwos%2Fwoscc%2Ffull-record%2FWOS:001420063800001","View Full Record in Web of Science")</f>
        <v>View Full Record in Web of Science</v>
      </c>
    </row>
    <row r="684" ht="12.75" customHeight="1">
      <c r="A684" s="1" t="s">
        <v>72</v>
      </c>
      <c r="B684" s="1" t="s">
        <v>6167</v>
      </c>
      <c r="C684" s="1" t="s">
        <v>74</v>
      </c>
      <c r="D684" s="1" t="s">
        <v>74</v>
      </c>
      <c r="E684" s="1" t="s">
        <v>74</v>
      </c>
      <c r="F684" s="1" t="s">
        <v>6168</v>
      </c>
      <c r="G684" s="1" t="s">
        <v>74</v>
      </c>
      <c r="H684" s="1" t="s">
        <v>74</v>
      </c>
      <c r="I684" s="1" t="s">
        <v>6169</v>
      </c>
      <c r="J684" s="1" t="s">
        <v>1208</v>
      </c>
      <c r="K684" s="1" t="s">
        <v>74</v>
      </c>
      <c r="L684" s="1" t="s">
        <v>74</v>
      </c>
      <c r="M684" s="1" t="s">
        <v>74</v>
      </c>
      <c r="N684" s="1" t="s">
        <v>78</v>
      </c>
      <c r="O684" s="1" t="s">
        <v>74</v>
      </c>
      <c r="P684" s="1" t="s">
        <v>74</v>
      </c>
      <c r="Q684" s="1" t="s">
        <v>74</v>
      </c>
      <c r="R684" s="1" t="s">
        <v>74</v>
      </c>
      <c r="S684" s="1" t="s">
        <v>74</v>
      </c>
      <c r="T684" s="1" t="s">
        <v>6170</v>
      </c>
      <c r="U684" s="1" t="s">
        <v>74</v>
      </c>
      <c r="V684" s="1" t="s">
        <v>6171</v>
      </c>
      <c r="W684" s="1" t="s">
        <v>74</v>
      </c>
      <c r="X684" s="1" t="s">
        <v>74</v>
      </c>
      <c r="Y684" s="1" t="s">
        <v>74</v>
      </c>
      <c r="Z684" s="1" t="s">
        <v>74</v>
      </c>
      <c r="AA684" s="1" t="s">
        <v>74</v>
      </c>
      <c r="AB684" s="1" t="s">
        <v>74</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1211</v>
      </c>
      <c r="AP684" s="1" t="s">
        <v>1212</v>
      </c>
      <c r="AQ684" s="1" t="s">
        <v>74</v>
      </c>
      <c r="AR684" s="1" t="s">
        <v>74</v>
      </c>
      <c r="AS684" s="1" t="s">
        <v>74</v>
      </c>
      <c r="AT684" s="1" t="s">
        <v>172</v>
      </c>
      <c r="AU684" s="1">
        <v>2025.0</v>
      </c>
      <c r="AV684" s="1">
        <v>163.0</v>
      </c>
      <c r="AW684" s="1" t="s">
        <v>74</v>
      </c>
      <c r="AX684" s="1" t="s">
        <v>74</v>
      </c>
      <c r="AY684" s="1" t="s">
        <v>74</v>
      </c>
      <c r="AZ684" s="1" t="s">
        <v>74</v>
      </c>
      <c r="BA684" s="1" t="s">
        <v>74</v>
      </c>
      <c r="BB684" s="1" t="s">
        <v>74</v>
      </c>
      <c r="BC684" s="1" t="s">
        <v>74</v>
      </c>
      <c r="BD684" s="1">
        <v>105768.0</v>
      </c>
      <c r="BE684" s="1" t="s">
        <v>6172</v>
      </c>
      <c r="BF684" s="2" t="str">
        <f>HYPERLINK("http://dx.doi.org/10.1016/j.imavis.2025.105768","http://dx.doi.org/10.1016/j.imavis.2025.105768")</f>
        <v>http://dx.doi.org/10.1016/j.imavis.2025.105768</v>
      </c>
      <c r="BG684" s="1" t="s">
        <v>74</v>
      </c>
      <c r="BH684" s="1" t="s">
        <v>811</v>
      </c>
      <c r="BI684" s="1" t="s">
        <v>74</v>
      </c>
      <c r="BJ684" s="1" t="s">
        <v>74</v>
      </c>
      <c r="BK684" s="1" t="s">
        <v>74</v>
      </c>
      <c r="BL684" s="1" t="s">
        <v>1214</v>
      </c>
      <c r="BM684" s="1" t="s">
        <v>74</v>
      </c>
      <c r="BN684" s="1" t="s">
        <v>74</v>
      </c>
      <c r="BO684" s="1" t="s">
        <v>114</v>
      </c>
      <c r="BP684" s="1" t="s">
        <v>74</v>
      </c>
      <c r="BQ684" s="1" t="s">
        <v>74</v>
      </c>
      <c r="BR684" s="1" t="s">
        <v>74</v>
      </c>
      <c r="BS684" s="1" t="s">
        <v>6173</v>
      </c>
      <c r="BT684" s="1" t="str">
        <f>HYPERLINK("https%3A%2F%2Fwww.webofscience.com%2Fwos%2Fwoscc%2Ffull-record%2FWOS:001600704400001","View Full Record in Web of Science")</f>
        <v>View Full Record in Web of Science</v>
      </c>
    </row>
    <row r="685" ht="12.75" customHeight="1">
      <c r="A685" s="1" t="s">
        <v>72</v>
      </c>
      <c r="B685" s="1" t="s">
        <v>6174</v>
      </c>
      <c r="C685" s="1" t="s">
        <v>74</v>
      </c>
      <c r="D685" s="1" t="s">
        <v>74</v>
      </c>
      <c r="E685" s="1" t="s">
        <v>74</v>
      </c>
      <c r="F685" s="1" t="s">
        <v>6175</v>
      </c>
      <c r="G685" s="1" t="s">
        <v>74</v>
      </c>
      <c r="H685" s="1" t="s">
        <v>74</v>
      </c>
      <c r="I685" s="1" t="s">
        <v>6176</v>
      </c>
      <c r="J685" s="1" t="s">
        <v>296</v>
      </c>
      <c r="K685" s="1" t="s">
        <v>74</v>
      </c>
      <c r="L685" s="1" t="s">
        <v>74</v>
      </c>
      <c r="M685" s="1" t="s">
        <v>74</v>
      </c>
      <c r="N685" s="1" t="s">
        <v>78</v>
      </c>
      <c r="O685" s="1" t="s">
        <v>74</v>
      </c>
      <c r="P685" s="1" t="s">
        <v>74</v>
      </c>
      <c r="Q685" s="1" t="s">
        <v>74</v>
      </c>
      <c r="R685" s="1" t="s">
        <v>74</v>
      </c>
      <c r="S685" s="1" t="s">
        <v>74</v>
      </c>
      <c r="T685" s="1" t="s">
        <v>6177</v>
      </c>
      <c r="U685" s="1" t="s">
        <v>74</v>
      </c>
      <c r="V685" s="1" t="s">
        <v>6178</v>
      </c>
      <c r="W685" s="1" t="s">
        <v>74</v>
      </c>
      <c r="X685" s="1" t="s">
        <v>74</v>
      </c>
      <c r="Y685" s="1" t="s">
        <v>74</v>
      </c>
      <c r="Z685" s="1" t="s">
        <v>74</v>
      </c>
      <c r="AA685" s="1" t="s">
        <v>74</v>
      </c>
      <c r="AB685" s="1" t="s">
        <v>74</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299</v>
      </c>
      <c r="AP685" s="1" t="s">
        <v>300</v>
      </c>
      <c r="AQ685" s="1" t="s">
        <v>74</v>
      </c>
      <c r="AR685" s="1" t="s">
        <v>74</v>
      </c>
      <c r="AS685" s="1" t="s">
        <v>74</v>
      </c>
      <c r="AT685" s="1" t="s">
        <v>74</v>
      </c>
      <c r="AU685" s="1">
        <v>2025.0</v>
      </c>
      <c r="AV685" s="1">
        <v>85.0</v>
      </c>
      <c r="AW685" s="1">
        <v>2.0</v>
      </c>
      <c r="AX685" s="1" t="s">
        <v>74</v>
      </c>
      <c r="AY685" s="1" t="s">
        <v>74</v>
      </c>
      <c r="AZ685" s="1" t="s">
        <v>74</v>
      </c>
      <c r="BA685" s="1" t="s">
        <v>74</v>
      </c>
      <c r="BB685" s="1">
        <v>3321.0</v>
      </c>
      <c r="BC685" s="1">
        <v>3334.0</v>
      </c>
      <c r="BD685" s="1" t="s">
        <v>74</v>
      </c>
      <c r="BE685" s="1" t="s">
        <v>6179</v>
      </c>
      <c r="BF685" s="2" t="str">
        <f>HYPERLINK("http://dx.doi.org/10.32604/cmc.2025.067044","http://dx.doi.org/10.32604/cmc.2025.067044")</f>
        <v>http://dx.doi.org/10.32604/cmc.2025.067044</v>
      </c>
      <c r="BG685" s="1" t="s">
        <v>74</v>
      </c>
      <c r="BH685" s="1" t="s">
        <v>74</v>
      </c>
      <c r="BI685" s="1" t="s">
        <v>74</v>
      </c>
      <c r="BJ685" s="1" t="s">
        <v>74</v>
      </c>
      <c r="BK685" s="1" t="s">
        <v>74</v>
      </c>
      <c r="BL685" s="1" t="s">
        <v>302</v>
      </c>
      <c r="BM685" s="1" t="s">
        <v>74</v>
      </c>
      <c r="BN685" s="1" t="s">
        <v>74</v>
      </c>
      <c r="BO685" s="1" t="s">
        <v>163</v>
      </c>
      <c r="BP685" s="1" t="s">
        <v>74</v>
      </c>
      <c r="BQ685" s="1" t="s">
        <v>74</v>
      </c>
      <c r="BR685" s="1" t="s">
        <v>74</v>
      </c>
      <c r="BS685" s="1" t="s">
        <v>6180</v>
      </c>
      <c r="BT685" s="1" t="str">
        <f>HYPERLINK("https%3A%2F%2Fwww.webofscience.com%2Fwos%2Fwoscc%2Ffull-record%2FWOS:001591361300001","View Full Record in Web of Science")</f>
        <v>View Full Record in Web of Science</v>
      </c>
    </row>
    <row r="686" ht="12.75" customHeight="1">
      <c r="A686" s="1" t="s">
        <v>72</v>
      </c>
      <c r="B686" s="1" t="s">
        <v>6181</v>
      </c>
      <c r="C686" s="1" t="s">
        <v>74</v>
      </c>
      <c r="D686" s="1" t="s">
        <v>74</v>
      </c>
      <c r="E686" s="1" t="s">
        <v>74</v>
      </c>
      <c r="F686" s="1" t="s">
        <v>6182</v>
      </c>
      <c r="G686" s="1" t="s">
        <v>74</v>
      </c>
      <c r="H686" s="1" t="s">
        <v>74</v>
      </c>
      <c r="I686" s="1" t="s">
        <v>6183</v>
      </c>
      <c r="J686" s="1" t="s">
        <v>720</v>
      </c>
      <c r="K686" s="1" t="s">
        <v>74</v>
      </c>
      <c r="L686" s="1" t="s">
        <v>74</v>
      </c>
      <c r="M686" s="1" t="s">
        <v>74</v>
      </c>
      <c r="N686" s="1" t="s">
        <v>78</v>
      </c>
      <c r="O686" s="1" t="s">
        <v>74</v>
      </c>
      <c r="P686" s="1" t="s">
        <v>74</v>
      </c>
      <c r="Q686" s="1" t="s">
        <v>74</v>
      </c>
      <c r="R686" s="1" t="s">
        <v>74</v>
      </c>
      <c r="S686" s="1" t="s">
        <v>74</v>
      </c>
      <c r="T686" s="1" t="s">
        <v>6184</v>
      </c>
      <c r="U686" s="1" t="s">
        <v>74</v>
      </c>
      <c r="V686" s="1" t="s">
        <v>6185</v>
      </c>
      <c r="W686" s="1" t="s">
        <v>74</v>
      </c>
      <c r="X686" s="1" t="s">
        <v>74</v>
      </c>
      <c r="Y686" s="1" t="s">
        <v>74</v>
      </c>
      <c r="Z686" s="1" t="s">
        <v>74</v>
      </c>
      <c r="AA686" s="1" t="s">
        <v>74</v>
      </c>
      <c r="AB686" s="1" t="s">
        <v>74</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723</v>
      </c>
      <c r="AP686" s="1" t="s">
        <v>724</v>
      </c>
      <c r="AQ686" s="1" t="s">
        <v>74</v>
      </c>
      <c r="AR686" s="1" t="s">
        <v>74</v>
      </c>
      <c r="AS686" s="1" t="s">
        <v>74</v>
      </c>
      <c r="AT686" s="1" t="s">
        <v>6186</v>
      </c>
      <c r="AU686" s="1">
        <v>2025.0</v>
      </c>
      <c r="AV686" s="1">
        <v>647.0</v>
      </c>
      <c r="AW686" s="1" t="s">
        <v>74</v>
      </c>
      <c r="AX686" s="1" t="s">
        <v>74</v>
      </c>
      <c r="AY686" s="1" t="s">
        <v>74</v>
      </c>
      <c r="AZ686" s="1" t="s">
        <v>74</v>
      </c>
      <c r="BA686" s="1" t="s">
        <v>74</v>
      </c>
      <c r="BB686" s="1" t="s">
        <v>74</v>
      </c>
      <c r="BC686" s="1" t="s">
        <v>74</v>
      </c>
      <c r="BD686" s="1">
        <v>130470.0</v>
      </c>
      <c r="BE686" s="1" t="s">
        <v>6187</v>
      </c>
      <c r="BF686" s="2" t="str">
        <f>HYPERLINK("http://dx.doi.org/10.1016/j.neucom.2025.130470","http://dx.doi.org/10.1016/j.neucom.2025.130470")</f>
        <v>http://dx.doi.org/10.1016/j.neucom.2025.130470</v>
      </c>
      <c r="BG686" s="1" t="s">
        <v>74</v>
      </c>
      <c r="BH686" s="1" t="s">
        <v>112</v>
      </c>
      <c r="BI686" s="1" t="s">
        <v>74</v>
      </c>
      <c r="BJ686" s="1" t="s">
        <v>74</v>
      </c>
      <c r="BK686" s="1" t="s">
        <v>74</v>
      </c>
      <c r="BL686" s="1" t="s">
        <v>174</v>
      </c>
      <c r="BM686" s="1" t="s">
        <v>74</v>
      </c>
      <c r="BN686" s="1" t="s">
        <v>74</v>
      </c>
      <c r="BO686" s="1" t="s">
        <v>74</v>
      </c>
      <c r="BP686" s="1" t="s">
        <v>74</v>
      </c>
      <c r="BQ686" s="1" t="s">
        <v>74</v>
      </c>
      <c r="BR686" s="1" t="s">
        <v>74</v>
      </c>
      <c r="BS686" s="1" t="s">
        <v>6188</v>
      </c>
      <c r="BT686" s="1" t="str">
        <f>HYPERLINK("https%3A%2F%2Fwww.webofscience.com%2Fwos%2Fwoscc%2Ffull-record%2FWOS:001503666200008","View Full Record in Web of Science")</f>
        <v>View Full Record in Web of Science</v>
      </c>
    </row>
    <row r="687" ht="12.75" customHeight="1">
      <c r="A687" s="1" t="s">
        <v>72</v>
      </c>
      <c r="B687" s="1" t="s">
        <v>6189</v>
      </c>
      <c r="C687" s="1" t="s">
        <v>74</v>
      </c>
      <c r="D687" s="1" t="s">
        <v>74</v>
      </c>
      <c r="E687" s="1" t="s">
        <v>74</v>
      </c>
      <c r="F687" s="1" t="s">
        <v>6190</v>
      </c>
      <c r="G687" s="1" t="s">
        <v>74</v>
      </c>
      <c r="H687" s="1" t="s">
        <v>74</v>
      </c>
      <c r="I687" s="1" t="s">
        <v>6191</v>
      </c>
      <c r="J687" s="1" t="s">
        <v>3598</v>
      </c>
      <c r="K687" s="1" t="s">
        <v>74</v>
      </c>
      <c r="L687" s="1" t="s">
        <v>74</v>
      </c>
      <c r="M687" s="1" t="s">
        <v>74</v>
      </c>
      <c r="N687" s="1" t="s">
        <v>78</v>
      </c>
      <c r="O687" s="1" t="s">
        <v>74</v>
      </c>
      <c r="P687" s="1" t="s">
        <v>74</v>
      </c>
      <c r="Q687" s="1" t="s">
        <v>74</v>
      </c>
      <c r="R687" s="1" t="s">
        <v>74</v>
      </c>
      <c r="S687" s="1" t="s">
        <v>74</v>
      </c>
      <c r="T687" s="1" t="s">
        <v>6192</v>
      </c>
      <c r="U687" s="1" t="s">
        <v>74</v>
      </c>
      <c r="V687" s="1" t="s">
        <v>6193</v>
      </c>
      <c r="W687" s="1" t="s">
        <v>74</v>
      </c>
      <c r="X687" s="1" t="s">
        <v>74</v>
      </c>
      <c r="Y687" s="1" t="s">
        <v>74</v>
      </c>
      <c r="Z687" s="1" t="s">
        <v>74</v>
      </c>
      <c r="AA687" s="1" t="s">
        <v>74</v>
      </c>
      <c r="AB687" s="1" t="s">
        <v>74</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3601</v>
      </c>
      <c r="AP687" s="1" t="s">
        <v>74</v>
      </c>
      <c r="AQ687" s="1" t="s">
        <v>74</v>
      </c>
      <c r="AR687" s="1" t="s">
        <v>74</v>
      </c>
      <c r="AS687" s="1" t="s">
        <v>74</v>
      </c>
      <c r="AT687" s="1" t="s">
        <v>200</v>
      </c>
      <c r="AU687" s="1">
        <v>2025.0</v>
      </c>
      <c r="AV687" s="1">
        <v>11.0</v>
      </c>
      <c r="AW687" s="1">
        <v>6.0</v>
      </c>
      <c r="AX687" s="1" t="s">
        <v>74</v>
      </c>
      <c r="AY687" s="1" t="s">
        <v>74</v>
      </c>
      <c r="AZ687" s="1" t="s">
        <v>74</v>
      </c>
      <c r="BA687" s="1" t="s">
        <v>74</v>
      </c>
      <c r="BB687" s="1">
        <v>3443.0</v>
      </c>
      <c r="BC687" s="1">
        <v>3459.0</v>
      </c>
      <c r="BD687" s="1" t="s">
        <v>74</v>
      </c>
      <c r="BE687" s="1" t="s">
        <v>6194</v>
      </c>
      <c r="BF687" s="2" t="str">
        <f>HYPERLINK("http://dx.doi.org/10.1109/TBDATA.2025.3593370","http://dx.doi.org/10.1109/TBDATA.2025.3593370")</f>
        <v>http://dx.doi.org/10.1109/TBDATA.2025.3593370</v>
      </c>
      <c r="BG687" s="1" t="s">
        <v>74</v>
      </c>
      <c r="BH687" s="1" t="s">
        <v>74</v>
      </c>
      <c r="BI687" s="1" t="s">
        <v>74</v>
      </c>
      <c r="BJ687" s="1" t="s">
        <v>74</v>
      </c>
      <c r="BK687" s="1" t="s">
        <v>74</v>
      </c>
      <c r="BL687" s="1" t="s">
        <v>174</v>
      </c>
      <c r="BM687" s="1" t="s">
        <v>74</v>
      </c>
      <c r="BN687" s="1" t="s">
        <v>74</v>
      </c>
      <c r="BO687" s="1" t="s">
        <v>74</v>
      </c>
      <c r="BP687" s="1" t="s">
        <v>74</v>
      </c>
      <c r="BQ687" s="1" t="s">
        <v>74</v>
      </c>
      <c r="BR687" s="1" t="s">
        <v>74</v>
      </c>
      <c r="BS687" s="1" t="s">
        <v>6195</v>
      </c>
      <c r="BT687" s="1" t="str">
        <f>HYPERLINK("https%3A%2F%2Fwww.webofscience.com%2Fwos%2Fwoscc%2Ffull-record%2FWOS:001626457200040","View Full Record in Web of Science")</f>
        <v>View Full Record in Web of Science</v>
      </c>
    </row>
    <row r="688" ht="12.75" customHeight="1">
      <c r="A688" s="1" t="s">
        <v>72</v>
      </c>
      <c r="B688" s="1" t="s">
        <v>6196</v>
      </c>
      <c r="C688" s="1" t="s">
        <v>74</v>
      </c>
      <c r="D688" s="1" t="s">
        <v>74</v>
      </c>
      <c r="E688" s="1" t="s">
        <v>74</v>
      </c>
      <c r="F688" s="1" t="s">
        <v>6197</v>
      </c>
      <c r="G688" s="1" t="s">
        <v>74</v>
      </c>
      <c r="H688" s="1" t="s">
        <v>74</v>
      </c>
      <c r="I688" s="1" t="s">
        <v>6198</v>
      </c>
      <c r="J688" s="1" t="s">
        <v>519</v>
      </c>
      <c r="K688" s="1" t="s">
        <v>74</v>
      </c>
      <c r="L688" s="1" t="s">
        <v>74</v>
      </c>
      <c r="M688" s="1" t="s">
        <v>74</v>
      </c>
      <c r="N688" s="1" t="s">
        <v>78</v>
      </c>
      <c r="O688" s="1" t="s">
        <v>74</v>
      </c>
      <c r="P688" s="1" t="s">
        <v>74</v>
      </c>
      <c r="Q688" s="1" t="s">
        <v>74</v>
      </c>
      <c r="R688" s="1" t="s">
        <v>74</v>
      </c>
      <c r="S688" s="1" t="s">
        <v>74</v>
      </c>
      <c r="T688" s="1" t="s">
        <v>6199</v>
      </c>
      <c r="U688" s="1" t="s">
        <v>74</v>
      </c>
      <c r="V688" s="1" t="s">
        <v>6200</v>
      </c>
      <c r="W688" s="1" t="s">
        <v>74</v>
      </c>
      <c r="X688" s="1" t="s">
        <v>74</v>
      </c>
      <c r="Y688" s="1" t="s">
        <v>74</v>
      </c>
      <c r="Z688" s="1" t="s">
        <v>74</v>
      </c>
      <c r="AA688" s="1" t="s">
        <v>74</v>
      </c>
      <c r="AB688" s="1" t="s">
        <v>74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523</v>
      </c>
      <c r="AP688" s="1" t="s">
        <v>524</v>
      </c>
      <c r="AQ688" s="1" t="s">
        <v>74</v>
      </c>
      <c r="AR688" s="1" t="s">
        <v>74</v>
      </c>
      <c r="AS688" s="1" t="s">
        <v>74</v>
      </c>
      <c r="AT688" s="1" t="s">
        <v>736</v>
      </c>
      <c r="AU688" s="1">
        <v>2026.0</v>
      </c>
      <c r="AV688" s="1">
        <v>125.0</v>
      </c>
      <c r="AW688" s="1" t="s">
        <v>74</v>
      </c>
      <c r="AX688" s="1" t="s">
        <v>74</v>
      </c>
      <c r="AY688" s="1" t="s">
        <v>74</v>
      </c>
      <c r="AZ688" s="1" t="s">
        <v>74</v>
      </c>
      <c r="BA688" s="1" t="s">
        <v>74</v>
      </c>
      <c r="BB688" s="1" t="s">
        <v>74</v>
      </c>
      <c r="BC688" s="1" t="s">
        <v>74</v>
      </c>
      <c r="BD688" s="1">
        <v>103444.0</v>
      </c>
      <c r="BE688" s="1" t="s">
        <v>6201</v>
      </c>
      <c r="BF688" s="2" t="str">
        <f>HYPERLINK("http://dx.doi.org/10.1016/j.inffus.2025.103444","http://dx.doi.org/10.1016/j.inffus.2025.103444")</f>
        <v>http://dx.doi.org/10.1016/j.inffus.2025.103444</v>
      </c>
      <c r="BG688" s="1" t="s">
        <v>74</v>
      </c>
      <c r="BH688" s="1" t="s">
        <v>973</v>
      </c>
      <c r="BI688" s="1" t="s">
        <v>74</v>
      </c>
      <c r="BJ688" s="1" t="s">
        <v>74</v>
      </c>
      <c r="BK688" s="1" t="s">
        <v>74</v>
      </c>
      <c r="BL688" s="1" t="s">
        <v>174</v>
      </c>
      <c r="BM688" s="1" t="s">
        <v>74</v>
      </c>
      <c r="BN688" s="1" t="s">
        <v>74</v>
      </c>
      <c r="BO688" s="1" t="s">
        <v>74</v>
      </c>
      <c r="BP688" s="1" t="s">
        <v>74</v>
      </c>
      <c r="BQ688" s="1" t="s">
        <v>74</v>
      </c>
      <c r="BR688" s="1" t="s">
        <v>74</v>
      </c>
      <c r="BS688" s="1" t="s">
        <v>6202</v>
      </c>
      <c r="BT688" s="1" t="str">
        <f>HYPERLINK("https%3A%2F%2Fwww.webofscience.com%2Fwos%2Fwoscc%2Ffull-record%2FWOS:001525744800004","View Full Record in Web of Science")</f>
        <v>View Full Record in Web of Science</v>
      </c>
    </row>
    <row r="689" ht="12.75" customHeight="1">
      <c r="A689" s="1" t="s">
        <v>72</v>
      </c>
      <c r="B689" s="1" t="s">
        <v>6203</v>
      </c>
      <c r="C689" s="1" t="s">
        <v>74</v>
      </c>
      <c r="D689" s="1" t="s">
        <v>74</v>
      </c>
      <c r="E689" s="1" t="s">
        <v>74</v>
      </c>
      <c r="F689" s="1" t="s">
        <v>6204</v>
      </c>
      <c r="G689" s="1" t="s">
        <v>74</v>
      </c>
      <c r="H689" s="1" t="s">
        <v>74</v>
      </c>
      <c r="I689" s="1" t="s">
        <v>6205</v>
      </c>
      <c r="J689" s="1" t="s">
        <v>6206</v>
      </c>
      <c r="K689" s="1" t="s">
        <v>74</v>
      </c>
      <c r="L689" s="1" t="s">
        <v>74</v>
      </c>
      <c r="M689" s="1" t="s">
        <v>74</v>
      </c>
      <c r="N689" s="1" t="s">
        <v>78</v>
      </c>
      <c r="O689" s="1" t="s">
        <v>74</v>
      </c>
      <c r="P689" s="1" t="s">
        <v>74</v>
      </c>
      <c r="Q689" s="1" t="s">
        <v>74</v>
      </c>
      <c r="R689" s="1" t="s">
        <v>74</v>
      </c>
      <c r="S689" s="1" t="s">
        <v>74</v>
      </c>
      <c r="T689" s="1" t="s">
        <v>74</v>
      </c>
      <c r="U689" s="1" t="s">
        <v>74</v>
      </c>
      <c r="V689" s="1" t="s">
        <v>6207</v>
      </c>
      <c r="W689" s="1" t="s">
        <v>74</v>
      </c>
      <c r="X689" s="1" t="s">
        <v>74</v>
      </c>
      <c r="Y689" s="1" t="s">
        <v>74</v>
      </c>
      <c r="Z689" s="1" t="s">
        <v>74</v>
      </c>
      <c r="AA689" s="1" t="s">
        <v>74</v>
      </c>
      <c r="AB689" s="1" t="s">
        <v>74</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74</v>
      </c>
      <c r="AP689" s="1" t="s">
        <v>6208</v>
      </c>
      <c r="AQ689" s="1" t="s">
        <v>74</v>
      </c>
      <c r="AR689" s="1" t="s">
        <v>74</v>
      </c>
      <c r="AS689" s="1" t="s">
        <v>74</v>
      </c>
      <c r="AT689" s="1" t="s">
        <v>6209</v>
      </c>
      <c r="AU689" s="1">
        <v>2025.0</v>
      </c>
      <c r="AV689" s="1">
        <v>12.0</v>
      </c>
      <c r="AW689" s="1">
        <v>1.0</v>
      </c>
      <c r="AX689" s="1" t="s">
        <v>74</v>
      </c>
      <c r="AY689" s="1" t="s">
        <v>74</v>
      </c>
      <c r="AZ689" s="1" t="s">
        <v>74</v>
      </c>
      <c r="BA689" s="1" t="s">
        <v>74</v>
      </c>
      <c r="BB689" s="1" t="s">
        <v>74</v>
      </c>
      <c r="BC689" s="1" t="s">
        <v>74</v>
      </c>
      <c r="BD689" s="1">
        <v>179.0</v>
      </c>
      <c r="BE689" s="1" t="s">
        <v>6210</v>
      </c>
      <c r="BF689" s="2" t="str">
        <f>HYPERLINK("http://dx.doi.org/10.1057/s41599-025-04465-z","http://dx.doi.org/10.1057/s41599-025-04465-z")</f>
        <v>http://dx.doi.org/10.1057/s41599-025-04465-z</v>
      </c>
      <c r="BG689" s="1" t="s">
        <v>74</v>
      </c>
      <c r="BH689" s="1" t="s">
        <v>74</v>
      </c>
      <c r="BI689" s="1" t="s">
        <v>74</v>
      </c>
      <c r="BJ689" s="1" t="s">
        <v>74</v>
      </c>
      <c r="BK689" s="1" t="s">
        <v>74</v>
      </c>
      <c r="BL689" s="1" t="s">
        <v>6211</v>
      </c>
      <c r="BM689" s="1" t="s">
        <v>74</v>
      </c>
      <c r="BN689" s="1" t="s">
        <v>74</v>
      </c>
      <c r="BO689" s="1" t="s">
        <v>163</v>
      </c>
      <c r="BP689" s="1" t="s">
        <v>74</v>
      </c>
      <c r="BQ689" s="1" t="s">
        <v>74</v>
      </c>
      <c r="BR689" s="1" t="s">
        <v>74</v>
      </c>
      <c r="BS689" s="1" t="s">
        <v>6212</v>
      </c>
      <c r="BT689" s="1" t="str">
        <f>HYPERLINK("https%3A%2F%2Fwww.webofscience.com%2Fwos%2Fwoscc%2Ffull-record%2FWOS:001417583100004","View Full Record in Web of Science")</f>
        <v>View Full Record in Web of Science</v>
      </c>
    </row>
    <row r="690" ht="12.75" customHeight="1">
      <c r="A690" s="1" t="s">
        <v>72</v>
      </c>
      <c r="B690" s="1" t="s">
        <v>6213</v>
      </c>
      <c r="C690" s="1" t="s">
        <v>74</v>
      </c>
      <c r="D690" s="1" t="s">
        <v>74</v>
      </c>
      <c r="E690" s="1" t="s">
        <v>74</v>
      </c>
      <c r="F690" s="1" t="s">
        <v>6214</v>
      </c>
      <c r="G690" s="1" t="s">
        <v>74</v>
      </c>
      <c r="H690" s="1" t="s">
        <v>74</v>
      </c>
      <c r="I690" s="1" t="s">
        <v>6215</v>
      </c>
      <c r="J690" s="1" t="s">
        <v>675</v>
      </c>
      <c r="K690" s="1" t="s">
        <v>74</v>
      </c>
      <c r="L690" s="1" t="s">
        <v>74</v>
      </c>
      <c r="M690" s="1" t="s">
        <v>74</v>
      </c>
      <c r="N690" s="1" t="s">
        <v>78</v>
      </c>
      <c r="O690" s="1" t="s">
        <v>74</v>
      </c>
      <c r="P690" s="1" t="s">
        <v>74</v>
      </c>
      <c r="Q690" s="1" t="s">
        <v>74</v>
      </c>
      <c r="R690" s="1" t="s">
        <v>74</v>
      </c>
      <c r="S690" s="1" t="s">
        <v>74</v>
      </c>
      <c r="T690" s="1" t="s">
        <v>6216</v>
      </c>
      <c r="U690" s="1" t="s">
        <v>74</v>
      </c>
      <c r="V690" s="1" t="s">
        <v>6217</v>
      </c>
      <c r="W690" s="1" t="s">
        <v>74</v>
      </c>
      <c r="X690" s="1" t="s">
        <v>74</v>
      </c>
      <c r="Y690" s="1" t="s">
        <v>74</v>
      </c>
      <c r="Z690" s="1" t="s">
        <v>74</v>
      </c>
      <c r="AA690" s="1" t="s">
        <v>74</v>
      </c>
      <c r="AB690" s="1" t="s">
        <v>74</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74</v>
      </c>
      <c r="AP690" s="1" t="s">
        <v>679</v>
      </c>
      <c r="AQ690" s="1" t="s">
        <v>74</v>
      </c>
      <c r="AR690" s="1" t="s">
        <v>74</v>
      </c>
      <c r="AS690" s="1" t="s">
        <v>74</v>
      </c>
      <c r="AT690" s="1" t="s">
        <v>6218</v>
      </c>
      <c r="AU690" s="1">
        <v>2025.0</v>
      </c>
      <c r="AV690" s="1">
        <v>8.0</v>
      </c>
      <c r="AW690" s="1" t="s">
        <v>74</v>
      </c>
      <c r="AX690" s="1" t="s">
        <v>74</v>
      </c>
      <c r="AY690" s="1" t="s">
        <v>74</v>
      </c>
      <c r="AZ690" s="1" t="s">
        <v>74</v>
      </c>
      <c r="BA690" s="1" t="s">
        <v>74</v>
      </c>
      <c r="BB690" s="1" t="s">
        <v>74</v>
      </c>
      <c r="BC690" s="1" t="s">
        <v>74</v>
      </c>
      <c r="BD690" s="1">
        <v>1558696.0</v>
      </c>
      <c r="BE690" s="1" t="s">
        <v>6219</v>
      </c>
      <c r="BF690" s="2" t="str">
        <f>HYPERLINK("http://dx.doi.org/10.3389/frai.2025.1558696","http://dx.doi.org/10.3389/frai.2025.1558696")</f>
        <v>http://dx.doi.org/10.3389/frai.2025.1558696</v>
      </c>
      <c r="BG690" s="1" t="s">
        <v>74</v>
      </c>
      <c r="BH690" s="1" t="s">
        <v>74</v>
      </c>
      <c r="BI690" s="1" t="s">
        <v>74</v>
      </c>
      <c r="BJ690" s="1" t="s">
        <v>74</v>
      </c>
      <c r="BK690" s="1" t="s">
        <v>74</v>
      </c>
      <c r="BL690" s="1" t="s">
        <v>174</v>
      </c>
      <c r="BM690" s="1" t="s">
        <v>74</v>
      </c>
      <c r="BN690" s="1" t="s">
        <v>74</v>
      </c>
      <c r="BO690" s="1" t="s">
        <v>153</v>
      </c>
      <c r="BP690" s="1" t="s">
        <v>74</v>
      </c>
      <c r="BQ690" s="1" t="s">
        <v>74</v>
      </c>
      <c r="BR690" s="1" t="s">
        <v>74</v>
      </c>
      <c r="BS690" s="1" t="s">
        <v>6220</v>
      </c>
      <c r="BT690" s="1" t="str">
        <f>HYPERLINK("https%3A%2F%2Fwww.webofscience.com%2Fwos%2Fwoscc%2Ffull-record%2FWOS:001455995400001","View Full Record in Web of Science")</f>
        <v>View Full Record in Web of Science</v>
      </c>
    </row>
    <row r="691" ht="12.75" customHeight="1">
      <c r="A691" s="1" t="s">
        <v>72</v>
      </c>
      <c r="B691" s="1" t="s">
        <v>6221</v>
      </c>
      <c r="C691" s="1" t="s">
        <v>74</v>
      </c>
      <c r="D691" s="1" t="s">
        <v>74</v>
      </c>
      <c r="E691" s="1" t="s">
        <v>74</v>
      </c>
      <c r="F691" s="1" t="s">
        <v>6222</v>
      </c>
      <c r="G691" s="1" t="s">
        <v>74</v>
      </c>
      <c r="H691" s="1" t="s">
        <v>74</v>
      </c>
      <c r="I691" s="1" t="s">
        <v>6223</v>
      </c>
      <c r="J691" s="1" t="s">
        <v>147</v>
      </c>
      <c r="K691" s="1" t="s">
        <v>74</v>
      </c>
      <c r="L691" s="1" t="s">
        <v>74</v>
      </c>
      <c r="M691" s="1" t="s">
        <v>74</v>
      </c>
      <c r="N691" s="1" t="s">
        <v>78</v>
      </c>
      <c r="O691" s="1" t="s">
        <v>74</v>
      </c>
      <c r="P691" s="1" t="s">
        <v>74</v>
      </c>
      <c r="Q691" s="1" t="s">
        <v>74</v>
      </c>
      <c r="R691" s="1" t="s">
        <v>74</v>
      </c>
      <c r="S691" s="1" t="s">
        <v>74</v>
      </c>
      <c r="T691" s="1" t="s">
        <v>6224</v>
      </c>
      <c r="U691" s="1" t="s">
        <v>74</v>
      </c>
      <c r="V691" s="1" t="s">
        <v>6225</v>
      </c>
      <c r="W691" s="1" t="s">
        <v>74</v>
      </c>
      <c r="X691" s="1" t="s">
        <v>74</v>
      </c>
      <c r="Y691" s="1" t="s">
        <v>74</v>
      </c>
      <c r="Z691" s="1" t="s">
        <v>74</v>
      </c>
      <c r="AA691" s="1" t="s">
        <v>74</v>
      </c>
      <c r="AB691" s="1" t="s">
        <v>74</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150</v>
      </c>
      <c r="AP691" s="1" t="s">
        <v>74</v>
      </c>
      <c r="AQ691" s="1" t="s">
        <v>74</v>
      </c>
      <c r="AR691" s="1" t="s">
        <v>74</v>
      </c>
      <c r="AS691" s="1" t="s">
        <v>74</v>
      </c>
      <c r="AT691" s="1" t="s">
        <v>74</v>
      </c>
      <c r="AU691" s="1">
        <v>2025.0</v>
      </c>
      <c r="AV691" s="1">
        <v>13.0</v>
      </c>
      <c r="AW691" s="1" t="s">
        <v>74</v>
      </c>
      <c r="AX691" s="1" t="s">
        <v>74</v>
      </c>
      <c r="AY691" s="1" t="s">
        <v>74</v>
      </c>
      <c r="AZ691" s="1" t="s">
        <v>74</v>
      </c>
      <c r="BA691" s="1" t="s">
        <v>74</v>
      </c>
      <c r="BB691" s="1">
        <v>193083.0</v>
      </c>
      <c r="BC691" s="1">
        <v>193097.0</v>
      </c>
      <c r="BD691" s="1" t="s">
        <v>74</v>
      </c>
      <c r="BE691" s="1" t="s">
        <v>6226</v>
      </c>
      <c r="BF691" s="2" t="str">
        <f>HYPERLINK("http://dx.doi.org/10.1109/ACCESS.2025.3631733","http://dx.doi.org/10.1109/ACCESS.2025.3631733")</f>
        <v>http://dx.doi.org/10.1109/ACCESS.2025.3631733</v>
      </c>
      <c r="BG691" s="1" t="s">
        <v>74</v>
      </c>
      <c r="BH691" s="1" t="s">
        <v>74</v>
      </c>
      <c r="BI691" s="1" t="s">
        <v>74</v>
      </c>
      <c r="BJ691" s="1" t="s">
        <v>74</v>
      </c>
      <c r="BK691" s="1" t="s">
        <v>74</v>
      </c>
      <c r="BL691" s="1" t="s">
        <v>152</v>
      </c>
      <c r="BM691" s="1" t="s">
        <v>74</v>
      </c>
      <c r="BN691" s="1" t="s">
        <v>74</v>
      </c>
      <c r="BO691" s="1" t="s">
        <v>153</v>
      </c>
      <c r="BP691" s="1" t="s">
        <v>74</v>
      </c>
      <c r="BQ691" s="1" t="s">
        <v>74</v>
      </c>
      <c r="BR691" s="1" t="s">
        <v>74</v>
      </c>
      <c r="BS691" s="1" t="s">
        <v>6227</v>
      </c>
      <c r="BT691" s="1" t="str">
        <f>HYPERLINK("https%3A%2F%2Fwww.webofscience.com%2Fwos%2Fwoscc%2Ffull-record%2FWOS:001619064400049","View Full Record in Web of Science")</f>
        <v>View Full Record in Web of Science</v>
      </c>
    </row>
    <row r="692" ht="12.75" customHeight="1">
      <c r="A692" s="1" t="s">
        <v>72</v>
      </c>
      <c r="B692" s="1" t="s">
        <v>6228</v>
      </c>
      <c r="C692" s="1" t="s">
        <v>74</v>
      </c>
      <c r="D692" s="1" t="s">
        <v>74</v>
      </c>
      <c r="E692" s="1" t="s">
        <v>74</v>
      </c>
      <c r="F692" s="1" t="s">
        <v>6229</v>
      </c>
      <c r="G692" s="1" t="s">
        <v>74</v>
      </c>
      <c r="H692" s="1" t="s">
        <v>74</v>
      </c>
      <c r="I692" s="1" t="s">
        <v>6230</v>
      </c>
      <c r="J692" s="1" t="s">
        <v>239</v>
      </c>
      <c r="K692" s="1" t="s">
        <v>74</v>
      </c>
      <c r="L692" s="1" t="s">
        <v>74</v>
      </c>
      <c r="M692" s="1" t="s">
        <v>74</v>
      </c>
      <c r="N692" s="1" t="s">
        <v>158</v>
      </c>
      <c r="O692" s="1" t="s">
        <v>74</v>
      </c>
      <c r="P692" s="1" t="s">
        <v>74</v>
      </c>
      <c r="Q692" s="1" t="s">
        <v>74</v>
      </c>
      <c r="R692" s="1" t="s">
        <v>74</v>
      </c>
      <c r="S692" s="1" t="s">
        <v>74</v>
      </c>
      <c r="T692" s="1" t="s">
        <v>6231</v>
      </c>
      <c r="U692" s="1" t="s">
        <v>6232</v>
      </c>
      <c r="V692" s="1" t="s">
        <v>6233</v>
      </c>
      <c r="W692" s="1" t="s">
        <v>74</v>
      </c>
      <c r="X692" s="1" t="s">
        <v>74</v>
      </c>
      <c r="Y692" s="1" t="s">
        <v>74</v>
      </c>
      <c r="Z692" s="1" t="s">
        <v>74</v>
      </c>
      <c r="AA692" s="1" t="s">
        <v>74</v>
      </c>
      <c r="AB692" s="1" t="s">
        <v>74</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242</v>
      </c>
      <c r="AP692" s="1" t="s">
        <v>74</v>
      </c>
      <c r="AQ692" s="1" t="s">
        <v>74</v>
      </c>
      <c r="AR692" s="1" t="s">
        <v>74</v>
      </c>
      <c r="AS692" s="1" t="s">
        <v>74</v>
      </c>
      <c r="AT692" s="1" t="s">
        <v>6234</v>
      </c>
      <c r="AU692" s="1">
        <v>2025.0</v>
      </c>
      <c r="AV692" s="1">
        <v>14.0</v>
      </c>
      <c r="AW692" s="1">
        <v>20.0</v>
      </c>
      <c r="AX692" s="1" t="s">
        <v>74</v>
      </c>
      <c r="AY692" s="1" t="s">
        <v>74</v>
      </c>
      <c r="AZ692" s="1" t="s">
        <v>74</v>
      </c>
      <c r="BA692" s="1" t="s">
        <v>74</v>
      </c>
      <c r="BB692" s="1" t="s">
        <v>74</v>
      </c>
      <c r="BC692" s="1" t="s">
        <v>74</v>
      </c>
      <c r="BD692" s="1">
        <v>4104.0</v>
      </c>
      <c r="BE692" s="1" t="s">
        <v>6235</v>
      </c>
      <c r="BF692" s="2" t="str">
        <f>HYPERLINK("http://dx.doi.org/10.3390/electronics14204104","http://dx.doi.org/10.3390/electronics14204104")</f>
        <v>http://dx.doi.org/10.3390/electronics14204104</v>
      </c>
      <c r="BG692" s="1" t="s">
        <v>74</v>
      </c>
      <c r="BH692" s="1" t="s">
        <v>74</v>
      </c>
      <c r="BI692" s="1" t="s">
        <v>74</v>
      </c>
      <c r="BJ692" s="1" t="s">
        <v>74</v>
      </c>
      <c r="BK692" s="1" t="s">
        <v>74</v>
      </c>
      <c r="BL692" s="1" t="s">
        <v>244</v>
      </c>
      <c r="BM692" s="1" t="s">
        <v>74</v>
      </c>
      <c r="BN692" s="1" t="s">
        <v>74</v>
      </c>
      <c r="BO692" s="1" t="s">
        <v>163</v>
      </c>
      <c r="BP692" s="1" t="s">
        <v>74</v>
      </c>
      <c r="BQ692" s="1" t="s">
        <v>74</v>
      </c>
      <c r="BR692" s="1" t="s">
        <v>74</v>
      </c>
      <c r="BS692" s="1" t="s">
        <v>6236</v>
      </c>
      <c r="BT692" s="1" t="str">
        <f>HYPERLINK("https%3A%2F%2Fwww.webofscience.com%2Fwos%2Fwoscc%2Ffull-record%2FWOS:001601429900001","View Full Record in Web of Science")</f>
        <v>View Full Record in Web of Science</v>
      </c>
    </row>
    <row r="693" ht="12.75" customHeight="1">
      <c r="A693" s="1" t="s">
        <v>72</v>
      </c>
      <c r="B693" s="1" t="s">
        <v>6237</v>
      </c>
      <c r="C693" s="1" t="s">
        <v>74</v>
      </c>
      <c r="D693" s="1" t="s">
        <v>74</v>
      </c>
      <c r="E693" s="1" t="s">
        <v>74</v>
      </c>
      <c r="F693" s="1" t="s">
        <v>6238</v>
      </c>
      <c r="G693" s="1" t="s">
        <v>74</v>
      </c>
      <c r="H693" s="1" t="s">
        <v>74</v>
      </c>
      <c r="I693" s="1" t="s">
        <v>6239</v>
      </c>
      <c r="J693" s="1" t="s">
        <v>2572</v>
      </c>
      <c r="K693" s="1" t="s">
        <v>74</v>
      </c>
      <c r="L693" s="1" t="s">
        <v>74</v>
      </c>
      <c r="M693" s="1" t="s">
        <v>74</v>
      </c>
      <c r="N693" s="1" t="s">
        <v>78</v>
      </c>
      <c r="O693" s="1" t="s">
        <v>74</v>
      </c>
      <c r="P693" s="1" t="s">
        <v>74</v>
      </c>
      <c r="Q693" s="1" t="s">
        <v>74</v>
      </c>
      <c r="R693" s="1" t="s">
        <v>74</v>
      </c>
      <c r="S693" s="1" t="s">
        <v>74</v>
      </c>
      <c r="T693" s="1" t="s">
        <v>6240</v>
      </c>
      <c r="U693" s="1" t="s">
        <v>1068</v>
      </c>
      <c r="V693" s="1" t="s">
        <v>6241</v>
      </c>
      <c r="W693" s="1" t="s">
        <v>74</v>
      </c>
      <c r="X693" s="1" t="s">
        <v>74</v>
      </c>
      <c r="Y693" s="1" t="s">
        <v>74</v>
      </c>
      <c r="Z693" s="1" t="s">
        <v>74</v>
      </c>
      <c r="AA693" s="1" t="s">
        <v>74</v>
      </c>
      <c r="AB693" s="1" t="s">
        <v>74</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2575</v>
      </c>
      <c r="AP693" s="1" t="s">
        <v>74</v>
      </c>
      <c r="AQ693" s="1" t="s">
        <v>74</v>
      </c>
      <c r="AR693" s="1" t="s">
        <v>74</v>
      </c>
      <c r="AS693" s="1" t="s">
        <v>74</v>
      </c>
      <c r="AT693" s="1" t="s">
        <v>6242</v>
      </c>
      <c r="AU693" s="1">
        <v>2025.0</v>
      </c>
      <c r="AV693" s="1">
        <v>12.0</v>
      </c>
      <c r="AW693" s="1">
        <v>11.0</v>
      </c>
      <c r="AX693" s="1" t="s">
        <v>74</v>
      </c>
      <c r="AY693" s="1" t="s">
        <v>74</v>
      </c>
      <c r="AZ693" s="1" t="s">
        <v>74</v>
      </c>
      <c r="BA693" s="1" t="s">
        <v>74</v>
      </c>
      <c r="BB693" s="1">
        <v>16192.0</v>
      </c>
      <c r="BC693" s="1">
        <v>16203.0</v>
      </c>
      <c r="BD693" s="1" t="s">
        <v>74</v>
      </c>
      <c r="BE693" s="1" t="s">
        <v>6243</v>
      </c>
      <c r="BF693" s="2" t="str">
        <f>HYPERLINK("http://dx.doi.org/10.1109/JIOT.2025.3531053","http://dx.doi.org/10.1109/JIOT.2025.3531053")</f>
        <v>http://dx.doi.org/10.1109/JIOT.2025.3531053</v>
      </c>
      <c r="BG693" s="1" t="s">
        <v>74</v>
      </c>
      <c r="BH693" s="1" t="s">
        <v>74</v>
      </c>
      <c r="BI693" s="1" t="s">
        <v>74</v>
      </c>
      <c r="BJ693" s="1" t="s">
        <v>74</v>
      </c>
      <c r="BK693" s="1" t="s">
        <v>74</v>
      </c>
      <c r="BL693" s="1" t="s">
        <v>152</v>
      </c>
      <c r="BM693" s="1" t="s">
        <v>74</v>
      </c>
      <c r="BN693" s="1" t="s">
        <v>74</v>
      </c>
      <c r="BO693" s="1" t="s">
        <v>74</v>
      </c>
      <c r="BP693" s="1" t="s">
        <v>74</v>
      </c>
      <c r="BQ693" s="1" t="s">
        <v>74</v>
      </c>
      <c r="BR693" s="1" t="s">
        <v>74</v>
      </c>
      <c r="BS693" s="1" t="s">
        <v>6244</v>
      </c>
      <c r="BT693" s="1" t="str">
        <f>HYPERLINK("https%3A%2F%2Fwww.webofscience.com%2Fwos%2Fwoscc%2Ffull-record%2FWOS:001492153900027","View Full Record in Web of Science")</f>
        <v>View Full Record in Web of Science</v>
      </c>
    </row>
    <row r="694" ht="12.75" customHeight="1">
      <c r="A694" s="1" t="s">
        <v>72</v>
      </c>
      <c r="B694" s="1" t="s">
        <v>6245</v>
      </c>
      <c r="C694" s="1" t="s">
        <v>74</v>
      </c>
      <c r="D694" s="1" t="s">
        <v>74</v>
      </c>
      <c r="E694" s="1" t="s">
        <v>74</v>
      </c>
      <c r="F694" s="1" t="s">
        <v>6246</v>
      </c>
      <c r="G694" s="1" t="s">
        <v>74</v>
      </c>
      <c r="H694" s="1" t="s">
        <v>74</v>
      </c>
      <c r="I694" s="1" t="s">
        <v>6247</v>
      </c>
      <c r="J694" s="1" t="s">
        <v>1570</v>
      </c>
      <c r="K694" s="1" t="s">
        <v>74</v>
      </c>
      <c r="L694" s="1" t="s">
        <v>74</v>
      </c>
      <c r="M694" s="1" t="s">
        <v>74</v>
      </c>
      <c r="N694" s="1" t="s">
        <v>78</v>
      </c>
      <c r="O694" s="1" t="s">
        <v>74</v>
      </c>
      <c r="P694" s="1" t="s">
        <v>74</v>
      </c>
      <c r="Q694" s="1" t="s">
        <v>74</v>
      </c>
      <c r="R694" s="1" t="s">
        <v>74</v>
      </c>
      <c r="S694" s="1" t="s">
        <v>74</v>
      </c>
      <c r="T694" s="1" t="s">
        <v>6248</v>
      </c>
      <c r="U694" s="1" t="s">
        <v>74</v>
      </c>
      <c r="V694" s="1" t="s">
        <v>6249</v>
      </c>
      <c r="W694" s="1" t="s">
        <v>74</v>
      </c>
      <c r="X694" s="1" t="s">
        <v>74</v>
      </c>
      <c r="Y694" s="1" t="s">
        <v>74</v>
      </c>
      <c r="Z694" s="1" t="s">
        <v>74</v>
      </c>
      <c r="AA694" s="1" t="s">
        <v>74</v>
      </c>
      <c r="AB694" s="1" t="s">
        <v>74</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1573</v>
      </c>
      <c r="AP694" s="1" t="s">
        <v>1574</v>
      </c>
      <c r="AQ694" s="1" t="s">
        <v>74</v>
      </c>
      <c r="AR694" s="1" t="s">
        <v>74</v>
      </c>
      <c r="AS694" s="1" t="s">
        <v>74</v>
      </c>
      <c r="AT694" s="1" t="s">
        <v>357</v>
      </c>
      <c r="AU694" s="1">
        <v>2025.0</v>
      </c>
      <c r="AV694" s="1">
        <v>31.0</v>
      </c>
      <c r="AW694" s="1">
        <v>10.0</v>
      </c>
      <c r="AX694" s="1" t="s">
        <v>74</v>
      </c>
      <c r="AY694" s="1" t="s">
        <v>74</v>
      </c>
      <c r="AZ694" s="1" t="s">
        <v>74</v>
      </c>
      <c r="BA694" s="1" t="s">
        <v>74</v>
      </c>
      <c r="BB694" s="1">
        <v>7004.0</v>
      </c>
      <c r="BC694" s="1">
        <v>7018.0</v>
      </c>
      <c r="BD694" s="1" t="s">
        <v>74</v>
      </c>
      <c r="BE694" s="1" t="s">
        <v>6250</v>
      </c>
      <c r="BF694" s="2" t="str">
        <f>HYPERLINK("http://dx.doi.org/10.1109/TVCG.2025.3536358","http://dx.doi.org/10.1109/TVCG.2025.3536358")</f>
        <v>http://dx.doi.org/10.1109/TVCG.2025.3536358</v>
      </c>
      <c r="BG694" s="1" t="s">
        <v>74</v>
      </c>
      <c r="BH694" s="1" t="s">
        <v>74</v>
      </c>
      <c r="BI694" s="1" t="s">
        <v>74</v>
      </c>
      <c r="BJ694" s="1" t="s">
        <v>74</v>
      </c>
      <c r="BK694" s="1" t="s">
        <v>74</v>
      </c>
      <c r="BL694" s="1" t="s">
        <v>174</v>
      </c>
      <c r="BM694" s="1" t="s">
        <v>74</v>
      </c>
      <c r="BN694" s="1" t="s">
        <v>74</v>
      </c>
      <c r="BO694" s="1" t="s">
        <v>74</v>
      </c>
      <c r="BP694" s="1" t="s">
        <v>74</v>
      </c>
      <c r="BQ694" s="1" t="s">
        <v>74</v>
      </c>
      <c r="BR694" s="1" t="s">
        <v>74</v>
      </c>
      <c r="BS694" s="1" t="s">
        <v>6251</v>
      </c>
      <c r="BT694" s="1" t="str">
        <f>HYPERLINK("https%3A%2F%2Fwww.webofscience.com%2Fwos%2Fwoscc%2Ffull-record%2FWOS:001566958200026","View Full Record in Web of Science")</f>
        <v>View Full Record in Web of Science</v>
      </c>
    </row>
    <row r="695" ht="12.75" customHeight="1">
      <c r="A695" s="1" t="s">
        <v>72</v>
      </c>
      <c r="B695" s="1" t="s">
        <v>6252</v>
      </c>
      <c r="C695" s="1" t="s">
        <v>74</v>
      </c>
      <c r="D695" s="1" t="s">
        <v>74</v>
      </c>
      <c r="E695" s="1" t="s">
        <v>74</v>
      </c>
      <c r="F695" s="1" t="s">
        <v>6253</v>
      </c>
      <c r="G695" s="1" t="s">
        <v>74</v>
      </c>
      <c r="H695" s="1" t="s">
        <v>74</v>
      </c>
      <c r="I695" s="1" t="s">
        <v>6254</v>
      </c>
      <c r="J695" s="1" t="s">
        <v>147</v>
      </c>
      <c r="K695" s="1" t="s">
        <v>74</v>
      </c>
      <c r="L695" s="1" t="s">
        <v>74</v>
      </c>
      <c r="M695" s="1" t="s">
        <v>74</v>
      </c>
      <c r="N695" s="1" t="s">
        <v>78</v>
      </c>
      <c r="O695" s="1" t="s">
        <v>74</v>
      </c>
      <c r="P695" s="1" t="s">
        <v>74</v>
      </c>
      <c r="Q695" s="1" t="s">
        <v>74</v>
      </c>
      <c r="R695" s="1" t="s">
        <v>74</v>
      </c>
      <c r="S695" s="1" t="s">
        <v>74</v>
      </c>
      <c r="T695" s="1" t="s">
        <v>6255</v>
      </c>
      <c r="U695" s="1" t="s">
        <v>74</v>
      </c>
      <c r="V695" s="1" t="s">
        <v>6256</v>
      </c>
      <c r="W695" s="1" t="s">
        <v>74</v>
      </c>
      <c r="X695" s="1" t="s">
        <v>74</v>
      </c>
      <c r="Y695" s="1" t="s">
        <v>74</v>
      </c>
      <c r="Z695" s="1" t="s">
        <v>74</v>
      </c>
      <c r="AA695" s="1" t="s">
        <v>74</v>
      </c>
      <c r="AB695" s="1" t="s">
        <v>74</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150</v>
      </c>
      <c r="AP695" s="1" t="s">
        <v>74</v>
      </c>
      <c r="AQ695" s="1" t="s">
        <v>74</v>
      </c>
      <c r="AR695" s="1" t="s">
        <v>74</v>
      </c>
      <c r="AS695" s="1" t="s">
        <v>74</v>
      </c>
      <c r="AT695" s="1" t="s">
        <v>74</v>
      </c>
      <c r="AU695" s="1">
        <v>2025.0</v>
      </c>
      <c r="AV695" s="1">
        <v>13.0</v>
      </c>
      <c r="AW695" s="1" t="s">
        <v>74</v>
      </c>
      <c r="AX695" s="1" t="s">
        <v>74</v>
      </c>
      <c r="AY695" s="1" t="s">
        <v>74</v>
      </c>
      <c r="AZ695" s="1" t="s">
        <v>74</v>
      </c>
      <c r="BA695" s="1" t="s">
        <v>74</v>
      </c>
      <c r="BB695" s="1">
        <v>34732.0</v>
      </c>
      <c r="BC695" s="1">
        <v>34746.0</v>
      </c>
      <c r="BD695" s="1" t="s">
        <v>74</v>
      </c>
      <c r="BE695" s="1" t="s">
        <v>6257</v>
      </c>
      <c r="BF695" s="2" t="str">
        <f>HYPERLINK("http://dx.doi.org/10.1109/ACCESS.2025.3541602","http://dx.doi.org/10.1109/ACCESS.2025.3541602")</f>
        <v>http://dx.doi.org/10.1109/ACCESS.2025.3541602</v>
      </c>
      <c r="BG695" s="1" t="s">
        <v>74</v>
      </c>
      <c r="BH695" s="1" t="s">
        <v>74</v>
      </c>
      <c r="BI695" s="1" t="s">
        <v>74</v>
      </c>
      <c r="BJ695" s="1" t="s">
        <v>74</v>
      </c>
      <c r="BK695" s="1" t="s">
        <v>74</v>
      </c>
      <c r="BL695" s="1" t="s">
        <v>152</v>
      </c>
      <c r="BM695" s="1" t="s">
        <v>74</v>
      </c>
      <c r="BN695" s="1" t="s">
        <v>74</v>
      </c>
      <c r="BO695" s="1" t="s">
        <v>153</v>
      </c>
      <c r="BP695" s="1" t="s">
        <v>74</v>
      </c>
      <c r="BQ695" s="1" t="s">
        <v>74</v>
      </c>
      <c r="BR695" s="1" t="s">
        <v>74</v>
      </c>
      <c r="BS695" s="1" t="s">
        <v>6258</v>
      </c>
      <c r="BT695" s="1" t="str">
        <f>HYPERLINK("https%3A%2F%2Fwww.webofscience.com%2Fwos%2Fwoscc%2Ffull-record%2FWOS:001435463100029","View Full Record in Web of Science")</f>
        <v>View Full Record in Web of Science</v>
      </c>
    </row>
    <row r="696" ht="12.75" customHeight="1">
      <c r="A696" s="1" t="s">
        <v>72</v>
      </c>
      <c r="B696" s="1" t="s">
        <v>6259</v>
      </c>
      <c r="C696" s="1" t="s">
        <v>74</v>
      </c>
      <c r="D696" s="1" t="s">
        <v>74</v>
      </c>
      <c r="E696" s="1" t="s">
        <v>74</v>
      </c>
      <c r="F696" s="1" t="s">
        <v>6260</v>
      </c>
      <c r="G696" s="1" t="s">
        <v>74</v>
      </c>
      <c r="H696" s="1" t="s">
        <v>74</v>
      </c>
      <c r="I696" s="1" t="s">
        <v>6261</v>
      </c>
      <c r="J696" s="1" t="s">
        <v>881</v>
      </c>
      <c r="K696" s="1" t="s">
        <v>74</v>
      </c>
      <c r="L696" s="1" t="s">
        <v>74</v>
      </c>
      <c r="M696" s="1" t="s">
        <v>74</v>
      </c>
      <c r="N696" s="1" t="s">
        <v>78</v>
      </c>
      <c r="O696" s="1" t="s">
        <v>74</v>
      </c>
      <c r="P696" s="1" t="s">
        <v>74</v>
      </c>
      <c r="Q696" s="1" t="s">
        <v>74</v>
      </c>
      <c r="R696" s="1" t="s">
        <v>74</v>
      </c>
      <c r="S696" s="1" t="s">
        <v>74</v>
      </c>
      <c r="T696" s="1" t="s">
        <v>6262</v>
      </c>
      <c r="U696" s="1" t="s">
        <v>512</v>
      </c>
      <c r="V696" s="1" t="s">
        <v>6263</v>
      </c>
      <c r="W696" s="1" t="s">
        <v>74</v>
      </c>
      <c r="X696" s="1" t="s">
        <v>74</v>
      </c>
      <c r="Y696" s="1" t="s">
        <v>74</v>
      </c>
      <c r="Z696" s="1" t="s">
        <v>74</v>
      </c>
      <c r="AA696" s="1" t="s">
        <v>74</v>
      </c>
      <c r="AB696" s="1" t="s">
        <v>74</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74</v>
      </c>
      <c r="AP696" s="1" t="s">
        <v>884</v>
      </c>
      <c r="AQ696" s="1" t="s">
        <v>74</v>
      </c>
      <c r="AR696" s="1" t="s">
        <v>74</v>
      </c>
      <c r="AS696" s="1" t="s">
        <v>74</v>
      </c>
      <c r="AT696" s="1" t="s">
        <v>6264</v>
      </c>
      <c r="AU696" s="1">
        <v>2025.0</v>
      </c>
      <c r="AV696" s="1">
        <v>16.0</v>
      </c>
      <c r="AW696" s="1">
        <v>10.0</v>
      </c>
      <c r="AX696" s="1" t="s">
        <v>74</v>
      </c>
      <c r="AY696" s="1" t="s">
        <v>74</v>
      </c>
      <c r="AZ696" s="1" t="s">
        <v>74</v>
      </c>
      <c r="BA696" s="1" t="s">
        <v>74</v>
      </c>
      <c r="BB696" s="1" t="s">
        <v>74</v>
      </c>
      <c r="BC696" s="1" t="s">
        <v>74</v>
      </c>
      <c r="BD696" s="1">
        <v>843.0</v>
      </c>
      <c r="BE696" s="1" t="s">
        <v>6265</v>
      </c>
      <c r="BF696" s="2" t="str">
        <f>HYPERLINK("http://dx.doi.org/10.3390/info16100843","http://dx.doi.org/10.3390/info16100843")</f>
        <v>http://dx.doi.org/10.3390/info16100843</v>
      </c>
      <c r="BG696" s="1" t="s">
        <v>74</v>
      </c>
      <c r="BH696" s="1" t="s">
        <v>74</v>
      </c>
      <c r="BI696" s="1" t="s">
        <v>74</v>
      </c>
      <c r="BJ696" s="1" t="s">
        <v>74</v>
      </c>
      <c r="BK696" s="1" t="s">
        <v>74</v>
      </c>
      <c r="BL696" s="1" t="s">
        <v>174</v>
      </c>
      <c r="BM696" s="1" t="s">
        <v>74</v>
      </c>
      <c r="BN696" s="1" t="s">
        <v>74</v>
      </c>
      <c r="BO696" s="1" t="s">
        <v>163</v>
      </c>
      <c r="BP696" s="1" t="s">
        <v>74</v>
      </c>
      <c r="BQ696" s="1" t="s">
        <v>74</v>
      </c>
      <c r="BR696" s="1" t="s">
        <v>74</v>
      </c>
      <c r="BS696" s="1" t="s">
        <v>6266</v>
      </c>
      <c r="BT696" s="1" t="str">
        <f>HYPERLINK("https%3A%2F%2Fwww.webofscience.com%2Fwos%2Fwoscc%2Ffull-record%2FWOS:001601675200001","View Full Record in Web of Science")</f>
        <v>View Full Record in Web of Science</v>
      </c>
    </row>
    <row r="697" ht="12.75" customHeight="1">
      <c r="A697" s="1" t="s">
        <v>72</v>
      </c>
      <c r="B697" s="1" t="s">
        <v>6267</v>
      </c>
      <c r="C697" s="1" t="s">
        <v>74</v>
      </c>
      <c r="D697" s="1" t="s">
        <v>74</v>
      </c>
      <c r="E697" s="1" t="s">
        <v>74</v>
      </c>
      <c r="F697" s="1" t="s">
        <v>6268</v>
      </c>
      <c r="G697" s="1" t="s">
        <v>74</v>
      </c>
      <c r="H697" s="1" t="s">
        <v>74</v>
      </c>
      <c r="I697" s="1" t="s">
        <v>6269</v>
      </c>
      <c r="J697" s="1" t="s">
        <v>804</v>
      </c>
      <c r="K697" s="1" t="s">
        <v>74</v>
      </c>
      <c r="L697" s="1" t="s">
        <v>74</v>
      </c>
      <c r="M697" s="1" t="s">
        <v>74</v>
      </c>
      <c r="N697" s="1" t="s">
        <v>78</v>
      </c>
      <c r="O697" s="1" t="s">
        <v>74</v>
      </c>
      <c r="P697" s="1" t="s">
        <v>74</v>
      </c>
      <c r="Q697" s="1" t="s">
        <v>74</v>
      </c>
      <c r="R697" s="1" t="s">
        <v>74</v>
      </c>
      <c r="S697" s="1" t="s">
        <v>74</v>
      </c>
      <c r="T697" s="1" t="s">
        <v>6270</v>
      </c>
      <c r="U697" s="1" t="s">
        <v>74</v>
      </c>
      <c r="V697" s="1" t="s">
        <v>6271</v>
      </c>
      <c r="W697" s="1" t="s">
        <v>74</v>
      </c>
      <c r="X697" s="1" t="s">
        <v>74</v>
      </c>
      <c r="Y697" s="1" t="s">
        <v>74</v>
      </c>
      <c r="Z697" s="1" t="s">
        <v>74</v>
      </c>
      <c r="AA697" s="1" t="s">
        <v>74</v>
      </c>
      <c r="AB697" s="1" t="s">
        <v>74</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808</v>
      </c>
      <c r="AP697" s="1" t="s">
        <v>809</v>
      </c>
      <c r="AQ697" s="1" t="s">
        <v>74</v>
      </c>
      <c r="AR697" s="1" t="s">
        <v>74</v>
      </c>
      <c r="AS697" s="1" t="s">
        <v>74</v>
      </c>
      <c r="AT697" s="1" t="s">
        <v>688</v>
      </c>
      <c r="AU697" s="1">
        <v>2026.0</v>
      </c>
      <c r="AV697" s="1">
        <v>176.0</v>
      </c>
      <c r="AW697" s="1" t="s">
        <v>74</v>
      </c>
      <c r="AX697" s="1" t="s">
        <v>74</v>
      </c>
      <c r="AY697" s="1" t="s">
        <v>74</v>
      </c>
      <c r="AZ697" s="1" t="s">
        <v>74</v>
      </c>
      <c r="BA697" s="1" t="s">
        <v>74</v>
      </c>
      <c r="BB697" s="1" t="s">
        <v>74</v>
      </c>
      <c r="BC697" s="1" t="s">
        <v>74</v>
      </c>
      <c r="BD697" s="1">
        <v>108218.0</v>
      </c>
      <c r="BE697" s="1" t="s">
        <v>6272</v>
      </c>
      <c r="BF697" s="2" t="str">
        <f>HYPERLINK("http://dx.doi.org/10.1016/j.future.2025.108218","http://dx.doi.org/10.1016/j.future.2025.108218")</f>
        <v>http://dx.doi.org/10.1016/j.future.2025.108218</v>
      </c>
      <c r="BG697" s="1" t="s">
        <v>74</v>
      </c>
      <c r="BH697" s="1" t="s">
        <v>255</v>
      </c>
      <c r="BI697" s="1" t="s">
        <v>74</v>
      </c>
      <c r="BJ697" s="1" t="s">
        <v>74</v>
      </c>
      <c r="BK697" s="1" t="s">
        <v>74</v>
      </c>
      <c r="BL697" s="1" t="s">
        <v>174</v>
      </c>
      <c r="BM697" s="1" t="s">
        <v>74</v>
      </c>
      <c r="BN697" s="1" t="s">
        <v>74</v>
      </c>
      <c r="BO697" s="1" t="s">
        <v>74</v>
      </c>
      <c r="BP697" s="1" t="s">
        <v>74</v>
      </c>
      <c r="BQ697" s="1" t="s">
        <v>74</v>
      </c>
      <c r="BR697" s="1" t="s">
        <v>74</v>
      </c>
      <c r="BS697" s="1" t="s">
        <v>6273</v>
      </c>
      <c r="BT697" s="1" t="str">
        <f>HYPERLINK("https%3A%2F%2Fwww.webofscience.com%2Fwos%2Fwoscc%2Ffull-record%2FWOS:001616542000003","View Full Record in Web of Science")</f>
        <v>View Full Record in Web of Science</v>
      </c>
    </row>
    <row r="698" ht="12.75" customHeight="1">
      <c r="A698" s="1" t="s">
        <v>72</v>
      </c>
      <c r="B698" s="1" t="s">
        <v>6274</v>
      </c>
      <c r="C698" s="1" t="s">
        <v>74</v>
      </c>
      <c r="D698" s="1" t="s">
        <v>74</v>
      </c>
      <c r="E698" s="1" t="s">
        <v>74</v>
      </c>
      <c r="F698" s="1" t="s">
        <v>6275</v>
      </c>
      <c r="G698" s="1" t="s">
        <v>74</v>
      </c>
      <c r="H698" s="1" t="s">
        <v>74</v>
      </c>
      <c r="I698" s="1" t="s">
        <v>6276</v>
      </c>
      <c r="J698" s="1" t="s">
        <v>966</v>
      </c>
      <c r="K698" s="1" t="s">
        <v>74</v>
      </c>
      <c r="L698" s="1" t="s">
        <v>74</v>
      </c>
      <c r="M698" s="1" t="s">
        <v>74</v>
      </c>
      <c r="N698" s="1" t="s">
        <v>78</v>
      </c>
      <c r="O698" s="1" t="s">
        <v>74</v>
      </c>
      <c r="P698" s="1" t="s">
        <v>74</v>
      </c>
      <c r="Q698" s="1" t="s">
        <v>74</v>
      </c>
      <c r="R698" s="1" t="s">
        <v>74</v>
      </c>
      <c r="S698" s="1" t="s">
        <v>74</v>
      </c>
      <c r="T698" s="1" t="s">
        <v>6277</v>
      </c>
      <c r="U698" s="1" t="s">
        <v>6278</v>
      </c>
      <c r="V698" s="1" t="s">
        <v>6279</v>
      </c>
      <c r="W698" s="1" t="s">
        <v>74</v>
      </c>
      <c r="X698" s="1" t="s">
        <v>74</v>
      </c>
      <c r="Y698" s="1" t="s">
        <v>74</v>
      </c>
      <c r="Z698" s="1" t="s">
        <v>74</v>
      </c>
      <c r="AA698" s="1" t="s">
        <v>74</v>
      </c>
      <c r="AB698" s="1" t="s">
        <v>74</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969</v>
      </c>
      <c r="AP698" s="1" t="s">
        <v>970</v>
      </c>
      <c r="AQ698" s="1" t="s">
        <v>74</v>
      </c>
      <c r="AR698" s="1" t="s">
        <v>74</v>
      </c>
      <c r="AS698" s="1" t="s">
        <v>74</v>
      </c>
      <c r="AT698" s="1" t="s">
        <v>3009</v>
      </c>
      <c r="AU698" s="1">
        <v>2025.0</v>
      </c>
      <c r="AV698" s="1">
        <v>330.0</v>
      </c>
      <c r="AW698" s="1" t="s">
        <v>74</v>
      </c>
      <c r="AX698" s="1" t="s">
        <v>1409</v>
      </c>
      <c r="AY698" s="1" t="s">
        <v>74</v>
      </c>
      <c r="AZ698" s="1" t="s">
        <v>74</v>
      </c>
      <c r="BA698" s="1" t="s">
        <v>74</v>
      </c>
      <c r="BB698" s="1" t="s">
        <v>74</v>
      </c>
      <c r="BC698" s="1" t="s">
        <v>74</v>
      </c>
      <c r="BD698" s="1">
        <v>114405.0</v>
      </c>
      <c r="BE698" s="1" t="s">
        <v>6280</v>
      </c>
      <c r="BF698" s="2" t="str">
        <f>HYPERLINK("http://dx.doi.org/10.1016/j.knosys.2025.114405","http://dx.doi.org/10.1016/j.knosys.2025.114405")</f>
        <v>http://dx.doi.org/10.1016/j.knosys.2025.114405</v>
      </c>
      <c r="BG698" s="1" t="s">
        <v>74</v>
      </c>
      <c r="BH698" s="1" t="s">
        <v>738</v>
      </c>
      <c r="BI698" s="1" t="s">
        <v>74</v>
      </c>
      <c r="BJ698" s="1" t="s">
        <v>74</v>
      </c>
      <c r="BK698" s="1" t="s">
        <v>74</v>
      </c>
      <c r="BL698" s="1" t="s">
        <v>174</v>
      </c>
      <c r="BM698" s="1" t="s">
        <v>74</v>
      </c>
      <c r="BN698" s="1" t="s">
        <v>74</v>
      </c>
      <c r="BO698" s="1" t="s">
        <v>114</v>
      </c>
      <c r="BP698" s="1" t="s">
        <v>74</v>
      </c>
      <c r="BQ698" s="1" t="s">
        <v>74</v>
      </c>
      <c r="BR698" s="1" t="s">
        <v>74</v>
      </c>
      <c r="BS698" s="1" t="s">
        <v>6281</v>
      </c>
      <c r="BT698" s="1" t="str">
        <f>HYPERLINK("https%3A%2F%2Fwww.webofscience.com%2Fwos%2Fwoscc%2Ffull-record%2FWOS:001584748800007","View Full Record in Web of Science")</f>
        <v>View Full Record in Web of Science</v>
      </c>
    </row>
    <row r="699" ht="12.75" customHeight="1">
      <c r="A699" s="1" t="s">
        <v>72</v>
      </c>
      <c r="B699" s="1" t="s">
        <v>6282</v>
      </c>
      <c r="C699" s="1" t="s">
        <v>74</v>
      </c>
      <c r="D699" s="1" t="s">
        <v>74</v>
      </c>
      <c r="E699" s="1" t="s">
        <v>74</v>
      </c>
      <c r="F699" s="1" t="s">
        <v>6283</v>
      </c>
      <c r="G699" s="1" t="s">
        <v>74</v>
      </c>
      <c r="H699" s="1" t="s">
        <v>74</v>
      </c>
      <c r="I699" s="1" t="s">
        <v>6284</v>
      </c>
      <c r="J699" s="1" t="s">
        <v>6285</v>
      </c>
      <c r="K699" s="1" t="s">
        <v>74</v>
      </c>
      <c r="L699" s="1" t="s">
        <v>74</v>
      </c>
      <c r="M699" s="1" t="s">
        <v>74</v>
      </c>
      <c r="N699" s="1" t="s">
        <v>78</v>
      </c>
      <c r="O699" s="1" t="s">
        <v>74</v>
      </c>
      <c r="P699" s="1" t="s">
        <v>74</v>
      </c>
      <c r="Q699" s="1" t="s">
        <v>74</v>
      </c>
      <c r="R699" s="1" t="s">
        <v>74</v>
      </c>
      <c r="S699" s="1" t="s">
        <v>74</v>
      </c>
      <c r="T699" s="1" t="s">
        <v>6286</v>
      </c>
      <c r="U699" s="1" t="s">
        <v>74</v>
      </c>
      <c r="V699" s="1" t="s">
        <v>6287</v>
      </c>
      <c r="W699" s="1" t="s">
        <v>74</v>
      </c>
      <c r="X699" s="1" t="s">
        <v>74</v>
      </c>
      <c r="Y699" s="1" t="s">
        <v>74</v>
      </c>
      <c r="Z699" s="1" t="s">
        <v>74</v>
      </c>
      <c r="AA699" s="1" t="s">
        <v>74</v>
      </c>
      <c r="AB699" s="1" t="s">
        <v>74</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6288</v>
      </c>
      <c r="AP699" s="1" t="s">
        <v>6289</v>
      </c>
      <c r="AQ699" s="1" t="s">
        <v>74</v>
      </c>
      <c r="AR699" s="1" t="s">
        <v>74</v>
      </c>
      <c r="AS699" s="1" t="s">
        <v>74</v>
      </c>
      <c r="AT699" s="1" t="s">
        <v>74</v>
      </c>
      <c r="AU699" s="1">
        <v>2025.0</v>
      </c>
      <c r="AV699" s="1">
        <v>23.0</v>
      </c>
      <c r="AW699" s="1">
        <v>6.0</v>
      </c>
      <c r="AX699" s="1" t="s">
        <v>74</v>
      </c>
      <c r="AY699" s="1" t="s">
        <v>74</v>
      </c>
      <c r="AZ699" s="1" t="s">
        <v>74</v>
      </c>
      <c r="BA699" s="1" t="s">
        <v>74</v>
      </c>
      <c r="BB699" s="1">
        <v>668.0</v>
      </c>
      <c r="BC699" s="1">
        <v>684.0</v>
      </c>
      <c r="BD699" s="1" t="s">
        <v>74</v>
      </c>
      <c r="BE699" s="1" t="s">
        <v>6290</v>
      </c>
      <c r="BF699" s="2" t="str">
        <f>HYPERLINK("http://dx.doi.org/10.7906/indecs.23.6.5","http://dx.doi.org/10.7906/indecs.23.6.5")</f>
        <v>http://dx.doi.org/10.7906/indecs.23.6.5</v>
      </c>
      <c r="BG699" s="1" t="s">
        <v>74</v>
      </c>
      <c r="BH699" s="1" t="s">
        <v>74</v>
      </c>
      <c r="BI699" s="1" t="s">
        <v>74</v>
      </c>
      <c r="BJ699" s="1" t="s">
        <v>74</v>
      </c>
      <c r="BK699" s="1" t="s">
        <v>74</v>
      </c>
      <c r="BL699" s="1" t="s">
        <v>615</v>
      </c>
      <c r="BM699" s="1" t="s">
        <v>74</v>
      </c>
      <c r="BN699" s="1" t="s">
        <v>74</v>
      </c>
      <c r="BO699" s="1" t="s">
        <v>153</v>
      </c>
      <c r="BP699" s="1" t="s">
        <v>74</v>
      </c>
      <c r="BQ699" s="1" t="s">
        <v>74</v>
      </c>
      <c r="BR699" s="1" t="s">
        <v>74</v>
      </c>
      <c r="BS699" s="1" t="s">
        <v>6291</v>
      </c>
      <c r="BT699" s="1" t="str">
        <f>HYPERLINK("https%3A%2F%2Fwww.webofscience.com%2Fwos%2Fwoscc%2Ffull-record%2FWOS:001650736500005","View Full Record in Web of Science")</f>
        <v>View Full Record in Web of Science</v>
      </c>
    </row>
    <row r="700" ht="12.75" customHeight="1">
      <c r="A700" s="1" t="s">
        <v>72</v>
      </c>
      <c r="B700" s="1" t="s">
        <v>6292</v>
      </c>
      <c r="C700" s="1" t="s">
        <v>74</v>
      </c>
      <c r="D700" s="1" t="s">
        <v>74</v>
      </c>
      <c r="E700" s="1" t="s">
        <v>74</v>
      </c>
      <c r="F700" s="1" t="s">
        <v>6293</v>
      </c>
      <c r="G700" s="1" t="s">
        <v>74</v>
      </c>
      <c r="H700" s="1" t="s">
        <v>74</v>
      </c>
      <c r="I700" s="1" t="s">
        <v>6294</v>
      </c>
      <c r="J700" s="1" t="s">
        <v>3709</v>
      </c>
      <c r="K700" s="1" t="s">
        <v>74</v>
      </c>
      <c r="L700" s="1" t="s">
        <v>74</v>
      </c>
      <c r="M700" s="1" t="s">
        <v>74</v>
      </c>
      <c r="N700" s="1" t="s">
        <v>78</v>
      </c>
      <c r="O700" s="1" t="s">
        <v>74</v>
      </c>
      <c r="P700" s="1" t="s">
        <v>74</v>
      </c>
      <c r="Q700" s="1" t="s">
        <v>74</v>
      </c>
      <c r="R700" s="1" t="s">
        <v>74</v>
      </c>
      <c r="S700" s="1" t="s">
        <v>74</v>
      </c>
      <c r="T700" s="1" t="s">
        <v>6295</v>
      </c>
      <c r="U700" s="1" t="s">
        <v>74</v>
      </c>
      <c r="V700" s="1" t="s">
        <v>6296</v>
      </c>
      <c r="W700" s="1" t="s">
        <v>74</v>
      </c>
      <c r="X700" s="1" t="s">
        <v>74</v>
      </c>
      <c r="Y700" s="1" t="s">
        <v>74</v>
      </c>
      <c r="Z700" s="1" t="s">
        <v>74</v>
      </c>
      <c r="AA700" s="1" t="s">
        <v>74</v>
      </c>
      <c r="AB700" s="1" t="s">
        <v>74</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3712</v>
      </c>
      <c r="AP700" s="1" t="s">
        <v>3713</v>
      </c>
      <c r="AQ700" s="1" t="s">
        <v>74</v>
      </c>
      <c r="AR700" s="1" t="s">
        <v>74</v>
      </c>
      <c r="AS700" s="1" t="s">
        <v>74</v>
      </c>
      <c r="AT700" s="1" t="s">
        <v>124</v>
      </c>
      <c r="AU700" s="1">
        <v>2025.0</v>
      </c>
      <c r="AV700" s="1">
        <v>27.0</v>
      </c>
      <c r="AW700" s="1">
        <v>4.0</v>
      </c>
      <c r="AX700" s="1" t="s">
        <v>74</v>
      </c>
      <c r="AY700" s="1" t="s">
        <v>74</v>
      </c>
      <c r="AZ700" s="1" t="s">
        <v>74</v>
      </c>
      <c r="BA700" s="1" t="s">
        <v>74</v>
      </c>
      <c r="BB700" s="1">
        <v>686.0</v>
      </c>
      <c r="BC700" s="1">
        <v>699.0</v>
      </c>
      <c r="BD700" s="1" t="s">
        <v>74</v>
      </c>
      <c r="BE700" s="1" t="s">
        <v>6297</v>
      </c>
      <c r="BF700" s="2" t="str">
        <f>HYPERLINK("http://dx.doi.org/10.2166/hydro.2025.248","http://dx.doi.org/10.2166/hydro.2025.248")</f>
        <v>http://dx.doi.org/10.2166/hydro.2025.248</v>
      </c>
      <c r="BG700" s="1" t="s">
        <v>74</v>
      </c>
      <c r="BH700" s="1" t="s">
        <v>74</v>
      </c>
      <c r="BI700" s="1" t="s">
        <v>74</v>
      </c>
      <c r="BJ700" s="1" t="s">
        <v>74</v>
      </c>
      <c r="BK700" s="1" t="s">
        <v>74</v>
      </c>
      <c r="BL700" s="1" t="s">
        <v>556</v>
      </c>
      <c r="BM700" s="1" t="s">
        <v>74</v>
      </c>
      <c r="BN700" s="1" t="s">
        <v>74</v>
      </c>
      <c r="BO700" s="1" t="s">
        <v>163</v>
      </c>
      <c r="BP700" s="1" t="s">
        <v>74</v>
      </c>
      <c r="BQ700" s="1" t="s">
        <v>74</v>
      </c>
      <c r="BR700" s="1" t="s">
        <v>74</v>
      </c>
      <c r="BS700" s="1" t="s">
        <v>6298</v>
      </c>
      <c r="BT700" s="1" t="str">
        <f>HYPERLINK("https%3A%2F%2Fwww.webofscience.com%2Fwos%2Fwoscc%2Ffull-record%2FWOS:001478341900006","View Full Record in Web of Science")</f>
        <v>View Full Record in Web of Science</v>
      </c>
    </row>
    <row r="701" ht="12.75" customHeight="1">
      <c r="A701" s="1" t="s">
        <v>72</v>
      </c>
      <c r="B701" s="1" t="s">
        <v>6299</v>
      </c>
      <c r="C701" s="1" t="s">
        <v>74</v>
      </c>
      <c r="D701" s="1" t="s">
        <v>74</v>
      </c>
      <c r="E701" s="1" t="s">
        <v>74</v>
      </c>
      <c r="F701" s="1" t="s">
        <v>6300</v>
      </c>
      <c r="G701" s="1" t="s">
        <v>74</v>
      </c>
      <c r="H701" s="1" t="s">
        <v>74</v>
      </c>
      <c r="I701" s="1" t="s">
        <v>6301</v>
      </c>
      <c r="J701" s="1" t="s">
        <v>147</v>
      </c>
      <c r="K701" s="1" t="s">
        <v>74</v>
      </c>
      <c r="L701" s="1" t="s">
        <v>74</v>
      </c>
      <c r="M701" s="1" t="s">
        <v>74</v>
      </c>
      <c r="N701" s="1" t="s">
        <v>78</v>
      </c>
      <c r="O701" s="1" t="s">
        <v>74</v>
      </c>
      <c r="P701" s="1" t="s">
        <v>74</v>
      </c>
      <c r="Q701" s="1" t="s">
        <v>74</v>
      </c>
      <c r="R701" s="1" t="s">
        <v>74</v>
      </c>
      <c r="S701" s="1" t="s">
        <v>74</v>
      </c>
      <c r="T701" s="1" t="s">
        <v>6302</v>
      </c>
      <c r="U701" s="1" t="s">
        <v>74</v>
      </c>
      <c r="V701" s="1" t="s">
        <v>6303</v>
      </c>
      <c r="W701" s="1" t="s">
        <v>74</v>
      </c>
      <c r="X701" s="1" t="s">
        <v>74</v>
      </c>
      <c r="Y701" s="1" t="s">
        <v>74</v>
      </c>
      <c r="Z701" s="1" t="s">
        <v>74</v>
      </c>
      <c r="AA701" s="1" t="s">
        <v>74</v>
      </c>
      <c r="AB701" s="1" t="s">
        <v>74</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150</v>
      </c>
      <c r="AP701" s="1" t="s">
        <v>74</v>
      </c>
      <c r="AQ701" s="1" t="s">
        <v>74</v>
      </c>
      <c r="AR701" s="1" t="s">
        <v>74</v>
      </c>
      <c r="AS701" s="1" t="s">
        <v>74</v>
      </c>
      <c r="AT701" s="1" t="s">
        <v>74</v>
      </c>
      <c r="AU701" s="1">
        <v>2025.0</v>
      </c>
      <c r="AV701" s="1">
        <v>13.0</v>
      </c>
      <c r="AW701" s="1" t="s">
        <v>74</v>
      </c>
      <c r="AX701" s="1" t="s">
        <v>74</v>
      </c>
      <c r="AY701" s="1" t="s">
        <v>74</v>
      </c>
      <c r="AZ701" s="1" t="s">
        <v>74</v>
      </c>
      <c r="BA701" s="1" t="s">
        <v>74</v>
      </c>
      <c r="BB701" s="1">
        <v>101647.0</v>
      </c>
      <c r="BC701" s="1">
        <v>101661.0</v>
      </c>
      <c r="BD701" s="1" t="s">
        <v>74</v>
      </c>
      <c r="BE701" s="1" t="s">
        <v>6304</v>
      </c>
      <c r="BF701" s="2" t="str">
        <f>HYPERLINK("http://dx.doi.org/10.1109/ACCESS.2025.3575440","http://dx.doi.org/10.1109/ACCESS.2025.3575440")</f>
        <v>http://dx.doi.org/10.1109/ACCESS.2025.3575440</v>
      </c>
      <c r="BG701" s="1" t="s">
        <v>74</v>
      </c>
      <c r="BH701" s="1" t="s">
        <v>74</v>
      </c>
      <c r="BI701" s="1" t="s">
        <v>74</v>
      </c>
      <c r="BJ701" s="1" t="s">
        <v>74</v>
      </c>
      <c r="BK701" s="1" t="s">
        <v>74</v>
      </c>
      <c r="BL701" s="1" t="s">
        <v>152</v>
      </c>
      <c r="BM701" s="1" t="s">
        <v>74</v>
      </c>
      <c r="BN701" s="1" t="s">
        <v>74</v>
      </c>
      <c r="BO701" s="1" t="s">
        <v>153</v>
      </c>
      <c r="BP701" s="1" t="s">
        <v>74</v>
      </c>
      <c r="BQ701" s="1" t="s">
        <v>74</v>
      </c>
      <c r="BR701" s="1" t="s">
        <v>74</v>
      </c>
      <c r="BS701" s="1" t="s">
        <v>6305</v>
      </c>
      <c r="BT701" s="1" t="str">
        <f>HYPERLINK("https%3A%2F%2Fwww.webofscience.com%2Fwos%2Fwoscc%2Ffull-record%2FWOS:001511067800029","View Full Record in Web of Science")</f>
        <v>View Full Record in Web of Science</v>
      </c>
    </row>
    <row r="702" ht="12.75" customHeight="1">
      <c r="A702" s="1" t="s">
        <v>72</v>
      </c>
      <c r="B702" s="1" t="s">
        <v>6306</v>
      </c>
      <c r="C702" s="1" t="s">
        <v>74</v>
      </c>
      <c r="D702" s="1" t="s">
        <v>74</v>
      </c>
      <c r="E702" s="1" t="s">
        <v>74</v>
      </c>
      <c r="F702" s="1" t="s">
        <v>6307</v>
      </c>
      <c r="G702" s="1" t="s">
        <v>74</v>
      </c>
      <c r="H702" s="1" t="s">
        <v>74</v>
      </c>
      <c r="I702" s="1" t="s">
        <v>6308</v>
      </c>
      <c r="J702" s="1" t="s">
        <v>147</v>
      </c>
      <c r="K702" s="1" t="s">
        <v>74</v>
      </c>
      <c r="L702" s="1" t="s">
        <v>74</v>
      </c>
      <c r="M702" s="1" t="s">
        <v>74</v>
      </c>
      <c r="N702" s="1" t="s">
        <v>78</v>
      </c>
      <c r="O702" s="1" t="s">
        <v>74</v>
      </c>
      <c r="P702" s="1" t="s">
        <v>74</v>
      </c>
      <c r="Q702" s="1" t="s">
        <v>74</v>
      </c>
      <c r="R702" s="1" t="s">
        <v>74</v>
      </c>
      <c r="S702" s="1" t="s">
        <v>74</v>
      </c>
      <c r="T702" s="1" t="s">
        <v>6309</v>
      </c>
      <c r="U702" s="1" t="s">
        <v>6310</v>
      </c>
      <c r="V702" s="1" t="s">
        <v>6311</v>
      </c>
      <c r="W702" s="1" t="s">
        <v>74</v>
      </c>
      <c r="X702" s="1" t="s">
        <v>74</v>
      </c>
      <c r="Y702" s="1" t="s">
        <v>74</v>
      </c>
      <c r="Z702" s="1" t="s">
        <v>74</v>
      </c>
      <c r="AA702" s="1" t="s">
        <v>74</v>
      </c>
      <c r="AB702" s="1" t="s">
        <v>74</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150</v>
      </c>
      <c r="AP702" s="1" t="s">
        <v>74</v>
      </c>
      <c r="AQ702" s="1" t="s">
        <v>74</v>
      </c>
      <c r="AR702" s="1" t="s">
        <v>74</v>
      </c>
      <c r="AS702" s="1" t="s">
        <v>74</v>
      </c>
      <c r="AT702" s="1" t="s">
        <v>74</v>
      </c>
      <c r="AU702" s="1">
        <v>2025.0</v>
      </c>
      <c r="AV702" s="1">
        <v>13.0</v>
      </c>
      <c r="AW702" s="1" t="s">
        <v>74</v>
      </c>
      <c r="AX702" s="1" t="s">
        <v>74</v>
      </c>
      <c r="AY702" s="1" t="s">
        <v>74</v>
      </c>
      <c r="AZ702" s="1" t="s">
        <v>74</v>
      </c>
      <c r="BA702" s="1" t="s">
        <v>74</v>
      </c>
      <c r="BB702" s="1">
        <v>199024.0</v>
      </c>
      <c r="BC702" s="1">
        <v>199035.0</v>
      </c>
      <c r="BD702" s="1" t="s">
        <v>74</v>
      </c>
      <c r="BE702" s="1" t="s">
        <v>6312</v>
      </c>
      <c r="BF702" s="2" t="str">
        <f>HYPERLINK("http://dx.doi.org/10.1109/ACCESS.2025.3631616","http://dx.doi.org/10.1109/ACCESS.2025.3631616")</f>
        <v>http://dx.doi.org/10.1109/ACCESS.2025.3631616</v>
      </c>
      <c r="BG702" s="1" t="s">
        <v>74</v>
      </c>
      <c r="BH702" s="1" t="s">
        <v>74</v>
      </c>
      <c r="BI702" s="1" t="s">
        <v>74</v>
      </c>
      <c r="BJ702" s="1" t="s">
        <v>74</v>
      </c>
      <c r="BK702" s="1" t="s">
        <v>74</v>
      </c>
      <c r="BL702" s="1" t="s">
        <v>152</v>
      </c>
      <c r="BM702" s="1" t="s">
        <v>74</v>
      </c>
      <c r="BN702" s="1" t="s">
        <v>74</v>
      </c>
      <c r="BO702" s="1" t="s">
        <v>153</v>
      </c>
      <c r="BP702" s="1" t="s">
        <v>74</v>
      </c>
      <c r="BQ702" s="1" t="s">
        <v>74</v>
      </c>
      <c r="BR702" s="1" t="s">
        <v>74</v>
      </c>
      <c r="BS702" s="1" t="s">
        <v>6313</v>
      </c>
      <c r="BT702" s="1" t="str">
        <f>HYPERLINK("https%3A%2F%2Fwww.webofscience.com%2Fwos%2Fwoscc%2Ffull-record%2FWOS:001627693200042","View Full Record in Web of Science")</f>
        <v>View Full Record in Web of Science</v>
      </c>
    </row>
    <row r="703" ht="12.75" customHeight="1">
      <c r="A703" s="1" t="s">
        <v>72</v>
      </c>
      <c r="B703" s="1" t="s">
        <v>6314</v>
      </c>
      <c r="C703" s="1" t="s">
        <v>74</v>
      </c>
      <c r="D703" s="1" t="s">
        <v>74</v>
      </c>
      <c r="E703" s="1" t="s">
        <v>74</v>
      </c>
      <c r="F703" s="1" t="s">
        <v>6315</v>
      </c>
      <c r="G703" s="1" t="s">
        <v>74</v>
      </c>
      <c r="H703" s="1" t="s">
        <v>74</v>
      </c>
      <c r="I703" s="1" t="s">
        <v>6316</v>
      </c>
      <c r="J703" s="1" t="s">
        <v>1230</v>
      </c>
      <c r="K703" s="1" t="s">
        <v>74</v>
      </c>
      <c r="L703" s="1" t="s">
        <v>74</v>
      </c>
      <c r="M703" s="1" t="s">
        <v>74</v>
      </c>
      <c r="N703" s="1" t="s">
        <v>158</v>
      </c>
      <c r="O703" s="1" t="s">
        <v>74</v>
      </c>
      <c r="P703" s="1" t="s">
        <v>74</v>
      </c>
      <c r="Q703" s="1" t="s">
        <v>74</v>
      </c>
      <c r="R703" s="1" t="s">
        <v>74</v>
      </c>
      <c r="S703" s="1" t="s">
        <v>74</v>
      </c>
      <c r="T703" s="1" t="s">
        <v>6317</v>
      </c>
      <c r="U703" s="1" t="s">
        <v>6318</v>
      </c>
      <c r="V703" s="1" t="s">
        <v>6319</v>
      </c>
      <c r="W703" s="1" t="s">
        <v>74</v>
      </c>
      <c r="X703" s="1" t="s">
        <v>74</v>
      </c>
      <c r="Y703" s="1" t="s">
        <v>74</v>
      </c>
      <c r="Z703" s="1" t="s">
        <v>74</v>
      </c>
      <c r="AA703" s="1" t="s">
        <v>74</v>
      </c>
      <c r="AB703" s="1" t="s">
        <v>74</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1233</v>
      </c>
      <c r="AP703" s="1" t="s">
        <v>1234</v>
      </c>
      <c r="AQ703" s="1" t="s">
        <v>74</v>
      </c>
      <c r="AR703" s="1" t="s">
        <v>74</v>
      </c>
      <c r="AS703" s="1" t="s">
        <v>74</v>
      </c>
      <c r="AT703" s="1" t="s">
        <v>5283</v>
      </c>
      <c r="AU703" s="1">
        <v>2026.0</v>
      </c>
      <c r="AV703" s="1">
        <v>296.0</v>
      </c>
      <c r="AW703" s="1" t="s">
        <v>74</v>
      </c>
      <c r="AX703" s="1" t="s">
        <v>1693</v>
      </c>
      <c r="AY703" s="1" t="s">
        <v>74</v>
      </c>
      <c r="AZ703" s="1" t="s">
        <v>74</v>
      </c>
      <c r="BA703" s="1" t="s">
        <v>74</v>
      </c>
      <c r="BB703" s="1" t="s">
        <v>74</v>
      </c>
      <c r="BC703" s="1" t="s">
        <v>74</v>
      </c>
      <c r="BD703" s="1">
        <v>129188.0</v>
      </c>
      <c r="BE703" s="1" t="s">
        <v>6320</v>
      </c>
      <c r="BF703" s="2" t="str">
        <f>HYPERLINK("http://dx.doi.org/10.1016/j.eswa.2025.129188","http://dx.doi.org/10.1016/j.eswa.2025.129188")</f>
        <v>http://dx.doi.org/10.1016/j.eswa.2025.129188</v>
      </c>
      <c r="BG703" s="1" t="s">
        <v>74</v>
      </c>
      <c r="BH703" s="1" t="s">
        <v>276</v>
      </c>
      <c r="BI703" s="1" t="s">
        <v>74</v>
      </c>
      <c r="BJ703" s="1" t="s">
        <v>74</v>
      </c>
      <c r="BK703" s="1" t="s">
        <v>74</v>
      </c>
      <c r="BL703" s="1" t="s">
        <v>1237</v>
      </c>
      <c r="BM703" s="1" t="s">
        <v>74</v>
      </c>
      <c r="BN703" s="1" t="s">
        <v>74</v>
      </c>
      <c r="BO703" s="1" t="s">
        <v>74</v>
      </c>
      <c r="BP703" s="1" t="s">
        <v>74</v>
      </c>
      <c r="BQ703" s="1" t="s">
        <v>74</v>
      </c>
      <c r="BR703" s="1" t="s">
        <v>74</v>
      </c>
      <c r="BS703" s="1" t="s">
        <v>6321</v>
      </c>
      <c r="BT703" s="1" t="str">
        <f>HYPERLINK("https%3A%2F%2Fwww.webofscience.com%2Fwos%2Fwoscc%2Ffull-record%2FWOS:001544972800003","View Full Record in Web of Science")</f>
        <v>View Full Record in Web of Science</v>
      </c>
    </row>
    <row r="704" ht="12.75" customHeight="1">
      <c r="A704" s="1" t="s">
        <v>72</v>
      </c>
      <c r="B704" s="1" t="s">
        <v>6322</v>
      </c>
      <c r="C704" s="1" t="s">
        <v>74</v>
      </c>
      <c r="D704" s="1" t="s">
        <v>74</v>
      </c>
      <c r="E704" s="1" t="s">
        <v>74</v>
      </c>
      <c r="F704" s="1" t="s">
        <v>6323</v>
      </c>
      <c r="G704" s="1" t="s">
        <v>74</v>
      </c>
      <c r="H704" s="1" t="s">
        <v>74</v>
      </c>
      <c r="I704" s="1" t="s">
        <v>6324</v>
      </c>
      <c r="J704" s="1" t="s">
        <v>6325</v>
      </c>
      <c r="K704" s="1" t="s">
        <v>74</v>
      </c>
      <c r="L704" s="1" t="s">
        <v>74</v>
      </c>
      <c r="M704" s="1" t="s">
        <v>74</v>
      </c>
      <c r="N704" s="1" t="s">
        <v>78</v>
      </c>
      <c r="O704" s="1" t="s">
        <v>74</v>
      </c>
      <c r="P704" s="1" t="s">
        <v>74</v>
      </c>
      <c r="Q704" s="1" t="s">
        <v>74</v>
      </c>
      <c r="R704" s="1" t="s">
        <v>74</v>
      </c>
      <c r="S704" s="1" t="s">
        <v>74</v>
      </c>
      <c r="T704" s="1" t="s">
        <v>6326</v>
      </c>
      <c r="U704" s="1" t="s">
        <v>6327</v>
      </c>
      <c r="V704" s="1" t="s">
        <v>6328</v>
      </c>
      <c r="W704" s="1" t="s">
        <v>74</v>
      </c>
      <c r="X704" s="1" t="s">
        <v>74</v>
      </c>
      <c r="Y704" s="1" t="s">
        <v>74</v>
      </c>
      <c r="Z704" s="1" t="s">
        <v>74</v>
      </c>
      <c r="AA704" s="1" t="s">
        <v>74</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6329</v>
      </c>
      <c r="AP704" s="1" t="s">
        <v>6330</v>
      </c>
      <c r="AQ704" s="1" t="s">
        <v>74</v>
      </c>
      <c r="AR704" s="1" t="s">
        <v>74</v>
      </c>
      <c r="AS704" s="1" t="s">
        <v>74</v>
      </c>
      <c r="AT704" s="1" t="s">
        <v>1864</v>
      </c>
      <c r="AU704" s="1">
        <v>2025.0</v>
      </c>
      <c r="AV704" s="1">
        <v>57.0</v>
      </c>
      <c r="AW704" s="1">
        <v>60.0</v>
      </c>
      <c r="AX704" s="1" t="s">
        <v>74</v>
      </c>
      <c r="AY704" s="1" t="s">
        <v>74</v>
      </c>
      <c r="AZ704" s="1" t="s">
        <v>74</v>
      </c>
      <c r="BA704" s="1" t="s">
        <v>74</v>
      </c>
      <c r="BB704" s="1">
        <v>11219.0</v>
      </c>
      <c r="BC704" s="1">
        <v>11227.0</v>
      </c>
      <c r="BD704" s="1" t="s">
        <v>74</v>
      </c>
      <c r="BE704" s="1" t="s">
        <v>6331</v>
      </c>
      <c r="BF704" s="2" t="str">
        <f>HYPERLINK("http://dx.doi.org/10.1080/00036846.2025.2450384","http://dx.doi.org/10.1080/00036846.2025.2450384")</f>
        <v>http://dx.doi.org/10.1080/00036846.2025.2450384</v>
      </c>
      <c r="BG704" s="1" t="s">
        <v>74</v>
      </c>
      <c r="BH704" s="1" t="s">
        <v>141</v>
      </c>
      <c r="BI704" s="1" t="s">
        <v>74</v>
      </c>
      <c r="BJ704" s="1" t="s">
        <v>74</v>
      </c>
      <c r="BK704" s="1" t="s">
        <v>74</v>
      </c>
      <c r="BL704" s="1" t="s">
        <v>214</v>
      </c>
      <c r="BM704" s="1" t="s">
        <v>74</v>
      </c>
      <c r="BN704" s="1" t="s">
        <v>74</v>
      </c>
      <c r="BO704" s="1" t="s">
        <v>74</v>
      </c>
      <c r="BP704" s="1" t="s">
        <v>74</v>
      </c>
      <c r="BQ704" s="1" t="s">
        <v>74</v>
      </c>
      <c r="BR704" s="1" t="s">
        <v>74</v>
      </c>
      <c r="BS704" s="1" t="s">
        <v>6332</v>
      </c>
      <c r="BT704" s="1" t="str">
        <f>HYPERLINK("https%3A%2F%2Fwww.webofscience.com%2Fwos%2Fwoscc%2Ffull-record%2FWOS:001392783200001","View Full Record in Web of Science")</f>
        <v>View Full Record in Web of Science</v>
      </c>
    </row>
    <row r="705" ht="12.75" customHeight="1">
      <c r="A705" s="1" t="s">
        <v>72</v>
      </c>
      <c r="B705" s="1" t="s">
        <v>6333</v>
      </c>
      <c r="C705" s="1" t="s">
        <v>74</v>
      </c>
      <c r="D705" s="1" t="s">
        <v>74</v>
      </c>
      <c r="E705" s="1" t="s">
        <v>74</v>
      </c>
      <c r="F705" s="1" t="s">
        <v>6334</v>
      </c>
      <c r="G705" s="1" t="s">
        <v>74</v>
      </c>
      <c r="H705" s="1" t="s">
        <v>74</v>
      </c>
      <c r="I705" s="1" t="s">
        <v>6335</v>
      </c>
      <c r="J705" s="1" t="s">
        <v>1570</v>
      </c>
      <c r="K705" s="1" t="s">
        <v>74</v>
      </c>
      <c r="L705" s="1" t="s">
        <v>74</v>
      </c>
      <c r="M705" s="1" t="s">
        <v>74</v>
      </c>
      <c r="N705" s="1" t="s">
        <v>78</v>
      </c>
      <c r="O705" s="1" t="s">
        <v>74</v>
      </c>
      <c r="P705" s="1" t="s">
        <v>74</v>
      </c>
      <c r="Q705" s="1" t="s">
        <v>74</v>
      </c>
      <c r="R705" s="1" t="s">
        <v>74</v>
      </c>
      <c r="S705" s="1" t="s">
        <v>74</v>
      </c>
      <c r="T705" s="1" t="s">
        <v>6336</v>
      </c>
      <c r="U705" s="1" t="s">
        <v>6337</v>
      </c>
      <c r="V705" s="1" t="s">
        <v>6338</v>
      </c>
      <c r="W705" s="1" t="s">
        <v>74</v>
      </c>
      <c r="X705" s="1" t="s">
        <v>74</v>
      </c>
      <c r="Y705" s="1" t="s">
        <v>74</v>
      </c>
      <c r="Z705" s="1" t="s">
        <v>74</v>
      </c>
      <c r="AA705" s="1" t="s">
        <v>74</v>
      </c>
      <c r="AB705" s="1" t="s">
        <v>74</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1573</v>
      </c>
      <c r="AP705" s="1" t="s">
        <v>1574</v>
      </c>
      <c r="AQ705" s="1" t="s">
        <v>74</v>
      </c>
      <c r="AR705" s="1" t="s">
        <v>74</v>
      </c>
      <c r="AS705" s="1" t="s">
        <v>74</v>
      </c>
      <c r="AT705" s="1" t="s">
        <v>84</v>
      </c>
      <c r="AU705" s="1">
        <v>2025.0</v>
      </c>
      <c r="AV705" s="1">
        <v>31.0</v>
      </c>
      <c r="AW705" s="1">
        <v>5.0</v>
      </c>
      <c r="AX705" s="1" t="s">
        <v>74</v>
      </c>
      <c r="AY705" s="1" t="s">
        <v>74</v>
      </c>
      <c r="AZ705" s="1" t="s">
        <v>74</v>
      </c>
      <c r="BA705" s="1" t="s">
        <v>74</v>
      </c>
      <c r="BB705" s="1">
        <v>2756.0</v>
      </c>
      <c r="BC705" s="1">
        <v>2766.0</v>
      </c>
      <c r="BD705" s="1" t="s">
        <v>74</v>
      </c>
      <c r="BE705" s="1" t="s">
        <v>6339</v>
      </c>
      <c r="BF705" s="2" t="str">
        <f>HYPERLINK("http://dx.doi.org/10.1109/TVCG.2025.3549537","http://dx.doi.org/10.1109/TVCG.2025.3549537")</f>
        <v>http://dx.doi.org/10.1109/TVCG.2025.3549537</v>
      </c>
      <c r="BG705" s="1" t="s">
        <v>74</v>
      </c>
      <c r="BH705" s="1" t="s">
        <v>74</v>
      </c>
      <c r="BI705" s="1" t="s">
        <v>74</v>
      </c>
      <c r="BJ705" s="1" t="s">
        <v>74</v>
      </c>
      <c r="BK705" s="1" t="s">
        <v>74</v>
      </c>
      <c r="BL705" s="1" t="s">
        <v>174</v>
      </c>
      <c r="BM705" s="1" t="s">
        <v>74</v>
      </c>
      <c r="BN705" s="1" t="s">
        <v>74</v>
      </c>
      <c r="BO705" s="1" t="s">
        <v>74</v>
      </c>
      <c r="BP705" s="1" t="s">
        <v>74</v>
      </c>
      <c r="BQ705" s="1" t="s">
        <v>74</v>
      </c>
      <c r="BR705" s="1" t="s">
        <v>74</v>
      </c>
      <c r="BS705" s="1" t="s">
        <v>6340</v>
      </c>
      <c r="BT705" s="1" t="str">
        <f>HYPERLINK("https%3A%2F%2Fwww.webofscience.com%2Fwos%2Fwoscc%2Ffull-record%2FWOS:001476476900009","View Full Record in Web of Science")</f>
        <v>View Full Record in Web of Science</v>
      </c>
    </row>
    <row r="706" ht="12.75" customHeight="1">
      <c r="A706" s="1" t="s">
        <v>72</v>
      </c>
      <c r="B706" s="1" t="s">
        <v>6341</v>
      </c>
      <c r="C706" s="1" t="s">
        <v>74</v>
      </c>
      <c r="D706" s="1" t="s">
        <v>74</v>
      </c>
      <c r="E706" s="1" t="s">
        <v>74</v>
      </c>
      <c r="F706" s="1" t="s">
        <v>6342</v>
      </c>
      <c r="G706" s="1" t="s">
        <v>74</v>
      </c>
      <c r="H706" s="1" t="s">
        <v>74</v>
      </c>
      <c r="I706" s="1" t="s">
        <v>6343</v>
      </c>
      <c r="J706" s="1" t="s">
        <v>1230</v>
      </c>
      <c r="K706" s="1" t="s">
        <v>74</v>
      </c>
      <c r="L706" s="1" t="s">
        <v>74</v>
      </c>
      <c r="M706" s="1" t="s">
        <v>74</v>
      </c>
      <c r="N706" s="1" t="s">
        <v>78</v>
      </c>
      <c r="O706" s="1" t="s">
        <v>74</v>
      </c>
      <c r="P706" s="1" t="s">
        <v>74</v>
      </c>
      <c r="Q706" s="1" t="s">
        <v>74</v>
      </c>
      <c r="R706" s="1" t="s">
        <v>74</v>
      </c>
      <c r="S706" s="1" t="s">
        <v>74</v>
      </c>
      <c r="T706" s="1" t="s">
        <v>6344</v>
      </c>
      <c r="U706" s="1" t="s">
        <v>74</v>
      </c>
      <c r="V706" s="1" t="s">
        <v>6345</v>
      </c>
      <c r="W706" s="1" t="s">
        <v>74</v>
      </c>
      <c r="X706" s="1" t="s">
        <v>74</v>
      </c>
      <c r="Y706" s="1" t="s">
        <v>74</v>
      </c>
      <c r="Z706" s="1" t="s">
        <v>74</v>
      </c>
      <c r="AA706" s="1" t="s">
        <v>74</v>
      </c>
      <c r="AB706" s="1" t="s">
        <v>74</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1233</v>
      </c>
      <c r="AP706" s="1" t="s">
        <v>1234</v>
      </c>
      <c r="AQ706" s="1" t="s">
        <v>74</v>
      </c>
      <c r="AR706" s="1" t="s">
        <v>74</v>
      </c>
      <c r="AS706" s="1" t="s">
        <v>74</v>
      </c>
      <c r="AT706" s="1" t="s">
        <v>4497</v>
      </c>
      <c r="AU706" s="1">
        <v>2025.0</v>
      </c>
      <c r="AV706" s="1">
        <v>278.0</v>
      </c>
      <c r="AW706" s="1" t="s">
        <v>74</v>
      </c>
      <c r="AX706" s="1" t="s">
        <v>74</v>
      </c>
      <c r="AY706" s="1" t="s">
        <v>74</v>
      </c>
      <c r="AZ706" s="1" t="s">
        <v>74</v>
      </c>
      <c r="BA706" s="1" t="s">
        <v>74</v>
      </c>
      <c r="BB706" s="1" t="s">
        <v>74</v>
      </c>
      <c r="BC706" s="1" t="s">
        <v>74</v>
      </c>
      <c r="BD706" s="1">
        <v>127306.0</v>
      </c>
      <c r="BE706" s="1" t="s">
        <v>6346</v>
      </c>
      <c r="BF706" s="2" t="str">
        <f>HYPERLINK("http://dx.doi.org/10.1016/j.eswa.2025.127306","http://dx.doi.org/10.1016/j.eswa.2025.127306")</f>
        <v>http://dx.doi.org/10.1016/j.eswa.2025.127306</v>
      </c>
      <c r="BG706" s="1" t="s">
        <v>74</v>
      </c>
      <c r="BH706" s="1" t="s">
        <v>347</v>
      </c>
      <c r="BI706" s="1" t="s">
        <v>74</v>
      </c>
      <c r="BJ706" s="1" t="s">
        <v>74</v>
      </c>
      <c r="BK706" s="1" t="s">
        <v>74</v>
      </c>
      <c r="BL706" s="1" t="s">
        <v>1237</v>
      </c>
      <c r="BM706" s="1" t="s">
        <v>74</v>
      </c>
      <c r="BN706" s="1" t="s">
        <v>74</v>
      </c>
      <c r="BO706" s="1" t="s">
        <v>74</v>
      </c>
      <c r="BP706" s="1" t="s">
        <v>74</v>
      </c>
      <c r="BQ706" s="1" t="s">
        <v>74</v>
      </c>
      <c r="BR706" s="1" t="s">
        <v>74</v>
      </c>
      <c r="BS706" s="1" t="s">
        <v>6347</v>
      </c>
      <c r="BT706" s="1" t="str">
        <f>HYPERLINK("https%3A%2F%2Fwww.webofscience.com%2Fwos%2Fwoscc%2Ffull-record%2FWOS:001458438100001","View Full Record in Web of Science")</f>
        <v>View Full Record in Web of Science</v>
      </c>
    </row>
    <row r="707" ht="12.75" customHeight="1">
      <c r="A707" s="1" t="s">
        <v>72</v>
      </c>
      <c r="B707" s="1" t="s">
        <v>6348</v>
      </c>
      <c r="C707" s="1" t="s">
        <v>74</v>
      </c>
      <c r="D707" s="1" t="s">
        <v>74</v>
      </c>
      <c r="E707" s="1" t="s">
        <v>74</v>
      </c>
      <c r="F707" s="1" t="s">
        <v>6349</v>
      </c>
      <c r="G707" s="1" t="s">
        <v>74</v>
      </c>
      <c r="H707" s="1" t="s">
        <v>74</v>
      </c>
      <c r="I707" s="1" t="s">
        <v>6350</v>
      </c>
      <c r="J707" s="1" t="s">
        <v>6351</v>
      </c>
      <c r="K707" s="1" t="s">
        <v>74</v>
      </c>
      <c r="L707" s="1" t="s">
        <v>74</v>
      </c>
      <c r="M707" s="1" t="s">
        <v>74</v>
      </c>
      <c r="N707" s="1" t="s">
        <v>78</v>
      </c>
      <c r="O707" s="1" t="s">
        <v>74</v>
      </c>
      <c r="P707" s="1" t="s">
        <v>74</v>
      </c>
      <c r="Q707" s="1" t="s">
        <v>74</v>
      </c>
      <c r="R707" s="1" t="s">
        <v>74</v>
      </c>
      <c r="S707" s="1" t="s">
        <v>74</v>
      </c>
      <c r="T707" s="1" t="s">
        <v>6352</v>
      </c>
      <c r="U707" s="1" t="s">
        <v>74</v>
      </c>
      <c r="V707" s="1" t="s">
        <v>6353</v>
      </c>
      <c r="W707" s="1" t="s">
        <v>74</v>
      </c>
      <c r="X707" s="1" t="s">
        <v>74</v>
      </c>
      <c r="Y707" s="1" t="s">
        <v>74</v>
      </c>
      <c r="Z707" s="1" t="s">
        <v>74</v>
      </c>
      <c r="AA707" s="1" t="s">
        <v>74</v>
      </c>
      <c r="AB707" s="1" t="s">
        <v>74</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6354</v>
      </c>
      <c r="AP707" s="1" t="s">
        <v>6355</v>
      </c>
      <c r="AQ707" s="1" t="s">
        <v>74</v>
      </c>
      <c r="AR707" s="1" t="s">
        <v>74</v>
      </c>
      <c r="AS707" s="1" t="s">
        <v>74</v>
      </c>
      <c r="AT707" s="1" t="s">
        <v>74</v>
      </c>
      <c r="AU707" s="1">
        <v>2023.0</v>
      </c>
      <c r="AV707" s="1">
        <v>51.0</v>
      </c>
      <c r="AW707" s="1">
        <v>4.0</v>
      </c>
      <c r="AX707" s="1" t="s">
        <v>74</v>
      </c>
      <c r="AY707" s="1" t="s">
        <v>74</v>
      </c>
      <c r="AZ707" s="1" t="s">
        <v>707</v>
      </c>
      <c r="BA707" s="1" t="s">
        <v>74</v>
      </c>
      <c r="BB707" s="1">
        <v>988.0</v>
      </c>
      <c r="BC707" s="1">
        <v>995.0</v>
      </c>
      <c r="BD707" s="1" t="s">
        <v>74</v>
      </c>
      <c r="BE707" s="1" t="s">
        <v>6356</v>
      </c>
      <c r="BF707" s="2" t="str">
        <f>HYPERLINK("http://dx.doi.org/10.1017/jme.2024.15","http://dx.doi.org/10.1017/jme.2024.15")</f>
        <v>http://dx.doi.org/10.1017/jme.2024.15</v>
      </c>
      <c r="BG707" s="1" t="s">
        <v>74</v>
      </c>
      <c r="BH707" s="1" t="s">
        <v>74</v>
      </c>
      <c r="BI707" s="1" t="s">
        <v>74</v>
      </c>
      <c r="BJ707" s="1" t="s">
        <v>74</v>
      </c>
      <c r="BK707" s="1" t="s">
        <v>74</v>
      </c>
      <c r="BL707" s="1" t="s">
        <v>6357</v>
      </c>
      <c r="BM707" s="1" t="s">
        <v>74</v>
      </c>
      <c r="BN707" s="1" t="s">
        <v>74</v>
      </c>
      <c r="BO707" s="1" t="s">
        <v>576</v>
      </c>
      <c r="BP707" s="1" t="s">
        <v>74</v>
      </c>
      <c r="BQ707" s="1" t="s">
        <v>74</v>
      </c>
      <c r="BR707" s="1" t="s">
        <v>74</v>
      </c>
      <c r="BS707" s="1" t="s">
        <v>6358</v>
      </c>
      <c r="BT707" s="1" t="str">
        <f>HYPERLINK("https%3A%2F%2Fwww.webofscience.com%2Fwos%2Fwoscc%2Ffull-record%2FWOS:001193799200021","View Full Record in Web of Science")</f>
        <v>View Full Record in Web of Science</v>
      </c>
    </row>
    <row r="708" ht="12.75" customHeight="1">
      <c r="A708" s="1" t="s">
        <v>72</v>
      </c>
      <c r="B708" s="1" t="s">
        <v>6359</v>
      </c>
      <c r="C708" s="1" t="s">
        <v>74</v>
      </c>
      <c r="D708" s="1" t="s">
        <v>74</v>
      </c>
      <c r="E708" s="1" t="s">
        <v>74</v>
      </c>
      <c r="F708" s="1" t="s">
        <v>6360</v>
      </c>
      <c r="G708" s="1" t="s">
        <v>74</v>
      </c>
      <c r="H708" s="1" t="s">
        <v>74</v>
      </c>
      <c r="I708" s="1" t="s">
        <v>6361</v>
      </c>
      <c r="J708" s="1" t="s">
        <v>2572</v>
      </c>
      <c r="K708" s="1" t="s">
        <v>74</v>
      </c>
      <c r="L708" s="1" t="s">
        <v>74</v>
      </c>
      <c r="M708" s="1" t="s">
        <v>74</v>
      </c>
      <c r="N708" s="1" t="s">
        <v>78</v>
      </c>
      <c r="O708" s="1" t="s">
        <v>74</v>
      </c>
      <c r="P708" s="1" t="s">
        <v>74</v>
      </c>
      <c r="Q708" s="1" t="s">
        <v>74</v>
      </c>
      <c r="R708" s="1" t="s">
        <v>74</v>
      </c>
      <c r="S708" s="1" t="s">
        <v>74</v>
      </c>
      <c r="T708" s="1" t="s">
        <v>6362</v>
      </c>
      <c r="U708" s="1" t="s">
        <v>74</v>
      </c>
      <c r="V708" s="1" t="s">
        <v>6363</v>
      </c>
      <c r="W708" s="1" t="s">
        <v>74</v>
      </c>
      <c r="X708" s="1" t="s">
        <v>74</v>
      </c>
      <c r="Y708" s="1" t="s">
        <v>74</v>
      </c>
      <c r="Z708" s="1" t="s">
        <v>74</v>
      </c>
      <c r="AA708" s="1" t="s">
        <v>74</v>
      </c>
      <c r="AB708" s="1" t="s">
        <v>74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2575</v>
      </c>
      <c r="AP708" s="1" t="s">
        <v>74</v>
      </c>
      <c r="AQ708" s="1" t="s">
        <v>74</v>
      </c>
      <c r="AR708" s="1" t="s">
        <v>74</v>
      </c>
      <c r="AS708" s="1" t="s">
        <v>74</v>
      </c>
      <c r="AT708" s="1" t="s">
        <v>4410</v>
      </c>
      <c r="AU708" s="1">
        <v>2024.0</v>
      </c>
      <c r="AV708" s="1">
        <v>11.0</v>
      </c>
      <c r="AW708" s="1">
        <v>22.0</v>
      </c>
      <c r="AX708" s="1" t="s">
        <v>74</v>
      </c>
      <c r="AY708" s="1" t="s">
        <v>74</v>
      </c>
      <c r="AZ708" s="1" t="s">
        <v>74</v>
      </c>
      <c r="BA708" s="1" t="s">
        <v>74</v>
      </c>
      <c r="BB708" s="1">
        <v>37351.0</v>
      </c>
      <c r="BC708" s="1">
        <v>37367.0</v>
      </c>
      <c r="BD708" s="1" t="s">
        <v>74</v>
      </c>
      <c r="BE708" s="1" t="s">
        <v>6364</v>
      </c>
      <c r="BF708" s="2" t="str">
        <f>HYPERLINK("http://dx.doi.org/10.1109/JIOT.2024.3442997","http://dx.doi.org/10.1109/JIOT.2024.3442997")</f>
        <v>http://dx.doi.org/10.1109/JIOT.2024.3442997</v>
      </c>
      <c r="BG708" s="1" t="s">
        <v>74</v>
      </c>
      <c r="BH708" s="1" t="s">
        <v>74</v>
      </c>
      <c r="BI708" s="1" t="s">
        <v>74</v>
      </c>
      <c r="BJ708" s="1" t="s">
        <v>74</v>
      </c>
      <c r="BK708" s="1" t="s">
        <v>74</v>
      </c>
      <c r="BL708" s="1" t="s">
        <v>152</v>
      </c>
      <c r="BM708" s="1" t="s">
        <v>74</v>
      </c>
      <c r="BN708" s="1" t="s">
        <v>74</v>
      </c>
      <c r="BO708" s="1" t="s">
        <v>74</v>
      </c>
      <c r="BP708" s="1" t="s">
        <v>74</v>
      </c>
      <c r="BQ708" s="1" t="s">
        <v>74</v>
      </c>
      <c r="BR708" s="1" t="s">
        <v>74</v>
      </c>
      <c r="BS708" s="1" t="s">
        <v>6365</v>
      </c>
      <c r="BT708" s="1" t="str">
        <f>HYPERLINK("https%3A%2F%2Fwww.webofscience.com%2Fwos%2Fwoscc%2Ffull-record%2FWOS:001351916500095","View Full Record in Web of Science")</f>
        <v>View Full Record in Web of Science</v>
      </c>
    </row>
    <row r="709" ht="12.75" customHeight="1">
      <c r="A709" s="1" t="s">
        <v>72</v>
      </c>
      <c r="B709" s="1" t="s">
        <v>6366</v>
      </c>
      <c r="C709" s="1" t="s">
        <v>74</v>
      </c>
      <c r="D709" s="1" t="s">
        <v>74</v>
      </c>
      <c r="E709" s="1" t="s">
        <v>74</v>
      </c>
      <c r="F709" s="1" t="s">
        <v>6367</v>
      </c>
      <c r="G709" s="1" t="s">
        <v>74</v>
      </c>
      <c r="H709" s="1" t="s">
        <v>74</v>
      </c>
      <c r="I709" s="1" t="s">
        <v>6368</v>
      </c>
      <c r="J709" s="1" t="s">
        <v>6369</v>
      </c>
      <c r="K709" s="1" t="s">
        <v>74</v>
      </c>
      <c r="L709" s="1" t="s">
        <v>74</v>
      </c>
      <c r="M709" s="1" t="s">
        <v>74</v>
      </c>
      <c r="N709" s="1" t="s">
        <v>78</v>
      </c>
      <c r="O709" s="1" t="s">
        <v>74</v>
      </c>
      <c r="P709" s="1" t="s">
        <v>74</v>
      </c>
      <c r="Q709" s="1" t="s">
        <v>74</v>
      </c>
      <c r="R709" s="1" t="s">
        <v>74</v>
      </c>
      <c r="S709" s="1" t="s">
        <v>74</v>
      </c>
      <c r="T709" s="1" t="s">
        <v>6370</v>
      </c>
      <c r="U709" s="1" t="s">
        <v>6371</v>
      </c>
      <c r="V709" s="1" t="s">
        <v>6372</v>
      </c>
      <c r="W709" s="1" t="s">
        <v>74</v>
      </c>
      <c r="X709" s="1" t="s">
        <v>74</v>
      </c>
      <c r="Y709" s="1" t="s">
        <v>74</v>
      </c>
      <c r="Z709" s="1" t="s">
        <v>74</v>
      </c>
      <c r="AA709" s="1" t="s">
        <v>74</v>
      </c>
      <c r="AB709" s="1" t="s">
        <v>74</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6373</v>
      </c>
      <c r="AP709" s="1" t="s">
        <v>6374</v>
      </c>
      <c r="AQ709" s="1" t="s">
        <v>74</v>
      </c>
      <c r="AR709" s="1" t="s">
        <v>74</v>
      </c>
      <c r="AS709" s="1" t="s">
        <v>74</v>
      </c>
      <c r="AT709" s="1" t="s">
        <v>225</v>
      </c>
      <c r="AU709" s="1">
        <v>2024.0</v>
      </c>
      <c r="AV709" s="1">
        <v>50.0</v>
      </c>
      <c r="AW709" s="1">
        <v>7.0</v>
      </c>
      <c r="AX709" s="1" t="s">
        <v>74</v>
      </c>
      <c r="AY709" s="1" t="s">
        <v>74</v>
      </c>
      <c r="AZ709" s="1" t="s">
        <v>74</v>
      </c>
      <c r="BA709" s="1" t="s">
        <v>74</v>
      </c>
      <c r="BB709" s="1">
        <v>1921.0</v>
      </c>
      <c r="BC709" s="1">
        <v>1948.0</v>
      </c>
      <c r="BD709" s="1" t="s">
        <v>74</v>
      </c>
      <c r="BE709" s="1" t="s">
        <v>6375</v>
      </c>
      <c r="BF709" s="2" t="str">
        <f>HYPERLINK("http://dx.doi.org/10.1109/TSE.2024.3411928","http://dx.doi.org/10.1109/TSE.2024.3411928")</f>
        <v>http://dx.doi.org/10.1109/TSE.2024.3411928</v>
      </c>
      <c r="BG709" s="1" t="s">
        <v>74</v>
      </c>
      <c r="BH709" s="1" t="s">
        <v>74</v>
      </c>
      <c r="BI709" s="1" t="s">
        <v>74</v>
      </c>
      <c r="BJ709" s="1" t="s">
        <v>74</v>
      </c>
      <c r="BK709" s="1" t="s">
        <v>74</v>
      </c>
      <c r="BL709" s="1" t="s">
        <v>98</v>
      </c>
      <c r="BM709" s="1" t="s">
        <v>74</v>
      </c>
      <c r="BN709" s="1" t="s">
        <v>74</v>
      </c>
      <c r="BO709" s="1" t="s">
        <v>74</v>
      </c>
      <c r="BP709" s="1" t="s">
        <v>74</v>
      </c>
      <c r="BQ709" s="1" t="s">
        <v>74</v>
      </c>
      <c r="BR709" s="1" t="s">
        <v>74</v>
      </c>
      <c r="BS709" s="1" t="s">
        <v>6376</v>
      </c>
      <c r="BT709" s="1" t="str">
        <f>HYPERLINK("https%3A%2F%2Fwww.webofscience.com%2Fwos%2Fwoscc%2Ffull-record%2FWOS:001272193600014","View Full Record in Web of Science")</f>
        <v>View Full Record in Web of Science</v>
      </c>
    </row>
    <row r="710" ht="12.75" customHeight="1">
      <c r="A710" s="1" t="s">
        <v>72</v>
      </c>
      <c r="B710" s="1" t="s">
        <v>6377</v>
      </c>
      <c r="C710" s="1" t="s">
        <v>74</v>
      </c>
      <c r="D710" s="1" t="s">
        <v>74</v>
      </c>
      <c r="E710" s="1" t="s">
        <v>74</v>
      </c>
      <c r="F710" s="1" t="s">
        <v>6378</v>
      </c>
      <c r="G710" s="1" t="s">
        <v>74</v>
      </c>
      <c r="H710" s="1" t="s">
        <v>74</v>
      </c>
      <c r="I710" s="1" t="s">
        <v>6379</v>
      </c>
      <c r="J710" s="1" t="s">
        <v>6380</v>
      </c>
      <c r="K710" s="1" t="s">
        <v>74</v>
      </c>
      <c r="L710" s="1" t="s">
        <v>74</v>
      </c>
      <c r="M710" s="1" t="s">
        <v>74</v>
      </c>
      <c r="N710" s="1" t="s">
        <v>78</v>
      </c>
      <c r="O710" s="1" t="s">
        <v>74</v>
      </c>
      <c r="P710" s="1" t="s">
        <v>74</v>
      </c>
      <c r="Q710" s="1" t="s">
        <v>74</v>
      </c>
      <c r="R710" s="1" t="s">
        <v>74</v>
      </c>
      <c r="S710" s="1" t="s">
        <v>74</v>
      </c>
      <c r="T710" s="1" t="s">
        <v>6381</v>
      </c>
      <c r="U710" s="1" t="s">
        <v>6382</v>
      </c>
      <c r="V710" s="1" t="s">
        <v>6383</v>
      </c>
      <c r="W710" s="1" t="s">
        <v>74</v>
      </c>
      <c r="X710" s="1" t="s">
        <v>74</v>
      </c>
      <c r="Y710" s="1" t="s">
        <v>74</v>
      </c>
      <c r="Z710" s="1" t="s">
        <v>74</v>
      </c>
      <c r="AA710" s="1" t="s">
        <v>74</v>
      </c>
      <c r="AB710" s="1" t="s">
        <v>74</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6384</v>
      </c>
      <c r="AP710" s="1" t="s">
        <v>6385</v>
      </c>
      <c r="AQ710" s="1" t="s">
        <v>74</v>
      </c>
      <c r="AR710" s="1" t="s">
        <v>74</v>
      </c>
      <c r="AS710" s="1" t="s">
        <v>74</v>
      </c>
      <c r="AT710" s="1" t="s">
        <v>124</v>
      </c>
      <c r="AU710" s="1">
        <v>2025.0</v>
      </c>
      <c r="AV710" s="1">
        <v>19.0</v>
      </c>
      <c r="AW710" s="1">
        <v>3.0</v>
      </c>
      <c r="AX710" s="1" t="s">
        <v>74</v>
      </c>
      <c r="AY710" s="1" t="s">
        <v>74</v>
      </c>
      <c r="AZ710" s="1" t="s">
        <v>74</v>
      </c>
      <c r="BA710" s="1" t="s">
        <v>74</v>
      </c>
      <c r="BB710" s="1" t="s">
        <v>74</v>
      </c>
      <c r="BC710" s="1" t="s">
        <v>74</v>
      </c>
      <c r="BD710" s="1">
        <v>68.0</v>
      </c>
      <c r="BE710" s="1" t="s">
        <v>6386</v>
      </c>
      <c r="BF710" s="2" t="str">
        <f>HYPERLINK("http://dx.doi.org/10.1145/3715964","http://dx.doi.org/10.1145/3715964")</f>
        <v>http://dx.doi.org/10.1145/3715964</v>
      </c>
      <c r="BG710" s="1" t="s">
        <v>74</v>
      </c>
      <c r="BH710" s="1" t="s">
        <v>74</v>
      </c>
      <c r="BI710" s="1" t="s">
        <v>74</v>
      </c>
      <c r="BJ710" s="1" t="s">
        <v>74</v>
      </c>
      <c r="BK710" s="1" t="s">
        <v>74</v>
      </c>
      <c r="BL710" s="1" t="s">
        <v>174</v>
      </c>
      <c r="BM710" s="1" t="s">
        <v>74</v>
      </c>
      <c r="BN710" s="1" t="s">
        <v>74</v>
      </c>
      <c r="BO710" s="1" t="s">
        <v>74</v>
      </c>
      <c r="BP710" s="1" t="s">
        <v>74</v>
      </c>
      <c r="BQ710" s="1" t="s">
        <v>74</v>
      </c>
      <c r="BR710" s="1" t="s">
        <v>74</v>
      </c>
      <c r="BS710" s="1" t="s">
        <v>6387</v>
      </c>
      <c r="BT710" s="1" t="str">
        <f>HYPERLINK("https%3A%2F%2Fwww.webofscience.com%2Fwos%2Fwoscc%2Ffull-record%2FWOS:001508994700014","View Full Record in Web of Science")</f>
        <v>View Full Record in Web of Science</v>
      </c>
    </row>
    <row r="711" ht="12.75" customHeight="1">
      <c r="A711" s="1" t="s">
        <v>72</v>
      </c>
      <c r="B711" s="1" t="s">
        <v>6388</v>
      </c>
      <c r="C711" s="1" t="s">
        <v>74</v>
      </c>
      <c r="D711" s="1" t="s">
        <v>74</v>
      </c>
      <c r="E711" s="1" t="s">
        <v>74</v>
      </c>
      <c r="F711" s="1" t="s">
        <v>6389</v>
      </c>
      <c r="G711" s="1" t="s">
        <v>74</v>
      </c>
      <c r="H711" s="1" t="s">
        <v>74</v>
      </c>
      <c r="I711" s="1" t="s">
        <v>6390</v>
      </c>
      <c r="J711" s="1" t="s">
        <v>6391</v>
      </c>
      <c r="K711" s="1" t="s">
        <v>74</v>
      </c>
      <c r="L711" s="1" t="s">
        <v>74</v>
      </c>
      <c r="M711" s="1" t="s">
        <v>74</v>
      </c>
      <c r="N711" s="1" t="s">
        <v>78</v>
      </c>
      <c r="O711" s="1" t="s">
        <v>74</v>
      </c>
      <c r="P711" s="1" t="s">
        <v>74</v>
      </c>
      <c r="Q711" s="1" t="s">
        <v>74</v>
      </c>
      <c r="R711" s="1" t="s">
        <v>74</v>
      </c>
      <c r="S711" s="1" t="s">
        <v>74</v>
      </c>
      <c r="T711" s="1" t="s">
        <v>6392</v>
      </c>
      <c r="U711" s="1" t="s">
        <v>74</v>
      </c>
      <c r="V711" s="1" t="s">
        <v>6393</v>
      </c>
      <c r="W711" s="1" t="s">
        <v>74</v>
      </c>
      <c r="X711" s="1" t="s">
        <v>74</v>
      </c>
      <c r="Y711" s="1" t="s">
        <v>74</v>
      </c>
      <c r="Z711" s="1" t="s">
        <v>74</v>
      </c>
      <c r="AA711" s="1" t="s">
        <v>74</v>
      </c>
      <c r="AB711" s="1" t="s">
        <v>74</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6394</v>
      </c>
      <c r="AP711" s="1" t="s">
        <v>6395</v>
      </c>
      <c r="AQ711" s="1" t="s">
        <v>74</v>
      </c>
      <c r="AR711" s="1" t="s">
        <v>74</v>
      </c>
      <c r="AS711" s="1" t="s">
        <v>74</v>
      </c>
      <c r="AT711" s="1" t="s">
        <v>74</v>
      </c>
      <c r="AU711" s="1">
        <v>2024.0</v>
      </c>
      <c r="AV711" s="1" t="s">
        <v>74</v>
      </c>
      <c r="AW711" s="1">
        <v>1.0</v>
      </c>
      <c r="AX711" s="1" t="s">
        <v>74</v>
      </c>
      <c r="AY711" s="1" t="s">
        <v>74</v>
      </c>
      <c r="AZ711" s="1" t="s">
        <v>74</v>
      </c>
      <c r="BA711" s="1" t="s">
        <v>74</v>
      </c>
      <c r="BB711" s="1">
        <v>147.0</v>
      </c>
      <c r="BC711" s="1">
        <v>160.0</v>
      </c>
      <c r="BD711" s="1" t="s">
        <v>74</v>
      </c>
      <c r="BE711" s="1" t="s">
        <v>6396</v>
      </c>
      <c r="BF711" s="2" t="str">
        <f>HYPERLINK("http://dx.doi.org/10.15588/1607-3274-2024-1-14","http://dx.doi.org/10.15588/1607-3274-2024-1-14")</f>
        <v>http://dx.doi.org/10.15588/1607-3274-2024-1-14</v>
      </c>
      <c r="BG711" s="1" t="s">
        <v>74</v>
      </c>
      <c r="BH711" s="1" t="s">
        <v>74</v>
      </c>
      <c r="BI711" s="1" t="s">
        <v>74</v>
      </c>
      <c r="BJ711" s="1" t="s">
        <v>74</v>
      </c>
      <c r="BK711" s="1" t="s">
        <v>74</v>
      </c>
      <c r="BL711" s="1" t="s">
        <v>174</v>
      </c>
      <c r="BM711" s="1" t="s">
        <v>74</v>
      </c>
      <c r="BN711" s="1" t="s">
        <v>74</v>
      </c>
      <c r="BO711" s="1" t="s">
        <v>163</v>
      </c>
      <c r="BP711" s="1" t="s">
        <v>74</v>
      </c>
      <c r="BQ711" s="1" t="s">
        <v>74</v>
      </c>
      <c r="BR711" s="1" t="s">
        <v>74</v>
      </c>
      <c r="BS711" s="1" t="s">
        <v>6397</v>
      </c>
      <c r="BT711" s="1" t="str">
        <f>HYPERLINK("https%3A%2F%2Fwww.webofscience.com%2Fwos%2Fwoscc%2Ffull-record%2FWOS:001282290000014","View Full Record in Web of Science")</f>
        <v>View Full Record in Web of Science</v>
      </c>
    </row>
    <row r="712" ht="12.75" customHeight="1">
      <c r="A712" s="1" t="s">
        <v>72</v>
      </c>
      <c r="B712" s="1" t="s">
        <v>6398</v>
      </c>
      <c r="C712" s="1" t="s">
        <v>74</v>
      </c>
      <c r="D712" s="1" t="s">
        <v>74</v>
      </c>
      <c r="E712" s="1" t="s">
        <v>74</v>
      </c>
      <c r="F712" s="1" t="s">
        <v>6399</v>
      </c>
      <c r="G712" s="1" t="s">
        <v>74</v>
      </c>
      <c r="H712" s="1" t="s">
        <v>74</v>
      </c>
      <c r="I712" s="1" t="s">
        <v>6400</v>
      </c>
      <c r="J712" s="1" t="s">
        <v>854</v>
      </c>
      <c r="K712" s="1" t="s">
        <v>74</v>
      </c>
      <c r="L712" s="1" t="s">
        <v>74</v>
      </c>
      <c r="M712" s="1" t="s">
        <v>74</v>
      </c>
      <c r="N712" s="1" t="s">
        <v>78</v>
      </c>
      <c r="O712" s="1" t="s">
        <v>74</v>
      </c>
      <c r="P712" s="1" t="s">
        <v>74</v>
      </c>
      <c r="Q712" s="1" t="s">
        <v>74</v>
      </c>
      <c r="R712" s="1" t="s">
        <v>74</v>
      </c>
      <c r="S712" s="1" t="s">
        <v>74</v>
      </c>
      <c r="T712" s="1" t="s">
        <v>6401</v>
      </c>
      <c r="U712" s="1" t="s">
        <v>74</v>
      </c>
      <c r="V712" s="1" t="s">
        <v>6402</v>
      </c>
      <c r="W712" s="1" t="s">
        <v>74</v>
      </c>
      <c r="X712" s="1" t="s">
        <v>74</v>
      </c>
      <c r="Y712" s="1" t="s">
        <v>74</v>
      </c>
      <c r="Z712" s="1" t="s">
        <v>74</v>
      </c>
      <c r="AA712" s="1" t="s">
        <v>74</v>
      </c>
      <c r="AB712" s="1" t="s">
        <v>74</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857</v>
      </c>
      <c r="AP712" s="1" t="s">
        <v>858</v>
      </c>
      <c r="AQ712" s="1" t="s">
        <v>74</v>
      </c>
      <c r="AR712" s="1" t="s">
        <v>74</v>
      </c>
      <c r="AS712" s="1" t="s">
        <v>74</v>
      </c>
      <c r="AT712" s="1" t="s">
        <v>74</v>
      </c>
      <c r="AU712" s="1">
        <v>2025.0</v>
      </c>
      <c r="AV712" s="1">
        <v>27.0</v>
      </c>
      <c r="AW712" s="1" t="s">
        <v>74</v>
      </c>
      <c r="AX712" s="1" t="s">
        <v>74</v>
      </c>
      <c r="AY712" s="1" t="s">
        <v>74</v>
      </c>
      <c r="AZ712" s="1" t="s">
        <v>74</v>
      </c>
      <c r="BA712" s="1" t="s">
        <v>74</v>
      </c>
      <c r="BB712" s="1">
        <v>3117.0</v>
      </c>
      <c r="BC712" s="1">
        <v>3131.0</v>
      </c>
      <c r="BD712" s="1" t="s">
        <v>74</v>
      </c>
      <c r="BE712" s="1" t="s">
        <v>6403</v>
      </c>
      <c r="BF712" s="2" t="str">
        <f>HYPERLINK("http://dx.doi.org/10.1109/TMM.2025.3557677","http://dx.doi.org/10.1109/TMM.2025.3557677")</f>
        <v>http://dx.doi.org/10.1109/TMM.2025.3557677</v>
      </c>
      <c r="BG712" s="1" t="s">
        <v>74</v>
      </c>
      <c r="BH712" s="1" t="s">
        <v>74</v>
      </c>
      <c r="BI712" s="1" t="s">
        <v>74</v>
      </c>
      <c r="BJ712" s="1" t="s">
        <v>74</v>
      </c>
      <c r="BK712" s="1" t="s">
        <v>74</v>
      </c>
      <c r="BL712" s="1" t="s">
        <v>394</v>
      </c>
      <c r="BM712" s="1" t="s">
        <v>74</v>
      </c>
      <c r="BN712" s="1" t="s">
        <v>74</v>
      </c>
      <c r="BO712" s="1" t="s">
        <v>74</v>
      </c>
      <c r="BP712" s="1" t="s">
        <v>74</v>
      </c>
      <c r="BQ712" s="1" t="s">
        <v>74</v>
      </c>
      <c r="BR712" s="1" t="s">
        <v>74</v>
      </c>
      <c r="BS712" s="1" t="s">
        <v>6404</v>
      </c>
      <c r="BT712" s="1" t="str">
        <f>HYPERLINK("https%3A%2F%2Fwww.webofscience.com%2Fwos%2Fwoscc%2Ffull-record%2FWOS:001498274900025","View Full Record in Web of Science")</f>
        <v>View Full Record in Web of Science</v>
      </c>
    </row>
    <row r="713" ht="12.75" customHeight="1">
      <c r="A713" s="1" t="s">
        <v>72</v>
      </c>
      <c r="B713" s="1" t="s">
        <v>6405</v>
      </c>
      <c r="C713" s="1" t="s">
        <v>74</v>
      </c>
      <c r="D713" s="1" t="s">
        <v>74</v>
      </c>
      <c r="E713" s="1" t="s">
        <v>74</v>
      </c>
      <c r="F713" s="1" t="s">
        <v>6406</v>
      </c>
      <c r="G713" s="1" t="s">
        <v>74</v>
      </c>
      <c r="H713" s="1" t="s">
        <v>74</v>
      </c>
      <c r="I713" s="1" t="s">
        <v>6407</v>
      </c>
      <c r="J713" s="1" t="s">
        <v>840</v>
      </c>
      <c r="K713" s="1" t="s">
        <v>74</v>
      </c>
      <c r="L713" s="1" t="s">
        <v>74</v>
      </c>
      <c r="M713" s="1" t="s">
        <v>74</v>
      </c>
      <c r="N713" s="1" t="s">
        <v>78</v>
      </c>
      <c r="O713" s="1" t="s">
        <v>74</v>
      </c>
      <c r="P713" s="1" t="s">
        <v>74</v>
      </c>
      <c r="Q713" s="1" t="s">
        <v>74</v>
      </c>
      <c r="R713" s="1" t="s">
        <v>74</v>
      </c>
      <c r="S713" s="1" t="s">
        <v>74</v>
      </c>
      <c r="T713" s="1" t="s">
        <v>6408</v>
      </c>
      <c r="U713" s="1" t="s">
        <v>74</v>
      </c>
      <c r="V713" s="1" t="s">
        <v>6409</v>
      </c>
      <c r="W713" s="1" t="s">
        <v>74</v>
      </c>
      <c r="X713" s="1" t="s">
        <v>74</v>
      </c>
      <c r="Y713" s="1" t="s">
        <v>74</v>
      </c>
      <c r="Z713" s="1" t="s">
        <v>74</v>
      </c>
      <c r="AA713" s="1" t="s">
        <v>74</v>
      </c>
      <c r="AB713" s="1" t="s">
        <v>74</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74</v>
      </c>
      <c r="AP713" s="1" t="s">
        <v>4723</v>
      </c>
      <c r="AQ713" s="1" t="s">
        <v>74</v>
      </c>
      <c r="AR713" s="1" t="s">
        <v>74</v>
      </c>
      <c r="AS713" s="1" t="s">
        <v>74</v>
      </c>
      <c r="AT713" s="1" t="s">
        <v>2317</v>
      </c>
      <c r="AU713" s="1">
        <v>2025.0</v>
      </c>
      <c r="AV713" s="1">
        <v>13.0</v>
      </c>
      <c r="AW713" s="1">
        <v>8.0</v>
      </c>
      <c r="AX713" s="1" t="s">
        <v>74</v>
      </c>
      <c r="AY713" s="1" t="s">
        <v>74</v>
      </c>
      <c r="AZ713" s="1" t="s">
        <v>74</v>
      </c>
      <c r="BA713" s="1" t="s">
        <v>74</v>
      </c>
      <c r="BB713" s="1" t="s">
        <v>74</v>
      </c>
      <c r="BC713" s="1" t="s">
        <v>74</v>
      </c>
      <c r="BD713" s="1">
        <v>682.0</v>
      </c>
      <c r="BE713" s="1" t="s">
        <v>6410</v>
      </c>
      <c r="BF713" s="2" t="str">
        <f>HYPERLINK("http://dx.doi.org/10.3390/systems13080682","http://dx.doi.org/10.3390/systems13080682")</f>
        <v>http://dx.doi.org/10.3390/systems13080682</v>
      </c>
      <c r="BG713" s="1" t="s">
        <v>74</v>
      </c>
      <c r="BH713" s="1" t="s">
        <v>74</v>
      </c>
      <c r="BI713" s="1" t="s">
        <v>74</v>
      </c>
      <c r="BJ713" s="1" t="s">
        <v>74</v>
      </c>
      <c r="BK713" s="1" t="s">
        <v>74</v>
      </c>
      <c r="BL713" s="1" t="s">
        <v>615</v>
      </c>
      <c r="BM713" s="1" t="s">
        <v>74</v>
      </c>
      <c r="BN713" s="1" t="s">
        <v>74</v>
      </c>
      <c r="BO713" s="1" t="s">
        <v>163</v>
      </c>
      <c r="BP713" s="1" t="s">
        <v>74</v>
      </c>
      <c r="BQ713" s="1" t="s">
        <v>74</v>
      </c>
      <c r="BR713" s="1" t="s">
        <v>74</v>
      </c>
      <c r="BS713" s="1" t="s">
        <v>6411</v>
      </c>
      <c r="BT713" s="1" t="str">
        <f>HYPERLINK("https%3A%2F%2Fwww.webofscience.com%2Fwos%2Fwoscc%2Ffull-record%2FWOS:001558247400001","View Full Record in Web of Science")</f>
        <v>View Full Record in Web of Science</v>
      </c>
    </row>
    <row r="714" ht="12.75" customHeight="1">
      <c r="A714" s="1" t="s">
        <v>72</v>
      </c>
      <c r="B714" s="1" t="s">
        <v>6412</v>
      </c>
      <c r="C714" s="1" t="s">
        <v>74</v>
      </c>
      <c r="D714" s="1" t="s">
        <v>74</v>
      </c>
      <c r="E714" s="1" t="s">
        <v>74</v>
      </c>
      <c r="F714" s="1" t="s">
        <v>6413</v>
      </c>
      <c r="G714" s="1" t="s">
        <v>74</v>
      </c>
      <c r="H714" s="1" t="s">
        <v>74</v>
      </c>
      <c r="I714" s="1" t="s">
        <v>6414</v>
      </c>
      <c r="J714" s="1" t="s">
        <v>103</v>
      </c>
      <c r="K714" s="1" t="s">
        <v>74</v>
      </c>
      <c r="L714" s="1" t="s">
        <v>74</v>
      </c>
      <c r="M714" s="1" t="s">
        <v>74</v>
      </c>
      <c r="N714" s="1" t="s">
        <v>78</v>
      </c>
      <c r="O714" s="1" t="s">
        <v>74</v>
      </c>
      <c r="P714" s="1" t="s">
        <v>74</v>
      </c>
      <c r="Q714" s="1" t="s">
        <v>74</v>
      </c>
      <c r="R714" s="1" t="s">
        <v>74</v>
      </c>
      <c r="S714" s="1" t="s">
        <v>74</v>
      </c>
      <c r="T714" s="1" t="s">
        <v>6415</v>
      </c>
      <c r="U714" s="1" t="s">
        <v>74</v>
      </c>
      <c r="V714" s="1" t="s">
        <v>6416</v>
      </c>
      <c r="W714" s="1" t="s">
        <v>74</v>
      </c>
      <c r="X714" s="1" t="s">
        <v>74</v>
      </c>
      <c r="Y714" s="1" t="s">
        <v>74</v>
      </c>
      <c r="Z714" s="1" t="s">
        <v>74</v>
      </c>
      <c r="AA714" s="1" t="s">
        <v>74</v>
      </c>
      <c r="AB714" s="1" t="s">
        <v>74</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107</v>
      </c>
      <c r="AP714" s="1" t="s">
        <v>108</v>
      </c>
      <c r="AQ714" s="1" t="s">
        <v>74</v>
      </c>
      <c r="AR714" s="1" t="s">
        <v>74</v>
      </c>
      <c r="AS714" s="1" t="s">
        <v>74</v>
      </c>
      <c r="AT714" s="1" t="s">
        <v>5283</v>
      </c>
      <c r="AU714" s="1">
        <v>2026.0</v>
      </c>
      <c r="AV714" s="1">
        <v>164.0</v>
      </c>
      <c r="AW714" s="1" t="s">
        <v>74</v>
      </c>
      <c r="AX714" s="1" t="s">
        <v>110</v>
      </c>
      <c r="AY714" s="1" t="s">
        <v>74</v>
      </c>
      <c r="AZ714" s="1" t="s">
        <v>74</v>
      </c>
      <c r="BA714" s="1" t="s">
        <v>74</v>
      </c>
      <c r="BB714" s="1" t="s">
        <v>74</v>
      </c>
      <c r="BC714" s="1" t="s">
        <v>74</v>
      </c>
      <c r="BD714" s="1">
        <v>113126.0</v>
      </c>
      <c r="BE714" s="1" t="s">
        <v>6417</v>
      </c>
      <c r="BF714" s="2" t="str">
        <f>HYPERLINK("http://dx.doi.org/10.1016/j.engappai.2025.113126","http://dx.doi.org/10.1016/j.engappai.2025.113126")</f>
        <v>http://dx.doi.org/10.1016/j.engappai.2025.113126</v>
      </c>
      <c r="BG714" s="1" t="s">
        <v>74</v>
      </c>
      <c r="BH714" s="1" t="s">
        <v>255</v>
      </c>
      <c r="BI714" s="1" t="s">
        <v>74</v>
      </c>
      <c r="BJ714" s="1" t="s">
        <v>74</v>
      </c>
      <c r="BK714" s="1" t="s">
        <v>74</v>
      </c>
      <c r="BL714" s="1" t="s">
        <v>113</v>
      </c>
      <c r="BM714" s="1" t="s">
        <v>74</v>
      </c>
      <c r="BN714" s="1" t="s">
        <v>74</v>
      </c>
      <c r="BO714" s="1" t="s">
        <v>74</v>
      </c>
      <c r="BP714" s="1" t="s">
        <v>74</v>
      </c>
      <c r="BQ714" s="1" t="s">
        <v>74</v>
      </c>
      <c r="BR714" s="1" t="s">
        <v>74</v>
      </c>
      <c r="BS714" s="1" t="s">
        <v>6418</v>
      </c>
      <c r="BT714" s="1" t="str">
        <f>HYPERLINK("https%3A%2F%2Fwww.webofscience.com%2Fwos%2Fwoscc%2Ffull-record%2FWOS:001633624200011","View Full Record in Web of Science")</f>
        <v>View Full Record in Web of Science</v>
      </c>
    </row>
    <row r="715" ht="12.75" customHeight="1">
      <c r="A715" s="1" t="s">
        <v>72</v>
      </c>
      <c r="B715" s="1" t="s">
        <v>6419</v>
      </c>
      <c r="C715" s="1" t="s">
        <v>74</v>
      </c>
      <c r="D715" s="1" t="s">
        <v>74</v>
      </c>
      <c r="E715" s="1" t="s">
        <v>74</v>
      </c>
      <c r="F715" s="1" t="s">
        <v>6420</v>
      </c>
      <c r="G715" s="1" t="s">
        <v>74</v>
      </c>
      <c r="H715" s="1" t="s">
        <v>74</v>
      </c>
      <c r="I715" s="1" t="s">
        <v>6421</v>
      </c>
      <c r="J715" s="1" t="s">
        <v>4230</v>
      </c>
      <c r="K715" s="1" t="s">
        <v>74</v>
      </c>
      <c r="L715" s="1" t="s">
        <v>74</v>
      </c>
      <c r="M715" s="1" t="s">
        <v>74</v>
      </c>
      <c r="N715" s="1" t="s">
        <v>78</v>
      </c>
      <c r="O715" s="1" t="s">
        <v>74</v>
      </c>
      <c r="P715" s="1" t="s">
        <v>74</v>
      </c>
      <c r="Q715" s="1" t="s">
        <v>74</v>
      </c>
      <c r="R715" s="1" t="s">
        <v>74</v>
      </c>
      <c r="S715" s="1" t="s">
        <v>74</v>
      </c>
      <c r="T715" s="1" t="s">
        <v>6422</v>
      </c>
      <c r="U715" s="1" t="s">
        <v>74</v>
      </c>
      <c r="V715" s="1" t="s">
        <v>6423</v>
      </c>
      <c r="W715" s="1" t="s">
        <v>74</v>
      </c>
      <c r="X715" s="1" t="s">
        <v>74</v>
      </c>
      <c r="Y715" s="1" t="s">
        <v>74</v>
      </c>
      <c r="Z715" s="1" t="s">
        <v>74</v>
      </c>
      <c r="AA715" s="1" t="s">
        <v>74</v>
      </c>
      <c r="AB715" s="1" t="s">
        <v>74</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4234</v>
      </c>
      <c r="AP715" s="1" t="s">
        <v>4235</v>
      </c>
      <c r="AQ715" s="1" t="s">
        <v>74</v>
      </c>
      <c r="AR715" s="1" t="s">
        <v>74</v>
      </c>
      <c r="AS715" s="1" t="s">
        <v>74</v>
      </c>
      <c r="AT715" s="1" t="s">
        <v>464</v>
      </c>
      <c r="AU715" s="1">
        <v>2025.0</v>
      </c>
      <c r="AV715" s="1">
        <v>40.0</v>
      </c>
      <c r="AW715" s="1">
        <v>6.0</v>
      </c>
      <c r="AX715" s="1" t="s">
        <v>74</v>
      </c>
      <c r="AY715" s="1" t="s">
        <v>74</v>
      </c>
      <c r="AZ715" s="1" t="s">
        <v>74</v>
      </c>
      <c r="BA715" s="1" t="s">
        <v>74</v>
      </c>
      <c r="BB715" s="1">
        <v>5063.0</v>
      </c>
      <c r="BC715" s="1">
        <v>5076.0</v>
      </c>
      <c r="BD715" s="1" t="s">
        <v>74</v>
      </c>
      <c r="BE715" s="1" t="s">
        <v>6424</v>
      </c>
      <c r="BF715" s="2" t="str">
        <f>HYPERLINK("http://dx.doi.org/10.1007/s00146-024-01944-w","http://dx.doi.org/10.1007/s00146-024-01944-w")</f>
        <v>http://dx.doi.org/10.1007/s00146-024-01944-w</v>
      </c>
      <c r="BG715" s="1" t="s">
        <v>74</v>
      </c>
      <c r="BH715" s="1" t="s">
        <v>126</v>
      </c>
      <c r="BI715" s="1" t="s">
        <v>74</v>
      </c>
      <c r="BJ715" s="1" t="s">
        <v>74</v>
      </c>
      <c r="BK715" s="1" t="s">
        <v>74</v>
      </c>
      <c r="BL715" s="1" t="s">
        <v>174</v>
      </c>
      <c r="BM715" s="1" t="s">
        <v>74</v>
      </c>
      <c r="BN715" s="1" t="s">
        <v>74</v>
      </c>
      <c r="BO715" s="1" t="s">
        <v>114</v>
      </c>
      <c r="BP715" s="1" t="s">
        <v>74</v>
      </c>
      <c r="BQ715" s="1" t="s">
        <v>74</v>
      </c>
      <c r="BR715" s="1" t="s">
        <v>74</v>
      </c>
      <c r="BS715" s="1" t="s">
        <v>6425</v>
      </c>
      <c r="BT715" s="1" t="str">
        <f>HYPERLINK("https%3A%2F%2Fwww.webofscience.com%2Fwos%2Fwoscc%2Ffull-record%2FWOS:001206455500002","View Full Record in Web of Science")</f>
        <v>View Full Record in Web of Science</v>
      </c>
    </row>
    <row r="716" ht="12.75" customHeight="1">
      <c r="A716" s="1" t="s">
        <v>72</v>
      </c>
      <c r="B716" s="1" t="s">
        <v>6426</v>
      </c>
      <c r="C716" s="1" t="s">
        <v>74</v>
      </c>
      <c r="D716" s="1" t="s">
        <v>74</v>
      </c>
      <c r="E716" s="1" t="s">
        <v>74</v>
      </c>
      <c r="F716" s="1" t="s">
        <v>6427</v>
      </c>
      <c r="G716" s="1" t="s">
        <v>74</v>
      </c>
      <c r="H716" s="1" t="s">
        <v>74</v>
      </c>
      <c r="I716" s="1" t="s">
        <v>6428</v>
      </c>
      <c r="J716" s="1" t="s">
        <v>239</v>
      </c>
      <c r="K716" s="1" t="s">
        <v>74</v>
      </c>
      <c r="L716" s="1" t="s">
        <v>74</v>
      </c>
      <c r="M716" s="1" t="s">
        <v>74</v>
      </c>
      <c r="N716" s="1" t="s">
        <v>78</v>
      </c>
      <c r="O716" s="1" t="s">
        <v>74</v>
      </c>
      <c r="P716" s="1" t="s">
        <v>74</v>
      </c>
      <c r="Q716" s="1" t="s">
        <v>74</v>
      </c>
      <c r="R716" s="1" t="s">
        <v>74</v>
      </c>
      <c r="S716" s="1" t="s">
        <v>74</v>
      </c>
      <c r="T716" s="1" t="s">
        <v>6429</v>
      </c>
      <c r="U716" s="1" t="s">
        <v>6430</v>
      </c>
      <c r="V716" s="1" t="s">
        <v>6431</v>
      </c>
      <c r="W716" s="1" t="s">
        <v>74</v>
      </c>
      <c r="X716" s="1" t="s">
        <v>74</v>
      </c>
      <c r="Y716" s="1" t="s">
        <v>74</v>
      </c>
      <c r="Z716" s="1" t="s">
        <v>74</v>
      </c>
      <c r="AA716" s="1" t="s">
        <v>74</v>
      </c>
      <c r="AB716" s="1" t="s">
        <v>74</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74</v>
      </c>
      <c r="AP716" s="1" t="s">
        <v>242</v>
      </c>
      <c r="AQ716" s="1" t="s">
        <v>74</v>
      </c>
      <c r="AR716" s="1" t="s">
        <v>74</v>
      </c>
      <c r="AS716" s="1" t="s">
        <v>74</v>
      </c>
      <c r="AT716" s="1" t="s">
        <v>172</v>
      </c>
      <c r="AU716" s="1">
        <v>2024.0</v>
      </c>
      <c r="AV716" s="1">
        <v>13.0</v>
      </c>
      <c r="AW716" s="1">
        <v>22.0</v>
      </c>
      <c r="AX716" s="1" t="s">
        <v>74</v>
      </c>
      <c r="AY716" s="1" t="s">
        <v>74</v>
      </c>
      <c r="AZ716" s="1" t="s">
        <v>74</v>
      </c>
      <c r="BA716" s="1" t="s">
        <v>74</v>
      </c>
      <c r="BB716" s="1" t="s">
        <v>74</v>
      </c>
      <c r="BC716" s="1" t="s">
        <v>74</v>
      </c>
      <c r="BD716" s="1">
        <v>4375.0</v>
      </c>
      <c r="BE716" s="1" t="s">
        <v>6432</v>
      </c>
      <c r="BF716" s="2" t="str">
        <f>HYPERLINK("http://dx.doi.org/10.3390/electronics13224375","http://dx.doi.org/10.3390/electronics13224375")</f>
        <v>http://dx.doi.org/10.3390/electronics13224375</v>
      </c>
      <c r="BG716" s="1" t="s">
        <v>74</v>
      </c>
      <c r="BH716" s="1" t="s">
        <v>74</v>
      </c>
      <c r="BI716" s="1" t="s">
        <v>74</v>
      </c>
      <c r="BJ716" s="1" t="s">
        <v>74</v>
      </c>
      <c r="BK716" s="1" t="s">
        <v>74</v>
      </c>
      <c r="BL716" s="1" t="s">
        <v>244</v>
      </c>
      <c r="BM716" s="1" t="s">
        <v>74</v>
      </c>
      <c r="BN716" s="1" t="s">
        <v>74</v>
      </c>
      <c r="BO716" s="1" t="s">
        <v>163</v>
      </c>
      <c r="BP716" s="1" t="s">
        <v>74</v>
      </c>
      <c r="BQ716" s="1" t="s">
        <v>74</v>
      </c>
      <c r="BR716" s="1" t="s">
        <v>74</v>
      </c>
      <c r="BS716" s="1" t="s">
        <v>6433</v>
      </c>
      <c r="BT716" s="1" t="str">
        <f>HYPERLINK("https%3A%2F%2Fwww.webofscience.com%2Fwos%2Fwoscc%2Ffull-record%2FWOS:001364329000001","View Full Record in Web of Science")</f>
        <v>View Full Record in Web of Science</v>
      </c>
    </row>
    <row r="717" ht="12.75" customHeight="1">
      <c r="A717" s="1" t="s">
        <v>72</v>
      </c>
      <c r="B717" s="1" t="s">
        <v>6434</v>
      </c>
      <c r="C717" s="1" t="s">
        <v>74</v>
      </c>
      <c r="D717" s="1" t="s">
        <v>74</v>
      </c>
      <c r="E717" s="1" t="s">
        <v>74</v>
      </c>
      <c r="F717" s="1" t="s">
        <v>6435</v>
      </c>
      <c r="G717" s="1" t="s">
        <v>74</v>
      </c>
      <c r="H717" s="1" t="s">
        <v>74</v>
      </c>
      <c r="I717" s="1" t="s">
        <v>6436</v>
      </c>
      <c r="J717" s="1" t="s">
        <v>6437</v>
      </c>
      <c r="K717" s="1" t="s">
        <v>74</v>
      </c>
      <c r="L717" s="1" t="s">
        <v>74</v>
      </c>
      <c r="M717" s="1" t="s">
        <v>74</v>
      </c>
      <c r="N717" s="1" t="s">
        <v>953</v>
      </c>
      <c r="O717" s="1" t="s">
        <v>74</v>
      </c>
      <c r="P717" s="1" t="s">
        <v>74</v>
      </c>
      <c r="Q717" s="1" t="s">
        <v>74</v>
      </c>
      <c r="R717" s="1" t="s">
        <v>74</v>
      </c>
      <c r="S717" s="1" t="s">
        <v>74</v>
      </c>
      <c r="T717" s="1" t="s">
        <v>6438</v>
      </c>
      <c r="U717" s="1" t="s">
        <v>2481</v>
      </c>
      <c r="V717" s="1" t="s">
        <v>6439</v>
      </c>
      <c r="W717" s="1" t="s">
        <v>74</v>
      </c>
      <c r="X717" s="1" t="s">
        <v>74</v>
      </c>
      <c r="Y717" s="1" t="s">
        <v>74</v>
      </c>
      <c r="Z717" s="1" t="s">
        <v>74</v>
      </c>
      <c r="AA717" s="1" t="s">
        <v>74</v>
      </c>
      <c r="AB717" s="1" t="s">
        <v>74</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6440</v>
      </c>
      <c r="AP717" s="1" t="s">
        <v>6441</v>
      </c>
      <c r="AQ717" s="1" t="s">
        <v>74</v>
      </c>
      <c r="AR717" s="1" t="s">
        <v>74</v>
      </c>
      <c r="AS717" s="1" t="s">
        <v>74</v>
      </c>
      <c r="AT717" s="1" t="s">
        <v>6442</v>
      </c>
      <c r="AU717" s="1">
        <v>2025.0</v>
      </c>
      <c r="AV717" s="1" t="s">
        <v>74</v>
      </c>
      <c r="AW717" s="1" t="s">
        <v>74</v>
      </c>
      <c r="AX717" s="1" t="s">
        <v>74</v>
      </c>
      <c r="AY717" s="1" t="s">
        <v>74</v>
      </c>
      <c r="AZ717" s="1" t="s">
        <v>74</v>
      </c>
      <c r="BA717" s="1" t="s">
        <v>74</v>
      </c>
      <c r="BB717" s="1" t="s">
        <v>74</v>
      </c>
      <c r="BC717" s="1" t="s">
        <v>74</v>
      </c>
      <c r="BD717" s="1" t="s">
        <v>74</v>
      </c>
      <c r="BE717" s="1" t="s">
        <v>6443</v>
      </c>
      <c r="BF717" s="2" t="str">
        <f>HYPERLINK("http://dx.doi.org/10.1007/s11517-025-03446-3","http://dx.doi.org/10.1007/s11517-025-03446-3")</f>
        <v>http://dx.doi.org/10.1007/s11517-025-03446-3</v>
      </c>
      <c r="BG717" s="1" t="s">
        <v>74</v>
      </c>
      <c r="BH717" s="1" t="s">
        <v>738</v>
      </c>
      <c r="BI717" s="1" t="s">
        <v>74</v>
      </c>
      <c r="BJ717" s="1" t="s">
        <v>74</v>
      </c>
      <c r="BK717" s="1" t="s">
        <v>74</v>
      </c>
      <c r="BL717" s="1" t="s">
        <v>6444</v>
      </c>
      <c r="BM717" s="1" t="s">
        <v>74</v>
      </c>
      <c r="BN717" s="1" t="s">
        <v>74</v>
      </c>
      <c r="BO717" s="1" t="s">
        <v>74</v>
      </c>
      <c r="BP717" s="1" t="s">
        <v>74</v>
      </c>
      <c r="BQ717" s="1" t="s">
        <v>74</v>
      </c>
      <c r="BR717" s="1" t="s">
        <v>74</v>
      </c>
      <c r="BS717" s="1" t="s">
        <v>6445</v>
      </c>
      <c r="BT717" s="1" t="str">
        <f>HYPERLINK("https%3A%2F%2Fwww.webofscience.com%2Fwos%2Fwoscc%2Ffull-record%2FWOS:001577691700001","View Full Record in Web of Science")</f>
        <v>View Full Record in Web of Science</v>
      </c>
    </row>
    <row r="718" ht="12.75" customHeight="1">
      <c r="A718" s="1" t="s">
        <v>72</v>
      </c>
      <c r="B718" s="1" t="s">
        <v>6446</v>
      </c>
      <c r="C718" s="1" t="s">
        <v>74</v>
      </c>
      <c r="D718" s="1" t="s">
        <v>74</v>
      </c>
      <c r="E718" s="1" t="s">
        <v>74</v>
      </c>
      <c r="F718" s="1" t="s">
        <v>6447</v>
      </c>
      <c r="G718" s="1" t="s">
        <v>74</v>
      </c>
      <c r="H718" s="1" t="s">
        <v>74</v>
      </c>
      <c r="I718" s="1" t="s">
        <v>6448</v>
      </c>
      <c r="J718" s="1" t="s">
        <v>6449</v>
      </c>
      <c r="K718" s="1" t="s">
        <v>74</v>
      </c>
      <c r="L718" s="1" t="s">
        <v>74</v>
      </c>
      <c r="M718" s="1" t="s">
        <v>74</v>
      </c>
      <c r="N718" s="1" t="s">
        <v>78</v>
      </c>
      <c r="O718" s="1" t="s">
        <v>74</v>
      </c>
      <c r="P718" s="1" t="s">
        <v>74</v>
      </c>
      <c r="Q718" s="1" t="s">
        <v>74</v>
      </c>
      <c r="R718" s="1" t="s">
        <v>74</v>
      </c>
      <c r="S718" s="1" t="s">
        <v>74</v>
      </c>
      <c r="T718" s="1" t="s">
        <v>6450</v>
      </c>
      <c r="U718" s="1" t="s">
        <v>74</v>
      </c>
      <c r="V718" s="1" t="s">
        <v>6451</v>
      </c>
      <c r="W718" s="1" t="s">
        <v>74</v>
      </c>
      <c r="X718" s="1" t="s">
        <v>74</v>
      </c>
      <c r="Y718" s="1" t="s">
        <v>74</v>
      </c>
      <c r="Z718" s="1" t="s">
        <v>74</v>
      </c>
      <c r="AA718" s="1" t="s">
        <v>74</v>
      </c>
      <c r="AB718" s="1" t="s">
        <v>74</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6452</v>
      </c>
      <c r="AP718" s="1" t="s">
        <v>6453</v>
      </c>
      <c r="AQ718" s="1" t="s">
        <v>74</v>
      </c>
      <c r="AR718" s="1" t="s">
        <v>74</v>
      </c>
      <c r="AS718" s="1" t="s">
        <v>74</v>
      </c>
      <c r="AT718" s="1" t="s">
        <v>6454</v>
      </c>
      <c r="AU718" s="1">
        <v>2024.0</v>
      </c>
      <c r="AV718" s="1">
        <v>15.0</v>
      </c>
      <c r="AW718" s="1">
        <v>1.0</v>
      </c>
      <c r="AX718" s="1" t="s">
        <v>74</v>
      </c>
      <c r="AY718" s="1" t="s">
        <v>74</v>
      </c>
      <c r="AZ718" s="1" t="s">
        <v>74</v>
      </c>
      <c r="BA718" s="1" t="s">
        <v>74</v>
      </c>
      <c r="BB718" s="1" t="s">
        <v>74</v>
      </c>
      <c r="BC718" s="1" t="s">
        <v>74</v>
      </c>
      <c r="BD718" s="1">
        <v>2.0</v>
      </c>
      <c r="BE718" s="1" t="s">
        <v>6455</v>
      </c>
      <c r="BF718" s="2" t="str">
        <f>HYPERLINK("http://dx.doi.org/10.1007/s13389-024-00365-1","http://dx.doi.org/10.1007/s13389-024-00365-1")</f>
        <v>http://dx.doi.org/10.1007/s13389-024-00365-1</v>
      </c>
      <c r="BG718" s="1" t="s">
        <v>74</v>
      </c>
      <c r="BH718" s="1" t="s">
        <v>74</v>
      </c>
      <c r="BI718" s="1" t="s">
        <v>74</v>
      </c>
      <c r="BJ718" s="1" t="s">
        <v>74</v>
      </c>
      <c r="BK718" s="1" t="s">
        <v>74</v>
      </c>
      <c r="BL718" s="1" t="s">
        <v>174</v>
      </c>
      <c r="BM718" s="1" t="s">
        <v>74</v>
      </c>
      <c r="BN718" s="1" t="s">
        <v>74</v>
      </c>
      <c r="BO718" s="1" t="s">
        <v>74</v>
      </c>
      <c r="BP718" s="1" t="s">
        <v>74</v>
      </c>
      <c r="BQ718" s="1" t="s">
        <v>74</v>
      </c>
      <c r="BR718" s="1" t="s">
        <v>74</v>
      </c>
      <c r="BS718" s="1" t="s">
        <v>6456</v>
      </c>
      <c r="BT718" s="1" t="str">
        <f>HYPERLINK("https%3A%2F%2Fwww.webofscience.com%2Fwos%2Fwoscc%2Ffull-record%2FWOS:001358922700001","View Full Record in Web of Science")</f>
        <v>View Full Record in Web of Science</v>
      </c>
    </row>
    <row r="719" ht="12.75" customHeight="1">
      <c r="A719" s="1" t="s">
        <v>72</v>
      </c>
      <c r="B719" s="1" t="s">
        <v>6457</v>
      </c>
      <c r="C719" s="1" t="s">
        <v>74</v>
      </c>
      <c r="D719" s="1" t="s">
        <v>74</v>
      </c>
      <c r="E719" s="1" t="s">
        <v>74</v>
      </c>
      <c r="F719" s="1" t="s">
        <v>6458</v>
      </c>
      <c r="G719" s="1" t="s">
        <v>74</v>
      </c>
      <c r="H719" s="1" t="s">
        <v>74</v>
      </c>
      <c r="I719" s="1" t="s">
        <v>6459</v>
      </c>
      <c r="J719" s="1" t="s">
        <v>147</v>
      </c>
      <c r="K719" s="1" t="s">
        <v>74</v>
      </c>
      <c r="L719" s="1" t="s">
        <v>74</v>
      </c>
      <c r="M719" s="1" t="s">
        <v>74</v>
      </c>
      <c r="N719" s="1" t="s">
        <v>78</v>
      </c>
      <c r="O719" s="1" t="s">
        <v>74</v>
      </c>
      <c r="P719" s="1" t="s">
        <v>74</v>
      </c>
      <c r="Q719" s="1" t="s">
        <v>74</v>
      </c>
      <c r="R719" s="1" t="s">
        <v>74</v>
      </c>
      <c r="S719" s="1" t="s">
        <v>74</v>
      </c>
      <c r="T719" s="1" t="s">
        <v>6460</v>
      </c>
      <c r="U719" s="1" t="s">
        <v>6461</v>
      </c>
      <c r="V719" s="1" t="s">
        <v>6462</v>
      </c>
      <c r="W719" s="1" t="s">
        <v>74</v>
      </c>
      <c r="X719" s="1" t="s">
        <v>74</v>
      </c>
      <c r="Y719" s="1" t="s">
        <v>74</v>
      </c>
      <c r="Z719" s="1" t="s">
        <v>74</v>
      </c>
      <c r="AA719" s="1" t="s">
        <v>74</v>
      </c>
      <c r="AB719" s="1" t="s">
        <v>74</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150</v>
      </c>
      <c r="AP719" s="1" t="s">
        <v>74</v>
      </c>
      <c r="AQ719" s="1" t="s">
        <v>74</v>
      </c>
      <c r="AR719" s="1" t="s">
        <v>74</v>
      </c>
      <c r="AS719" s="1" t="s">
        <v>74</v>
      </c>
      <c r="AT719" s="1" t="s">
        <v>74</v>
      </c>
      <c r="AU719" s="1">
        <v>2024.0</v>
      </c>
      <c r="AV719" s="1">
        <v>12.0</v>
      </c>
      <c r="AW719" s="1" t="s">
        <v>74</v>
      </c>
      <c r="AX719" s="1" t="s">
        <v>74</v>
      </c>
      <c r="AY719" s="1" t="s">
        <v>74</v>
      </c>
      <c r="AZ719" s="1" t="s">
        <v>74</v>
      </c>
      <c r="BA719" s="1" t="s">
        <v>74</v>
      </c>
      <c r="BB719" s="1">
        <v>173091.0</v>
      </c>
      <c r="BC719" s="1">
        <v>173107.0</v>
      </c>
      <c r="BD719" s="1" t="s">
        <v>74</v>
      </c>
      <c r="BE719" s="1" t="s">
        <v>6463</v>
      </c>
      <c r="BF719" s="2" t="str">
        <f>HYPERLINK("http://dx.doi.org/10.1109/ACCESS.2024.3491775","http://dx.doi.org/10.1109/ACCESS.2024.3491775")</f>
        <v>http://dx.doi.org/10.1109/ACCESS.2024.3491775</v>
      </c>
      <c r="BG719" s="1" t="s">
        <v>74</v>
      </c>
      <c r="BH719" s="1" t="s">
        <v>74</v>
      </c>
      <c r="BI719" s="1" t="s">
        <v>74</v>
      </c>
      <c r="BJ719" s="1" t="s">
        <v>74</v>
      </c>
      <c r="BK719" s="1" t="s">
        <v>74</v>
      </c>
      <c r="BL719" s="1" t="s">
        <v>152</v>
      </c>
      <c r="BM719" s="1" t="s">
        <v>74</v>
      </c>
      <c r="BN719" s="1" t="s">
        <v>74</v>
      </c>
      <c r="BO719" s="1" t="s">
        <v>153</v>
      </c>
      <c r="BP719" s="1" t="s">
        <v>74</v>
      </c>
      <c r="BQ719" s="1" t="s">
        <v>74</v>
      </c>
      <c r="BR719" s="1" t="s">
        <v>74</v>
      </c>
      <c r="BS719" s="1" t="s">
        <v>6464</v>
      </c>
      <c r="BT719" s="1" t="str">
        <f>HYPERLINK("https%3A%2F%2Fwww.webofscience.com%2Fwos%2Fwoscc%2Ffull-record%2FWOS:001362127900020","View Full Record in Web of Science")</f>
        <v>View Full Record in Web of Science</v>
      </c>
    </row>
    <row r="720" ht="12.75" customHeight="1">
      <c r="A720" s="1" t="s">
        <v>72</v>
      </c>
      <c r="B720" s="1" t="s">
        <v>6465</v>
      </c>
      <c r="C720" s="1" t="s">
        <v>74</v>
      </c>
      <c r="D720" s="1" t="s">
        <v>74</v>
      </c>
      <c r="E720" s="1" t="s">
        <v>74</v>
      </c>
      <c r="F720" s="1" t="s">
        <v>6466</v>
      </c>
      <c r="G720" s="1" t="s">
        <v>74</v>
      </c>
      <c r="H720" s="1" t="s">
        <v>74</v>
      </c>
      <c r="I720" s="1" t="s">
        <v>6467</v>
      </c>
      <c r="J720" s="1" t="s">
        <v>6468</v>
      </c>
      <c r="K720" s="1" t="s">
        <v>74</v>
      </c>
      <c r="L720" s="1" t="s">
        <v>74</v>
      </c>
      <c r="M720" s="1" t="s">
        <v>74</v>
      </c>
      <c r="N720" s="1" t="s">
        <v>78</v>
      </c>
      <c r="O720" s="1" t="s">
        <v>74</v>
      </c>
      <c r="P720" s="1" t="s">
        <v>74</v>
      </c>
      <c r="Q720" s="1" t="s">
        <v>74</v>
      </c>
      <c r="R720" s="1" t="s">
        <v>74</v>
      </c>
      <c r="S720" s="1" t="s">
        <v>74</v>
      </c>
      <c r="T720" s="1" t="s">
        <v>6469</v>
      </c>
      <c r="U720" s="1" t="s">
        <v>6470</v>
      </c>
      <c r="V720" s="1" t="s">
        <v>6471</v>
      </c>
      <c r="W720" s="1" t="s">
        <v>74</v>
      </c>
      <c r="X720" s="1" t="s">
        <v>74</v>
      </c>
      <c r="Y720" s="1" t="s">
        <v>74</v>
      </c>
      <c r="Z720" s="1" t="s">
        <v>74</v>
      </c>
      <c r="AA720" s="1" t="s">
        <v>74</v>
      </c>
      <c r="AB720" s="1" t="s">
        <v>74</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6472</v>
      </c>
      <c r="AP720" s="1" t="s">
        <v>6473</v>
      </c>
      <c r="AQ720" s="1" t="s">
        <v>74</v>
      </c>
      <c r="AR720" s="1" t="s">
        <v>74</v>
      </c>
      <c r="AS720" s="1" t="s">
        <v>74</v>
      </c>
      <c r="AT720" s="1" t="s">
        <v>6474</v>
      </c>
      <c r="AU720" s="1">
        <v>2024.0</v>
      </c>
      <c r="AV720" s="1">
        <v>31.0</v>
      </c>
      <c r="AW720" s="1">
        <v>1.0</v>
      </c>
      <c r="AX720" s="1" t="s">
        <v>74</v>
      </c>
      <c r="AY720" s="1" t="s">
        <v>74</v>
      </c>
      <c r="AZ720" s="1" t="s">
        <v>74</v>
      </c>
      <c r="BA720" s="1" t="s">
        <v>74</v>
      </c>
      <c r="BB720" s="1" t="s">
        <v>74</v>
      </c>
      <c r="BC720" s="1" t="s">
        <v>74</v>
      </c>
      <c r="BD720" s="1">
        <v>28.0</v>
      </c>
      <c r="BE720" s="1" t="s">
        <v>6475</v>
      </c>
      <c r="BF720" s="2" t="str">
        <f>HYPERLINK("http://dx.doi.org/10.1007/s00530-024-01591-7","http://dx.doi.org/10.1007/s00530-024-01591-7")</f>
        <v>http://dx.doi.org/10.1007/s00530-024-01591-7</v>
      </c>
      <c r="BG720" s="1" t="s">
        <v>74</v>
      </c>
      <c r="BH720" s="1" t="s">
        <v>74</v>
      </c>
      <c r="BI720" s="1" t="s">
        <v>74</v>
      </c>
      <c r="BJ720" s="1" t="s">
        <v>74</v>
      </c>
      <c r="BK720" s="1" t="s">
        <v>74</v>
      </c>
      <c r="BL720" s="1" t="s">
        <v>174</v>
      </c>
      <c r="BM720" s="1" t="s">
        <v>74</v>
      </c>
      <c r="BN720" s="1" t="s">
        <v>74</v>
      </c>
      <c r="BO720" s="1" t="s">
        <v>74</v>
      </c>
      <c r="BP720" s="1" t="s">
        <v>74</v>
      </c>
      <c r="BQ720" s="1" t="s">
        <v>74</v>
      </c>
      <c r="BR720" s="1" t="s">
        <v>74</v>
      </c>
      <c r="BS720" s="1" t="s">
        <v>6476</v>
      </c>
      <c r="BT720" s="1" t="str">
        <f>HYPERLINK("https%3A%2F%2Fwww.webofscience.com%2Fwos%2Fwoscc%2Ffull-record%2FWOS:001382413000001","View Full Record in Web of Science")</f>
        <v>View Full Record in Web of Science</v>
      </c>
    </row>
    <row r="721" ht="12.75" customHeight="1">
      <c r="A721" s="1" t="s">
        <v>72</v>
      </c>
      <c r="B721" s="1" t="s">
        <v>6477</v>
      </c>
      <c r="C721" s="1" t="s">
        <v>74</v>
      </c>
      <c r="D721" s="1" t="s">
        <v>74</v>
      </c>
      <c r="E721" s="1" t="s">
        <v>74</v>
      </c>
      <c r="F721" s="1" t="s">
        <v>6478</v>
      </c>
      <c r="G721" s="1" t="s">
        <v>74</v>
      </c>
      <c r="H721" s="1" t="s">
        <v>74</v>
      </c>
      <c r="I721" s="1" t="s">
        <v>6479</v>
      </c>
      <c r="J721" s="1" t="s">
        <v>720</v>
      </c>
      <c r="K721" s="1" t="s">
        <v>74</v>
      </c>
      <c r="L721" s="1" t="s">
        <v>74</v>
      </c>
      <c r="M721" s="1" t="s">
        <v>74</v>
      </c>
      <c r="N721" s="1" t="s">
        <v>78</v>
      </c>
      <c r="O721" s="1" t="s">
        <v>74</v>
      </c>
      <c r="P721" s="1" t="s">
        <v>74</v>
      </c>
      <c r="Q721" s="1" t="s">
        <v>74</v>
      </c>
      <c r="R721" s="1" t="s">
        <v>74</v>
      </c>
      <c r="S721" s="1" t="s">
        <v>74</v>
      </c>
      <c r="T721" s="1" t="s">
        <v>6480</v>
      </c>
      <c r="U721" s="1" t="s">
        <v>74</v>
      </c>
      <c r="V721" s="1" t="s">
        <v>6481</v>
      </c>
      <c r="W721" s="1" t="s">
        <v>74</v>
      </c>
      <c r="X721" s="1" t="s">
        <v>74</v>
      </c>
      <c r="Y721" s="1" t="s">
        <v>74</v>
      </c>
      <c r="Z721" s="1" t="s">
        <v>74</v>
      </c>
      <c r="AA721" s="1" t="s">
        <v>74</v>
      </c>
      <c r="AB721" s="1" t="s">
        <v>74</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723</v>
      </c>
      <c r="AP721" s="1" t="s">
        <v>724</v>
      </c>
      <c r="AQ721" s="1" t="s">
        <v>74</v>
      </c>
      <c r="AR721" s="1" t="s">
        <v>74</v>
      </c>
      <c r="AS721" s="1" t="s">
        <v>74</v>
      </c>
      <c r="AT721" s="1" t="s">
        <v>1078</v>
      </c>
      <c r="AU721" s="1">
        <v>2026.0</v>
      </c>
      <c r="AV721" s="1">
        <v>664.0</v>
      </c>
      <c r="AW721" s="1" t="s">
        <v>74</v>
      </c>
      <c r="AX721" s="1" t="s">
        <v>74</v>
      </c>
      <c r="AY721" s="1" t="s">
        <v>74</v>
      </c>
      <c r="AZ721" s="1" t="s">
        <v>74</v>
      </c>
      <c r="BA721" s="1" t="s">
        <v>74</v>
      </c>
      <c r="BB721" s="1" t="s">
        <v>74</v>
      </c>
      <c r="BC721" s="1" t="s">
        <v>74</v>
      </c>
      <c r="BD721" s="1">
        <v>132139.0</v>
      </c>
      <c r="BE721" s="1" t="s">
        <v>6482</v>
      </c>
      <c r="BF721" s="2" t="str">
        <f>HYPERLINK("http://dx.doi.org/10.1016/j.neucom.2025.132139","http://dx.doi.org/10.1016/j.neucom.2025.132139")</f>
        <v>http://dx.doi.org/10.1016/j.neucom.2025.132139</v>
      </c>
      <c r="BG721" s="1" t="s">
        <v>74</v>
      </c>
      <c r="BH721" s="1" t="s">
        <v>255</v>
      </c>
      <c r="BI721" s="1" t="s">
        <v>74</v>
      </c>
      <c r="BJ721" s="1" t="s">
        <v>74</v>
      </c>
      <c r="BK721" s="1" t="s">
        <v>74</v>
      </c>
      <c r="BL721" s="1" t="s">
        <v>174</v>
      </c>
      <c r="BM721" s="1" t="s">
        <v>74</v>
      </c>
      <c r="BN721" s="1" t="s">
        <v>74</v>
      </c>
      <c r="BO721" s="1" t="s">
        <v>74</v>
      </c>
      <c r="BP721" s="1" t="s">
        <v>74</v>
      </c>
      <c r="BQ721" s="1" t="s">
        <v>74</v>
      </c>
      <c r="BR721" s="1" t="s">
        <v>74</v>
      </c>
      <c r="BS721" s="1" t="s">
        <v>6483</v>
      </c>
      <c r="BT721" s="1" t="str">
        <f>HYPERLINK("https%3A%2F%2Fwww.webofscience.com%2Fwos%2Fwoscc%2Ffull-record%2FWOS:001628468100001","View Full Record in Web of Science")</f>
        <v>View Full Record in Web of Science</v>
      </c>
    </row>
    <row r="722" ht="12.75" customHeight="1">
      <c r="A722" s="1" t="s">
        <v>72</v>
      </c>
      <c r="B722" s="1" t="s">
        <v>6484</v>
      </c>
      <c r="C722" s="1" t="s">
        <v>74</v>
      </c>
      <c r="D722" s="1" t="s">
        <v>74</v>
      </c>
      <c r="E722" s="1" t="s">
        <v>74</v>
      </c>
      <c r="F722" s="1" t="s">
        <v>6485</v>
      </c>
      <c r="G722" s="1" t="s">
        <v>74</v>
      </c>
      <c r="H722" s="1" t="s">
        <v>74</v>
      </c>
      <c r="I722" s="1" t="s">
        <v>6486</v>
      </c>
      <c r="J722" s="1" t="s">
        <v>239</v>
      </c>
      <c r="K722" s="1" t="s">
        <v>74</v>
      </c>
      <c r="L722" s="1" t="s">
        <v>74</v>
      </c>
      <c r="M722" s="1" t="s">
        <v>74</v>
      </c>
      <c r="N722" s="1" t="s">
        <v>158</v>
      </c>
      <c r="O722" s="1" t="s">
        <v>74</v>
      </c>
      <c r="P722" s="1" t="s">
        <v>74</v>
      </c>
      <c r="Q722" s="1" t="s">
        <v>74</v>
      </c>
      <c r="R722" s="1" t="s">
        <v>74</v>
      </c>
      <c r="S722" s="1" t="s">
        <v>74</v>
      </c>
      <c r="T722" s="1" t="s">
        <v>6487</v>
      </c>
      <c r="U722" s="1" t="s">
        <v>6488</v>
      </c>
      <c r="V722" s="1" t="s">
        <v>6489</v>
      </c>
      <c r="W722" s="1" t="s">
        <v>74</v>
      </c>
      <c r="X722" s="1" t="s">
        <v>74</v>
      </c>
      <c r="Y722" s="1" t="s">
        <v>74</v>
      </c>
      <c r="Z722" s="1" t="s">
        <v>74</v>
      </c>
      <c r="AA722" s="1" t="s">
        <v>74</v>
      </c>
      <c r="AB722" s="1" t="s">
        <v>74</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242</v>
      </c>
      <c r="AP722" s="1" t="s">
        <v>74</v>
      </c>
      <c r="AQ722" s="1" t="s">
        <v>74</v>
      </c>
      <c r="AR722" s="1" t="s">
        <v>74</v>
      </c>
      <c r="AS722" s="1" t="s">
        <v>74</v>
      </c>
      <c r="AT722" s="1" t="s">
        <v>200</v>
      </c>
      <c r="AU722" s="1">
        <v>2024.0</v>
      </c>
      <c r="AV722" s="1">
        <v>13.0</v>
      </c>
      <c r="AW722" s="1">
        <v>24.0</v>
      </c>
      <c r="AX722" s="1" t="s">
        <v>74</v>
      </c>
      <c r="AY722" s="1" t="s">
        <v>74</v>
      </c>
      <c r="AZ722" s="1" t="s">
        <v>74</v>
      </c>
      <c r="BA722" s="1" t="s">
        <v>74</v>
      </c>
      <c r="BB722" s="1" t="s">
        <v>74</v>
      </c>
      <c r="BC722" s="1" t="s">
        <v>74</v>
      </c>
      <c r="BD722" s="1">
        <v>4874.0</v>
      </c>
      <c r="BE722" s="1" t="s">
        <v>6490</v>
      </c>
      <c r="BF722" s="2" t="str">
        <f>HYPERLINK("http://dx.doi.org/10.3390/electronics13244874","http://dx.doi.org/10.3390/electronics13244874")</f>
        <v>http://dx.doi.org/10.3390/electronics13244874</v>
      </c>
      <c r="BG722" s="1" t="s">
        <v>74</v>
      </c>
      <c r="BH722" s="1" t="s">
        <v>74</v>
      </c>
      <c r="BI722" s="1" t="s">
        <v>74</v>
      </c>
      <c r="BJ722" s="1" t="s">
        <v>74</v>
      </c>
      <c r="BK722" s="1" t="s">
        <v>74</v>
      </c>
      <c r="BL722" s="1" t="s">
        <v>244</v>
      </c>
      <c r="BM722" s="1" t="s">
        <v>74</v>
      </c>
      <c r="BN722" s="1" t="s">
        <v>74</v>
      </c>
      <c r="BO722" s="1" t="s">
        <v>153</v>
      </c>
      <c r="BP722" s="1" t="s">
        <v>74</v>
      </c>
      <c r="BQ722" s="1" t="s">
        <v>74</v>
      </c>
      <c r="BR722" s="1" t="s">
        <v>74</v>
      </c>
      <c r="BS722" s="1" t="s">
        <v>6491</v>
      </c>
      <c r="BT722" s="1" t="str">
        <f>HYPERLINK("https%3A%2F%2Fwww.webofscience.com%2Fwos%2Fwoscc%2Ffull-record%2FWOS:001386778700001","View Full Record in Web of Science")</f>
        <v>View Full Record in Web of Science</v>
      </c>
    </row>
    <row r="723" ht="12.75" customHeight="1">
      <c r="A723" s="1" t="s">
        <v>72</v>
      </c>
      <c r="B723" s="1" t="s">
        <v>6492</v>
      </c>
      <c r="C723" s="1" t="s">
        <v>74</v>
      </c>
      <c r="D723" s="1" t="s">
        <v>74</v>
      </c>
      <c r="E723" s="1" t="s">
        <v>74</v>
      </c>
      <c r="F723" s="1" t="s">
        <v>6493</v>
      </c>
      <c r="G723" s="1" t="s">
        <v>74</v>
      </c>
      <c r="H723" s="1" t="s">
        <v>74</v>
      </c>
      <c r="I723" s="1" t="s">
        <v>6494</v>
      </c>
      <c r="J723" s="1" t="s">
        <v>720</v>
      </c>
      <c r="K723" s="1" t="s">
        <v>74</v>
      </c>
      <c r="L723" s="1" t="s">
        <v>74</v>
      </c>
      <c r="M723" s="1" t="s">
        <v>74</v>
      </c>
      <c r="N723" s="1" t="s">
        <v>78</v>
      </c>
      <c r="O723" s="1" t="s">
        <v>74</v>
      </c>
      <c r="P723" s="1" t="s">
        <v>74</v>
      </c>
      <c r="Q723" s="1" t="s">
        <v>74</v>
      </c>
      <c r="R723" s="1" t="s">
        <v>74</v>
      </c>
      <c r="S723" s="1" t="s">
        <v>74</v>
      </c>
      <c r="T723" s="1" t="s">
        <v>6495</v>
      </c>
      <c r="U723" s="1" t="s">
        <v>74</v>
      </c>
      <c r="V723" s="1" t="s">
        <v>6496</v>
      </c>
      <c r="W723" s="1" t="s">
        <v>74</v>
      </c>
      <c r="X723" s="1" t="s">
        <v>74</v>
      </c>
      <c r="Y723" s="1" t="s">
        <v>74</v>
      </c>
      <c r="Z723" s="1" t="s">
        <v>74</v>
      </c>
      <c r="AA723" s="1" t="s">
        <v>74</v>
      </c>
      <c r="AB723" s="1" t="s">
        <v>74</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723</v>
      </c>
      <c r="AP723" s="1" t="s">
        <v>724</v>
      </c>
      <c r="AQ723" s="1" t="s">
        <v>74</v>
      </c>
      <c r="AR723" s="1" t="s">
        <v>74</v>
      </c>
      <c r="AS723" s="1" t="s">
        <v>74</v>
      </c>
      <c r="AT723" s="1" t="s">
        <v>6497</v>
      </c>
      <c r="AU723" s="1">
        <v>2025.0</v>
      </c>
      <c r="AV723" s="1">
        <v>658.0</v>
      </c>
      <c r="AW723" s="1" t="s">
        <v>74</v>
      </c>
      <c r="AX723" s="1" t="s">
        <v>74</v>
      </c>
      <c r="AY723" s="1" t="s">
        <v>74</v>
      </c>
      <c r="AZ723" s="1" t="s">
        <v>74</v>
      </c>
      <c r="BA723" s="1" t="s">
        <v>74</v>
      </c>
      <c r="BB723" s="1" t="s">
        <v>74</v>
      </c>
      <c r="BC723" s="1" t="s">
        <v>74</v>
      </c>
      <c r="BD723" s="1">
        <v>131755.0</v>
      </c>
      <c r="BE723" s="1" t="s">
        <v>6498</v>
      </c>
      <c r="BF723" s="2" t="str">
        <f>HYPERLINK("http://dx.doi.org/10.1016/j.neucom.2025.131755","http://dx.doi.org/10.1016/j.neucom.2025.131755")</f>
        <v>http://dx.doi.org/10.1016/j.neucom.2025.131755</v>
      </c>
      <c r="BG723" s="1" t="s">
        <v>74</v>
      </c>
      <c r="BH723" s="1" t="s">
        <v>811</v>
      </c>
      <c r="BI723" s="1" t="s">
        <v>74</v>
      </c>
      <c r="BJ723" s="1" t="s">
        <v>74</v>
      </c>
      <c r="BK723" s="1" t="s">
        <v>74</v>
      </c>
      <c r="BL723" s="1" t="s">
        <v>174</v>
      </c>
      <c r="BM723" s="1" t="s">
        <v>74</v>
      </c>
      <c r="BN723" s="1" t="s">
        <v>74</v>
      </c>
      <c r="BO723" s="1" t="s">
        <v>74</v>
      </c>
      <c r="BP723" s="1" t="s">
        <v>74</v>
      </c>
      <c r="BQ723" s="1" t="s">
        <v>74</v>
      </c>
      <c r="BR723" s="1" t="s">
        <v>74</v>
      </c>
      <c r="BS723" s="1" t="s">
        <v>6499</v>
      </c>
      <c r="BT723" s="1" t="str">
        <f>HYPERLINK("https%3A%2F%2Fwww.webofscience.com%2Fwos%2Fwoscc%2Ffull-record%2FWOS:001597825400002","View Full Record in Web of Science")</f>
        <v>View Full Record in Web of Science</v>
      </c>
    </row>
    <row r="724" ht="12.75" customHeight="1">
      <c r="A724" s="1" t="s">
        <v>72</v>
      </c>
      <c r="B724" s="1" t="s">
        <v>6500</v>
      </c>
      <c r="C724" s="1" t="s">
        <v>74</v>
      </c>
      <c r="D724" s="1" t="s">
        <v>74</v>
      </c>
      <c r="E724" s="1" t="s">
        <v>74</v>
      </c>
      <c r="F724" s="1" t="s">
        <v>6501</v>
      </c>
      <c r="G724" s="1" t="s">
        <v>74</v>
      </c>
      <c r="H724" s="1" t="s">
        <v>74</v>
      </c>
      <c r="I724" s="1" t="s">
        <v>6502</v>
      </c>
      <c r="J724" s="1" t="s">
        <v>2509</v>
      </c>
      <c r="K724" s="1" t="s">
        <v>74</v>
      </c>
      <c r="L724" s="1" t="s">
        <v>74</v>
      </c>
      <c r="M724" s="1" t="s">
        <v>74</v>
      </c>
      <c r="N724" s="1" t="s">
        <v>78</v>
      </c>
      <c r="O724" s="1" t="s">
        <v>74</v>
      </c>
      <c r="P724" s="1" t="s">
        <v>74</v>
      </c>
      <c r="Q724" s="1" t="s">
        <v>74</v>
      </c>
      <c r="R724" s="1" t="s">
        <v>74</v>
      </c>
      <c r="S724" s="1" t="s">
        <v>74</v>
      </c>
      <c r="T724" s="1" t="s">
        <v>6503</v>
      </c>
      <c r="U724" s="1" t="s">
        <v>6504</v>
      </c>
      <c r="V724" s="1" t="s">
        <v>6505</v>
      </c>
      <c r="W724" s="1" t="s">
        <v>74</v>
      </c>
      <c r="X724" s="1" t="s">
        <v>74</v>
      </c>
      <c r="Y724" s="1" t="s">
        <v>74</v>
      </c>
      <c r="Z724" s="1" t="s">
        <v>74</v>
      </c>
      <c r="AA724" s="1" t="s">
        <v>74</v>
      </c>
      <c r="AB724" s="1" t="s">
        <v>74</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74</v>
      </c>
      <c r="AP724" s="1" t="s">
        <v>2512</v>
      </c>
      <c r="AQ724" s="1" t="s">
        <v>74</v>
      </c>
      <c r="AR724" s="1" t="s">
        <v>74</v>
      </c>
      <c r="AS724" s="1" t="s">
        <v>74</v>
      </c>
      <c r="AT724" s="1" t="s">
        <v>139</v>
      </c>
      <c r="AU724" s="1">
        <v>2025.0</v>
      </c>
      <c r="AV724" s="1">
        <v>14.0</v>
      </c>
      <c r="AW724" s="1">
        <v>2.0</v>
      </c>
      <c r="AX724" s="1" t="s">
        <v>74</v>
      </c>
      <c r="AY724" s="1" t="s">
        <v>74</v>
      </c>
      <c r="AZ724" s="1" t="s">
        <v>74</v>
      </c>
      <c r="BA724" s="1" t="s">
        <v>74</v>
      </c>
      <c r="BB724" s="1" t="s">
        <v>74</v>
      </c>
      <c r="BC724" s="1" t="s">
        <v>74</v>
      </c>
      <c r="BD724" s="1">
        <v>79.0</v>
      </c>
      <c r="BE724" s="1" t="s">
        <v>6506</v>
      </c>
      <c r="BF724" s="2" t="str">
        <f>HYPERLINK("http://dx.doi.org/10.3390/ijgi14020079","http://dx.doi.org/10.3390/ijgi14020079")</f>
        <v>http://dx.doi.org/10.3390/ijgi14020079</v>
      </c>
      <c r="BG724" s="1" t="s">
        <v>74</v>
      </c>
      <c r="BH724" s="1" t="s">
        <v>74</v>
      </c>
      <c r="BI724" s="1" t="s">
        <v>74</v>
      </c>
      <c r="BJ724" s="1" t="s">
        <v>74</v>
      </c>
      <c r="BK724" s="1" t="s">
        <v>74</v>
      </c>
      <c r="BL724" s="1" t="s">
        <v>2515</v>
      </c>
      <c r="BM724" s="1" t="s">
        <v>74</v>
      </c>
      <c r="BN724" s="1" t="s">
        <v>74</v>
      </c>
      <c r="BO724" s="1" t="s">
        <v>163</v>
      </c>
      <c r="BP724" s="1" t="s">
        <v>74</v>
      </c>
      <c r="BQ724" s="1" t="s">
        <v>74</v>
      </c>
      <c r="BR724" s="1" t="s">
        <v>74</v>
      </c>
      <c r="BS724" s="1" t="s">
        <v>6507</v>
      </c>
      <c r="BT724" s="1" t="str">
        <f>HYPERLINK("https%3A%2F%2Fwww.webofscience.com%2Fwos%2Fwoscc%2Ffull-record%2FWOS:001430421900001","View Full Record in Web of Science")</f>
        <v>View Full Record in Web of Science</v>
      </c>
    </row>
    <row r="725" ht="12.75" customHeight="1">
      <c r="A725" s="1" t="s">
        <v>72</v>
      </c>
      <c r="B725" s="1" t="s">
        <v>6508</v>
      </c>
      <c r="C725" s="1" t="s">
        <v>74</v>
      </c>
      <c r="D725" s="1" t="s">
        <v>74</v>
      </c>
      <c r="E725" s="1" t="s">
        <v>74</v>
      </c>
      <c r="F725" s="1" t="s">
        <v>6509</v>
      </c>
      <c r="G725" s="1" t="s">
        <v>74</v>
      </c>
      <c r="H725" s="1" t="s">
        <v>74</v>
      </c>
      <c r="I725" s="1" t="s">
        <v>6510</v>
      </c>
      <c r="J725" s="1" t="s">
        <v>6511</v>
      </c>
      <c r="K725" s="1" t="s">
        <v>74</v>
      </c>
      <c r="L725" s="1" t="s">
        <v>74</v>
      </c>
      <c r="M725" s="1" t="s">
        <v>74</v>
      </c>
      <c r="N725" s="1" t="s">
        <v>78</v>
      </c>
      <c r="O725" s="1" t="s">
        <v>74</v>
      </c>
      <c r="P725" s="1" t="s">
        <v>74</v>
      </c>
      <c r="Q725" s="1" t="s">
        <v>74</v>
      </c>
      <c r="R725" s="1" t="s">
        <v>74</v>
      </c>
      <c r="S725" s="1" t="s">
        <v>74</v>
      </c>
      <c r="T725" s="1" t="s">
        <v>6512</v>
      </c>
      <c r="U725" s="1" t="s">
        <v>74</v>
      </c>
      <c r="V725" s="1" t="s">
        <v>6513</v>
      </c>
      <c r="W725" s="1" t="s">
        <v>74</v>
      </c>
      <c r="X725" s="1" t="s">
        <v>74</v>
      </c>
      <c r="Y725" s="1" t="s">
        <v>74</v>
      </c>
      <c r="Z725" s="1" t="s">
        <v>74</v>
      </c>
      <c r="AA725" s="1" t="s">
        <v>74</v>
      </c>
      <c r="AB725" s="1" t="s">
        <v>74</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74</v>
      </c>
      <c r="AP725" s="1" t="s">
        <v>6514</v>
      </c>
      <c r="AQ725" s="1" t="s">
        <v>74</v>
      </c>
      <c r="AR725" s="1" t="s">
        <v>74</v>
      </c>
      <c r="AS725" s="1" t="s">
        <v>74</v>
      </c>
      <c r="AT725" s="1" t="s">
        <v>74</v>
      </c>
      <c r="AU725" s="1">
        <v>2026.0</v>
      </c>
      <c r="AV725" s="1">
        <v>4.0</v>
      </c>
      <c r="AW725" s="1" t="s">
        <v>74</v>
      </c>
      <c r="AX725" s="1" t="s">
        <v>74</v>
      </c>
      <c r="AY725" s="1" t="s">
        <v>74</v>
      </c>
      <c r="AZ725" s="1" t="s">
        <v>74</v>
      </c>
      <c r="BA725" s="1" t="s">
        <v>74</v>
      </c>
      <c r="BB725" s="1">
        <v>300.0</v>
      </c>
      <c r="BC725" s="1">
        <v>317.0</v>
      </c>
      <c r="BD725" s="1" t="s">
        <v>74</v>
      </c>
      <c r="BE725" s="1" t="s">
        <v>6515</v>
      </c>
      <c r="BF725" s="2" t="str">
        <f>HYPERLINK("http://dx.doi.org/10.1109/TMLCN.2026.3653719","http://dx.doi.org/10.1109/TMLCN.2026.3653719")</f>
        <v>http://dx.doi.org/10.1109/TMLCN.2026.3653719</v>
      </c>
      <c r="BG725" s="1" t="s">
        <v>74</v>
      </c>
      <c r="BH725" s="1" t="s">
        <v>74</v>
      </c>
      <c r="BI725" s="1" t="s">
        <v>74</v>
      </c>
      <c r="BJ725" s="1" t="s">
        <v>74</v>
      </c>
      <c r="BK725" s="1" t="s">
        <v>74</v>
      </c>
      <c r="BL725" s="1" t="s">
        <v>394</v>
      </c>
      <c r="BM725" s="1" t="s">
        <v>74</v>
      </c>
      <c r="BN725" s="1" t="s">
        <v>74</v>
      </c>
      <c r="BO725" s="1" t="s">
        <v>163</v>
      </c>
      <c r="BP725" s="1" t="s">
        <v>74</v>
      </c>
      <c r="BQ725" s="1" t="s">
        <v>74</v>
      </c>
      <c r="BR725" s="1" t="s">
        <v>74</v>
      </c>
      <c r="BS725" s="1" t="s">
        <v>6516</v>
      </c>
      <c r="BT725" s="1" t="str">
        <f>HYPERLINK("https%3A%2F%2Fwww.webofscience.com%2Fwos%2Fwoscc%2Ffull-record%2FWOS:001666911100001","View Full Record in Web of Science")</f>
        <v>View Full Record in Web of Science</v>
      </c>
    </row>
    <row r="726" ht="12.75" customHeight="1">
      <c r="A726" s="1" t="s">
        <v>72</v>
      </c>
      <c r="B726" s="1" t="s">
        <v>6517</v>
      </c>
      <c r="C726" s="1" t="s">
        <v>74</v>
      </c>
      <c r="D726" s="1" t="s">
        <v>74</v>
      </c>
      <c r="E726" s="1" t="s">
        <v>74</v>
      </c>
      <c r="F726" s="1" t="s">
        <v>6518</v>
      </c>
      <c r="G726" s="1" t="s">
        <v>74</v>
      </c>
      <c r="H726" s="1" t="s">
        <v>74</v>
      </c>
      <c r="I726" s="1" t="s">
        <v>6519</v>
      </c>
      <c r="J726" s="1" t="s">
        <v>147</v>
      </c>
      <c r="K726" s="1" t="s">
        <v>74</v>
      </c>
      <c r="L726" s="1" t="s">
        <v>74</v>
      </c>
      <c r="M726" s="1" t="s">
        <v>74</v>
      </c>
      <c r="N726" s="1" t="s">
        <v>78</v>
      </c>
      <c r="O726" s="1" t="s">
        <v>74</v>
      </c>
      <c r="P726" s="1" t="s">
        <v>74</v>
      </c>
      <c r="Q726" s="1" t="s">
        <v>74</v>
      </c>
      <c r="R726" s="1" t="s">
        <v>74</v>
      </c>
      <c r="S726" s="1" t="s">
        <v>74</v>
      </c>
      <c r="T726" s="1" t="s">
        <v>6520</v>
      </c>
      <c r="U726" s="1" t="s">
        <v>74</v>
      </c>
      <c r="V726" s="1" t="s">
        <v>6521</v>
      </c>
      <c r="W726" s="1" t="s">
        <v>74</v>
      </c>
      <c r="X726" s="1" t="s">
        <v>74</v>
      </c>
      <c r="Y726" s="1" t="s">
        <v>74</v>
      </c>
      <c r="Z726" s="1" t="s">
        <v>74</v>
      </c>
      <c r="AA726" s="1" t="s">
        <v>74</v>
      </c>
      <c r="AB726" s="1" t="s">
        <v>74</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150</v>
      </c>
      <c r="AP726" s="1" t="s">
        <v>74</v>
      </c>
      <c r="AQ726" s="1" t="s">
        <v>74</v>
      </c>
      <c r="AR726" s="1" t="s">
        <v>74</v>
      </c>
      <c r="AS726" s="1" t="s">
        <v>74</v>
      </c>
      <c r="AT726" s="1" t="s">
        <v>74</v>
      </c>
      <c r="AU726" s="1">
        <v>2025.0</v>
      </c>
      <c r="AV726" s="1">
        <v>13.0</v>
      </c>
      <c r="AW726" s="1" t="s">
        <v>74</v>
      </c>
      <c r="AX726" s="1" t="s">
        <v>74</v>
      </c>
      <c r="AY726" s="1" t="s">
        <v>74</v>
      </c>
      <c r="AZ726" s="1" t="s">
        <v>74</v>
      </c>
      <c r="BA726" s="1" t="s">
        <v>74</v>
      </c>
      <c r="BB726" s="1">
        <v>120345.0</v>
      </c>
      <c r="BC726" s="1">
        <v>120359.0</v>
      </c>
      <c r="BD726" s="1" t="s">
        <v>74</v>
      </c>
      <c r="BE726" s="1" t="s">
        <v>6522</v>
      </c>
      <c r="BF726" s="2" t="str">
        <f>HYPERLINK("http://dx.doi.org/10.1109/ACCESS.2025.3585637","http://dx.doi.org/10.1109/ACCESS.2025.3585637")</f>
        <v>http://dx.doi.org/10.1109/ACCESS.2025.3585637</v>
      </c>
      <c r="BG726" s="1" t="s">
        <v>74</v>
      </c>
      <c r="BH726" s="1" t="s">
        <v>74</v>
      </c>
      <c r="BI726" s="1" t="s">
        <v>74</v>
      </c>
      <c r="BJ726" s="1" t="s">
        <v>74</v>
      </c>
      <c r="BK726" s="1" t="s">
        <v>74</v>
      </c>
      <c r="BL726" s="1" t="s">
        <v>152</v>
      </c>
      <c r="BM726" s="1" t="s">
        <v>74</v>
      </c>
      <c r="BN726" s="1" t="s">
        <v>74</v>
      </c>
      <c r="BO726" s="1" t="s">
        <v>153</v>
      </c>
      <c r="BP726" s="1" t="s">
        <v>74</v>
      </c>
      <c r="BQ726" s="1" t="s">
        <v>74</v>
      </c>
      <c r="BR726" s="1" t="s">
        <v>74</v>
      </c>
      <c r="BS726" s="1" t="s">
        <v>6523</v>
      </c>
      <c r="BT726" s="1" t="str">
        <f>HYPERLINK("https%3A%2F%2Fwww.webofscience.com%2Fwos%2Fwoscc%2Ffull-record%2FWOS:001530267800048","View Full Record in Web of Science")</f>
        <v>View Full Record in Web of Science</v>
      </c>
    </row>
    <row r="727" ht="12.75" customHeight="1">
      <c r="A727" s="1" t="s">
        <v>72</v>
      </c>
      <c r="B727" s="1" t="s">
        <v>6524</v>
      </c>
      <c r="C727" s="1" t="s">
        <v>74</v>
      </c>
      <c r="D727" s="1" t="s">
        <v>74</v>
      </c>
      <c r="E727" s="1" t="s">
        <v>74</v>
      </c>
      <c r="F727" s="1" t="s">
        <v>6525</v>
      </c>
      <c r="G727" s="1" t="s">
        <v>74</v>
      </c>
      <c r="H727" s="1" t="s">
        <v>74</v>
      </c>
      <c r="I727" s="1" t="s">
        <v>6526</v>
      </c>
      <c r="J727" s="1" t="s">
        <v>6527</v>
      </c>
      <c r="K727" s="1" t="s">
        <v>74</v>
      </c>
      <c r="L727" s="1" t="s">
        <v>74</v>
      </c>
      <c r="M727" s="1" t="s">
        <v>74</v>
      </c>
      <c r="N727" s="1" t="s">
        <v>78</v>
      </c>
      <c r="O727" s="1" t="s">
        <v>74</v>
      </c>
      <c r="P727" s="1" t="s">
        <v>74</v>
      </c>
      <c r="Q727" s="1" t="s">
        <v>74</v>
      </c>
      <c r="R727" s="1" t="s">
        <v>74</v>
      </c>
      <c r="S727" s="1" t="s">
        <v>74</v>
      </c>
      <c r="T727" s="1" t="s">
        <v>6528</v>
      </c>
      <c r="U727" s="1" t="s">
        <v>74</v>
      </c>
      <c r="V727" s="1" t="s">
        <v>6529</v>
      </c>
      <c r="W727" s="1" t="s">
        <v>74</v>
      </c>
      <c r="X727" s="1" t="s">
        <v>74</v>
      </c>
      <c r="Y727" s="1" t="s">
        <v>74</v>
      </c>
      <c r="Z727" s="1" t="s">
        <v>74</v>
      </c>
      <c r="AA727" s="1" t="s">
        <v>74</v>
      </c>
      <c r="AB727" s="1" t="s">
        <v>74</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6530</v>
      </c>
      <c r="AP727" s="1" t="s">
        <v>6531</v>
      </c>
      <c r="AQ727" s="1" t="s">
        <v>74</v>
      </c>
      <c r="AR727" s="1" t="s">
        <v>74</v>
      </c>
      <c r="AS727" s="1" t="s">
        <v>74</v>
      </c>
      <c r="AT727" s="1" t="s">
        <v>74</v>
      </c>
      <c r="AU727" s="1">
        <v>2024.0</v>
      </c>
      <c r="AV727" s="1">
        <v>12.0</v>
      </c>
      <c r="AW727" s="1">
        <v>1.0</v>
      </c>
      <c r="AX727" s="1" t="s">
        <v>74</v>
      </c>
      <c r="AY727" s="1" t="s">
        <v>74</v>
      </c>
      <c r="AZ727" s="1" t="s">
        <v>74</v>
      </c>
      <c r="BA727" s="1" t="s">
        <v>74</v>
      </c>
      <c r="BB727" s="1">
        <v>97.0</v>
      </c>
      <c r="BC727" s="1">
        <v>109.0</v>
      </c>
      <c r="BD727" s="1" t="s">
        <v>74</v>
      </c>
      <c r="BE727" s="1" t="s">
        <v>6532</v>
      </c>
      <c r="BF727" s="2" t="str">
        <f>HYPERLINK("http://dx.doi.org/10.22364/bjmc.2024.12.1.06","http://dx.doi.org/10.22364/bjmc.2024.12.1.06")</f>
        <v>http://dx.doi.org/10.22364/bjmc.2024.12.1.06</v>
      </c>
      <c r="BG727" s="1" t="s">
        <v>74</v>
      </c>
      <c r="BH727" s="1" t="s">
        <v>74</v>
      </c>
      <c r="BI727" s="1" t="s">
        <v>74</v>
      </c>
      <c r="BJ727" s="1" t="s">
        <v>74</v>
      </c>
      <c r="BK727" s="1" t="s">
        <v>74</v>
      </c>
      <c r="BL727" s="1" t="s">
        <v>174</v>
      </c>
      <c r="BM727" s="1" t="s">
        <v>74</v>
      </c>
      <c r="BN727" s="1" t="s">
        <v>74</v>
      </c>
      <c r="BO727" s="1" t="s">
        <v>163</v>
      </c>
      <c r="BP727" s="1" t="s">
        <v>74</v>
      </c>
      <c r="BQ727" s="1" t="s">
        <v>74</v>
      </c>
      <c r="BR727" s="1" t="s">
        <v>74</v>
      </c>
      <c r="BS727" s="1" t="s">
        <v>6533</v>
      </c>
      <c r="BT727" s="1" t="str">
        <f>HYPERLINK("https%3A%2F%2Fwww.webofscience.com%2Fwos%2Fwoscc%2Ffull-record%2FWOS:001194961500001","View Full Record in Web of Science")</f>
        <v>View Full Record in Web of Science</v>
      </c>
    </row>
    <row r="728" ht="12.75" customHeight="1">
      <c r="A728" s="1" t="s">
        <v>72</v>
      </c>
      <c r="B728" s="1" t="s">
        <v>6534</v>
      </c>
      <c r="C728" s="1" t="s">
        <v>74</v>
      </c>
      <c r="D728" s="1" t="s">
        <v>74</v>
      </c>
      <c r="E728" s="1" t="s">
        <v>74</v>
      </c>
      <c r="F728" s="1" t="s">
        <v>6535</v>
      </c>
      <c r="G728" s="1" t="s">
        <v>74</v>
      </c>
      <c r="H728" s="1" t="s">
        <v>74</v>
      </c>
      <c r="I728" s="1" t="s">
        <v>6536</v>
      </c>
      <c r="J728" s="1" t="s">
        <v>147</v>
      </c>
      <c r="K728" s="1" t="s">
        <v>74</v>
      </c>
      <c r="L728" s="1" t="s">
        <v>74</v>
      </c>
      <c r="M728" s="1" t="s">
        <v>74</v>
      </c>
      <c r="N728" s="1" t="s">
        <v>78</v>
      </c>
      <c r="O728" s="1" t="s">
        <v>74</v>
      </c>
      <c r="P728" s="1" t="s">
        <v>74</v>
      </c>
      <c r="Q728" s="1" t="s">
        <v>74</v>
      </c>
      <c r="R728" s="1" t="s">
        <v>74</v>
      </c>
      <c r="S728" s="1" t="s">
        <v>74</v>
      </c>
      <c r="T728" s="1" t="s">
        <v>6537</v>
      </c>
      <c r="U728" s="1" t="s">
        <v>2752</v>
      </c>
      <c r="V728" s="1" t="s">
        <v>6538</v>
      </c>
      <c r="W728" s="1" t="s">
        <v>74</v>
      </c>
      <c r="X728" s="1" t="s">
        <v>74</v>
      </c>
      <c r="Y728" s="1" t="s">
        <v>74</v>
      </c>
      <c r="Z728" s="1" t="s">
        <v>74</v>
      </c>
      <c r="AA728" s="1" t="s">
        <v>74</v>
      </c>
      <c r="AB728" s="1" t="s">
        <v>74</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150</v>
      </c>
      <c r="AP728" s="1" t="s">
        <v>74</v>
      </c>
      <c r="AQ728" s="1" t="s">
        <v>74</v>
      </c>
      <c r="AR728" s="1" t="s">
        <v>74</v>
      </c>
      <c r="AS728" s="1" t="s">
        <v>74</v>
      </c>
      <c r="AT728" s="1" t="s">
        <v>74</v>
      </c>
      <c r="AU728" s="1">
        <v>2025.0</v>
      </c>
      <c r="AV728" s="1">
        <v>13.0</v>
      </c>
      <c r="AW728" s="1" t="s">
        <v>74</v>
      </c>
      <c r="AX728" s="1" t="s">
        <v>74</v>
      </c>
      <c r="AY728" s="1" t="s">
        <v>74</v>
      </c>
      <c r="AZ728" s="1" t="s">
        <v>74</v>
      </c>
      <c r="BA728" s="1" t="s">
        <v>74</v>
      </c>
      <c r="BB728" s="1">
        <v>55169.0</v>
      </c>
      <c r="BC728" s="1">
        <v>55186.0</v>
      </c>
      <c r="BD728" s="1" t="s">
        <v>74</v>
      </c>
      <c r="BE728" s="1" t="s">
        <v>6539</v>
      </c>
      <c r="BF728" s="2" t="str">
        <f>HYPERLINK("http://dx.doi.org/10.1109/ACCESS.2025.3554222","http://dx.doi.org/10.1109/ACCESS.2025.3554222")</f>
        <v>http://dx.doi.org/10.1109/ACCESS.2025.3554222</v>
      </c>
      <c r="BG728" s="1" t="s">
        <v>74</v>
      </c>
      <c r="BH728" s="1" t="s">
        <v>74</v>
      </c>
      <c r="BI728" s="1" t="s">
        <v>74</v>
      </c>
      <c r="BJ728" s="1" t="s">
        <v>74</v>
      </c>
      <c r="BK728" s="1" t="s">
        <v>74</v>
      </c>
      <c r="BL728" s="1" t="s">
        <v>152</v>
      </c>
      <c r="BM728" s="1" t="s">
        <v>74</v>
      </c>
      <c r="BN728" s="1" t="s">
        <v>74</v>
      </c>
      <c r="BO728" s="1" t="s">
        <v>153</v>
      </c>
      <c r="BP728" s="1" t="s">
        <v>74</v>
      </c>
      <c r="BQ728" s="1" t="s">
        <v>74</v>
      </c>
      <c r="BR728" s="1" t="s">
        <v>74</v>
      </c>
      <c r="BS728" s="1" t="s">
        <v>6540</v>
      </c>
      <c r="BT728" s="1" t="str">
        <f>HYPERLINK("https%3A%2F%2Fwww.webofscience.com%2Fwos%2Fwoscc%2Ffull-record%2FWOS:001457763200019","View Full Record in Web of Science")</f>
        <v>View Full Record in Web of Science</v>
      </c>
    </row>
    <row r="729" ht="12.75" customHeight="1">
      <c r="A729" s="1" t="s">
        <v>72</v>
      </c>
      <c r="B729" s="1" t="s">
        <v>6541</v>
      </c>
      <c r="C729" s="1" t="s">
        <v>74</v>
      </c>
      <c r="D729" s="1" t="s">
        <v>74</v>
      </c>
      <c r="E729" s="1" t="s">
        <v>74</v>
      </c>
      <c r="F729" s="1" t="s">
        <v>6542</v>
      </c>
      <c r="G729" s="1" t="s">
        <v>74</v>
      </c>
      <c r="H729" s="1" t="s">
        <v>74</v>
      </c>
      <c r="I729" s="1" t="s">
        <v>6543</v>
      </c>
      <c r="J729" s="1" t="s">
        <v>6544</v>
      </c>
      <c r="K729" s="1" t="s">
        <v>74</v>
      </c>
      <c r="L729" s="1" t="s">
        <v>74</v>
      </c>
      <c r="M729" s="1" t="s">
        <v>74</v>
      </c>
      <c r="N729" s="1" t="s">
        <v>78</v>
      </c>
      <c r="O729" s="1" t="s">
        <v>74</v>
      </c>
      <c r="P729" s="1" t="s">
        <v>74</v>
      </c>
      <c r="Q729" s="1" t="s">
        <v>74</v>
      </c>
      <c r="R729" s="1" t="s">
        <v>74</v>
      </c>
      <c r="S729" s="1" t="s">
        <v>74</v>
      </c>
      <c r="T729" s="1" t="s">
        <v>6545</v>
      </c>
      <c r="U729" s="1" t="s">
        <v>74</v>
      </c>
      <c r="V729" s="1" t="s">
        <v>6546</v>
      </c>
      <c r="W729" s="1" t="s">
        <v>74</v>
      </c>
      <c r="X729" s="1" t="s">
        <v>74</v>
      </c>
      <c r="Y729" s="1" t="s">
        <v>74</v>
      </c>
      <c r="Z729" s="1" t="s">
        <v>74</v>
      </c>
      <c r="AA729" s="1" t="s">
        <v>74</v>
      </c>
      <c r="AB729" s="1" t="s">
        <v>74</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6547</v>
      </c>
      <c r="AP729" s="1" t="s">
        <v>6548</v>
      </c>
      <c r="AQ729" s="1" t="s">
        <v>74</v>
      </c>
      <c r="AR729" s="1" t="s">
        <v>74</v>
      </c>
      <c r="AS729" s="1" t="s">
        <v>74</v>
      </c>
      <c r="AT729" s="1" t="s">
        <v>139</v>
      </c>
      <c r="AU729" s="1">
        <v>2025.0</v>
      </c>
      <c r="AV729" s="1">
        <v>19.0</v>
      </c>
      <c r="AW729" s="1">
        <v>1.0</v>
      </c>
      <c r="AX729" s="1" t="s">
        <v>74</v>
      </c>
      <c r="AY729" s="1" t="s">
        <v>74</v>
      </c>
      <c r="AZ729" s="1" t="s">
        <v>74</v>
      </c>
      <c r="BA729" s="1" t="s">
        <v>74</v>
      </c>
      <c r="BB729" s="1">
        <v>3.0</v>
      </c>
      <c r="BC729" s="1">
        <v>16.0</v>
      </c>
      <c r="BD729" s="1" t="s">
        <v>74</v>
      </c>
      <c r="BE729" s="1" t="s">
        <v>6549</v>
      </c>
      <c r="BF729" s="2" t="str">
        <f>HYPERLINK("http://dx.doi.org/10.1177/17248035241291687","http://dx.doi.org/10.1177/17248035241291687")</f>
        <v>http://dx.doi.org/10.1177/17248035241291687</v>
      </c>
      <c r="BG729" s="1" t="s">
        <v>74</v>
      </c>
      <c r="BH729" s="1" t="s">
        <v>2216</v>
      </c>
      <c r="BI729" s="1" t="s">
        <v>74</v>
      </c>
      <c r="BJ729" s="1" t="s">
        <v>74</v>
      </c>
      <c r="BK729" s="1" t="s">
        <v>74</v>
      </c>
      <c r="BL729" s="1" t="s">
        <v>174</v>
      </c>
      <c r="BM729" s="1" t="s">
        <v>74</v>
      </c>
      <c r="BN729" s="1" t="s">
        <v>74</v>
      </c>
      <c r="BO729" s="1" t="s">
        <v>74</v>
      </c>
      <c r="BP729" s="1" t="s">
        <v>74</v>
      </c>
      <c r="BQ729" s="1" t="s">
        <v>74</v>
      </c>
      <c r="BR729" s="1" t="s">
        <v>74</v>
      </c>
      <c r="BS729" s="1" t="s">
        <v>6550</v>
      </c>
      <c r="BT729" s="1" t="str">
        <f>HYPERLINK("https%3A%2F%2Fwww.webofscience.com%2Fwos%2Fwoscc%2Ffull-record%2FWOS:001467177500001","View Full Record in Web of Science")</f>
        <v>View Full Record in Web of Science</v>
      </c>
    </row>
    <row r="730" ht="12.75" customHeight="1">
      <c r="A730" s="1" t="s">
        <v>72</v>
      </c>
      <c r="B730" s="1" t="s">
        <v>6551</v>
      </c>
      <c r="C730" s="1" t="s">
        <v>74</v>
      </c>
      <c r="D730" s="1" t="s">
        <v>74</v>
      </c>
      <c r="E730" s="1" t="s">
        <v>74</v>
      </c>
      <c r="F730" s="1" t="s">
        <v>6552</v>
      </c>
      <c r="G730" s="1" t="s">
        <v>74</v>
      </c>
      <c r="H730" s="1" t="s">
        <v>74</v>
      </c>
      <c r="I730" s="1" t="s">
        <v>6553</v>
      </c>
      <c r="J730" s="1" t="s">
        <v>6554</v>
      </c>
      <c r="K730" s="1" t="s">
        <v>74</v>
      </c>
      <c r="L730" s="1" t="s">
        <v>74</v>
      </c>
      <c r="M730" s="1" t="s">
        <v>74</v>
      </c>
      <c r="N730" s="1" t="s">
        <v>78</v>
      </c>
      <c r="O730" s="1" t="s">
        <v>74</v>
      </c>
      <c r="P730" s="1" t="s">
        <v>74</v>
      </c>
      <c r="Q730" s="1" t="s">
        <v>74</v>
      </c>
      <c r="R730" s="1" t="s">
        <v>74</v>
      </c>
      <c r="S730" s="1" t="s">
        <v>74</v>
      </c>
      <c r="T730" s="1" t="s">
        <v>6555</v>
      </c>
      <c r="U730" s="1" t="s">
        <v>6556</v>
      </c>
      <c r="V730" s="1" t="s">
        <v>6557</v>
      </c>
      <c r="W730" s="1" t="s">
        <v>74</v>
      </c>
      <c r="X730" s="1" t="s">
        <v>74</v>
      </c>
      <c r="Y730" s="1" t="s">
        <v>74</v>
      </c>
      <c r="Z730" s="1" t="s">
        <v>74</v>
      </c>
      <c r="AA730" s="1" t="s">
        <v>74</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6558</v>
      </c>
      <c r="AP730" s="1" t="s">
        <v>74</v>
      </c>
      <c r="AQ730" s="1" t="s">
        <v>74</v>
      </c>
      <c r="AR730" s="1" t="s">
        <v>74</v>
      </c>
      <c r="AS730" s="1" t="s">
        <v>74</v>
      </c>
      <c r="AT730" s="1" t="s">
        <v>680</v>
      </c>
      <c r="AU730" s="1">
        <v>2025.0</v>
      </c>
      <c r="AV730" s="1">
        <v>13.0</v>
      </c>
      <c r="AW730" s="1">
        <v>4.0</v>
      </c>
      <c r="AX730" s="1" t="s">
        <v>74</v>
      </c>
      <c r="AY730" s="1" t="s">
        <v>74</v>
      </c>
      <c r="AZ730" s="1" t="s">
        <v>74</v>
      </c>
      <c r="BA730" s="1" t="s">
        <v>74</v>
      </c>
      <c r="BB730" s="1" t="s">
        <v>74</v>
      </c>
      <c r="BC730" s="1" t="s">
        <v>74</v>
      </c>
      <c r="BD730" s="1">
        <v>210.0</v>
      </c>
      <c r="BE730" s="1" t="s">
        <v>6559</v>
      </c>
      <c r="BF730" s="2" t="str">
        <f>HYPERLINK("http://dx.doi.org/10.3390/ijfs13040210","http://dx.doi.org/10.3390/ijfs13040210")</f>
        <v>http://dx.doi.org/10.3390/ijfs13040210</v>
      </c>
      <c r="BG730" s="1" t="s">
        <v>74</v>
      </c>
      <c r="BH730" s="1" t="s">
        <v>74</v>
      </c>
      <c r="BI730" s="1" t="s">
        <v>74</v>
      </c>
      <c r="BJ730" s="1" t="s">
        <v>74</v>
      </c>
      <c r="BK730" s="1" t="s">
        <v>74</v>
      </c>
      <c r="BL730" s="1" t="s">
        <v>214</v>
      </c>
      <c r="BM730" s="1" t="s">
        <v>74</v>
      </c>
      <c r="BN730" s="1" t="s">
        <v>74</v>
      </c>
      <c r="BO730" s="1" t="s">
        <v>163</v>
      </c>
      <c r="BP730" s="1" t="s">
        <v>74</v>
      </c>
      <c r="BQ730" s="1" t="s">
        <v>74</v>
      </c>
      <c r="BR730" s="1" t="s">
        <v>74</v>
      </c>
      <c r="BS730" s="1" t="s">
        <v>6560</v>
      </c>
      <c r="BT730" s="1" t="str">
        <f>HYPERLINK("https%3A%2F%2Fwww.webofscience.com%2Fwos%2Fwoscc%2Ffull-record%2FWOS:001646653300001","View Full Record in Web of Science")</f>
        <v>View Full Record in Web of Science</v>
      </c>
    </row>
    <row r="731" ht="12.75" customHeight="1">
      <c r="A731" s="1" t="s">
        <v>72</v>
      </c>
      <c r="B731" s="1" t="s">
        <v>6561</v>
      </c>
      <c r="C731" s="1" t="s">
        <v>74</v>
      </c>
      <c r="D731" s="1" t="s">
        <v>74</v>
      </c>
      <c r="E731" s="1" t="s">
        <v>74</v>
      </c>
      <c r="F731" s="1" t="s">
        <v>6562</v>
      </c>
      <c r="G731" s="1" t="s">
        <v>74</v>
      </c>
      <c r="H731" s="1" t="s">
        <v>74</v>
      </c>
      <c r="I731" s="1" t="s">
        <v>6563</v>
      </c>
      <c r="J731" s="1" t="s">
        <v>147</v>
      </c>
      <c r="K731" s="1" t="s">
        <v>74</v>
      </c>
      <c r="L731" s="1" t="s">
        <v>74</v>
      </c>
      <c r="M731" s="1" t="s">
        <v>74</v>
      </c>
      <c r="N731" s="1" t="s">
        <v>78</v>
      </c>
      <c r="O731" s="1" t="s">
        <v>74</v>
      </c>
      <c r="P731" s="1" t="s">
        <v>74</v>
      </c>
      <c r="Q731" s="1" t="s">
        <v>74</v>
      </c>
      <c r="R731" s="1" t="s">
        <v>74</v>
      </c>
      <c r="S731" s="1" t="s">
        <v>74</v>
      </c>
      <c r="T731" s="1" t="s">
        <v>6564</v>
      </c>
      <c r="U731" s="1" t="s">
        <v>74</v>
      </c>
      <c r="V731" s="1" t="s">
        <v>6565</v>
      </c>
      <c r="W731" s="1" t="s">
        <v>74</v>
      </c>
      <c r="X731" s="1" t="s">
        <v>74</v>
      </c>
      <c r="Y731" s="1" t="s">
        <v>74</v>
      </c>
      <c r="Z731" s="1" t="s">
        <v>74</v>
      </c>
      <c r="AA731" s="1" t="s">
        <v>74</v>
      </c>
      <c r="AB731" s="1" t="s">
        <v>74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150</v>
      </c>
      <c r="AP731" s="1" t="s">
        <v>74</v>
      </c>
      <c r="AQ731" s="1" t="s">
        <v>74</v>
      </c>
      <c r="AR731" s="1" t="s">
        <v>74</v>
      </c>
      <c r="AS731" s="1" t="s">
        <v>74</v>
      </c>
      <c r="AT731" s="1" t="s">
        <v>74</v>
      </c>
      <c r="AU731" s="1">
        <v>2024.0</v>
      </c>
      <c r="AV731" s="1">
        <v>12.0</v>
      </c>
      <c r="AW731" s="1" t="s">
        <v>74</v>
      </c>
      <c r="AX731" s="1" t="s">
        <v>74</v>
      </c>
      <c r="AY731" s="1" t="s">
        <v>74</v>
      </c>
      <c r="AZ731" s="1" t="s">
        <v>74</v>
      </c>
      <c r="BA731" s="1" t="s">
        <v>74</v>
      </c>
      <c r="BB731" s="1">
        <v>185401.0</v>
      </c>
      <c r="BC731" s="1">
        <v>185410.0</v>
      </c>
      <c r="BD731" s="1" t="s">
        <v>74</v>
      </c>
      <c r="BE731" s="1" t="s">
        <v>6566</v>
      </c>
      <c r="BF731" s="2" t="str">
        <f>HYPERLINK("http://dx.doi.org/10.1109/ACCESS.2024.3513155","http://dx.doi.org/10.1109/ACCESS.2024.3513155")</f>
        <v>http://dx.doi.org/10.1109/ACCESS.2024.3513155</v>
      </c>
      <c r="BG731" s="1" t="s">
        <v>74</v>
      </c>
      <c r="BH731" s="1" t="s">
        <v>74</v>
      </c>
      <c r="BI731" s="1" t="s">
        <v>74</v>
      </c>
      <c r="BJ731" s="1" t="s">
        <v>74</v>
      </c>
      <c r="BK731" s="1" t="s">
        <v>74</v>
      </c>
      <c r="BL731" s="1" t="s">
        <v>152</v>
      </c>
      <c r="BM731" s="1" t="s">
        <v>74</v>
      </c>
      <c r="BN731" s="1" t="s">
        <v>74</v>
      </c>
      <c r="BO731" s="1" t="s">
        <v>153</v>
      </c>
      <c r="BP731" s="1" t="s">
        <v>74</v>
      </c>
      <c r="BQ731" s="1" t="s">
        <v>74</v>
      </c>
      <c r="BR731" s="1" t="s">
        <v>74</v>
      </c>
      <c r="BS731" s="1" t="s">
        <v>6567</v>
      </c>
      <c r="BT731" s="1" t="str">
        <f>HYPERLINK("https%3A%2F%2Fwww.webofscience.com%2Fwos%2Fwoscc%2Ffull-record%2FWOS:001378949400041","View Full Record in Web of Science")</f>
        <v>View Full Record in Web of Science</v>
      </c>
    </row>
    <row r="732" ht="12.75" customHeight="1">
      <c r="A732" s="1" t="s">
        <v>72</v>
      </c>
      <c r="B732" s="1" t="s">
        <v>6568</v>
      </c>
      <c r="C732" s="1" t="s">
        <v>74</v>
      </c>
      <c r="D732" s="1" t="s">
        <v>74</v>
      </c>
      <c r="E732" s="1" t="s">
        <v>74</v>
      </c>
      <c r="F732" s="1" t="s">
        <v>6569</v>
      </c>
      <c r="G732" s="1" t="s">
        <v>74</v>
      </c>
      <c r="H732" s="1" t="s">
        <v>74</v>
      </c>
      <c r="I732" s="1" t="s">
        <v>6570</v>
      </c>
      <c r="J732" s="1" t="s">
        <v>985</v>
      </c>
      <c r="K732" s="1" t="s">
        <v>74</v>
      </c>
      <c r="L732" s="1" t="s">
        <v>74</v>
      </c>
      <c r="M732" s="1" t="s">
        <v>74</v>
      </c>
      <c r="N732" s="1" t="s">
        <v>78</v>
      </c>
      <c r="O732" s="1" t="s">
        <v>74</v>
      </c>
      <c r="P732" s="1" t="s">
        <v>74</v>
      </c>
      <c r="Q732" s="1" t="s">
        <v>74</v>
      </c>
      <c r="R732" s="1" t="s">
        <v>74</v>
      </c>
      <c r="S732" s="1" t="s">
        <v>74</v>
      </c>
      <c r="T732" s="1" t="s">
        <v>6571</v>
      </c>
      <c r="U732" s="1" t="s">
        <v>74</v>
      </c>
      <c r="V732" s="1" t="s">
        <v>6572</v>
      </c>
      <c r="W732" s="1" t="s">
        <v>74</v>
      </c>
      <c r="X732" s="1" t="s">
        <v>74</v>
      </c>
      <c r="Y732" s="1" t="s">
        <v>74</v>
      </c>
      <c r="Z732" s="1" t="s">
        <v>74</v>
      </c>
      <c r="AA732" s="1" t="s">
        <v>74</v>
      </c>
      <c r="AB732" s="1" t="s">
        <v>74</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988</v>
      </c>
      <c r="AP732" s="1" t="s">
        <v>989</v>
      </c>
      <c r="AQ732" s="1" t="s">
        <v>74</v>
      </c>
      <c r="AR732" s="1" t="s">
        <v>74</v>
      </c>
      <c r="AS732" s="1" t="s">
        <v>74</v>
      </c>
      <c r="AT732" s="1" t="s">
        <v>172</v>
      </c>
      <c r="AU732" s="1">
        <v>2023.0</v>
      </c>
      <c r="AV732" s="1">
        <v>14.0</v>
      </c>
      <c r="AW732" s="1">
        <v>11.0</v>
      </c>
      <c r="AX732" s="1" t="s">
        <v>74</v>
      </c>
      <c r="AY732" s="1" t="s">
        <v>74</v>
      </c>
      <c r="AZ732" s="1" t="s">
        <v>74</v>
      </c>
      <c r="BA732" s="1" t="s">
        <v>74</v>
      </c>
      <c r="BB732" s="1">
        <v>1328.0</v>
      </c>
      <c r="BC732" s="1">
        <v>1334.0</v>
      </c>
      <c r="BD732" s="1" t="s">
        <v>74</v>
      </c>
      <c r="BE732" s="1" t="s">
        <v>74</v>
      </c>
      <c r="BF732" s="1" t="s">
        <v>74</v>
      </c>
      <c r="BG732" s="1" t="s">
        <v>74</v>
      </c>
      <c r="BH732" s="1" t="s">
        <v>74</v>
      </c>
      <c r="BI732" s="1" t="s">
        <v>74</v>
      </c>
      <c r="BJ732" s="1" t="s">
        <v>74</v>
      </c>
      <c r="BK732" s="1" t="s">
        <v>74</v>
      </c>
      <c r="BL732" s="1" t="s">
        <v>174</v>
      </c>
      <c r="BM732" s="1" t="s">
        <v>74</v>
      </c>
      <c r="BN732" s="1" t="s">
        <v>74</v>
      </c>
      <c r="BO732" s="1" t="s">
        <v>74</v>
      </c>
      <c r="BP732" s="1" t="s">
        <v>74</v>
      </c>
      <c r="BQ732" s="1" t="s">
        <v>74</v>
      </c>
      <c r="BR732" s="1" t="s">
        <v>74</v>
      </c>
      <c r="BS732" s="1" t="s">
        <v>6573</v>
      </c>
      <c r="BT732" s="1" t="str">
        <f>HYPERLINK("https%3A%2F%2Fwww.webofscience.com%2Fwos%2Fwoscc%2Ffull-record%2FWOS:001125968900001","View Full Record in Web of Science")</f>
        <v>View Full Record in Web of Science</v>
      </c>
    </row>
    <row r="733" ht="12.75" customHeight="1">
      <c r="A733" s="1" t="s">
        <v>72</v>
      </c>
      <c r="B733" s="1" t="s">
        <v>6574</v>
      </c>
      <c r="C733" s="1" t="s">
        <v>74</v>
      </c>
      <c r="D733" s="1" t="s">
        <v>74</v>
      </c>
      <c r="E733" s="1" t="s">
        <v>74</v>
      </c>
      <c r="F733" s="1" t="s">
        <v>6575</v>
      </c>
      <c r="G733" s="1" t="s">
        <v>74</v>
      </c>
      <c r="H733" s="1" t="s">
        <v>74</v>
      </c>
      <c r="I733" s="1" t="s">
        <v>6576</v>
      </c>
      <c r="J733" s="1" t="s">
        <v>296</v>
      </c>
      <c r="K733" s="1" t="s">
        <v>74</v>
      </c>
      <c r="L733" s="1" t="s">
        <v>74</v>
      </c>
      <c r="M733" s="1" t="s">
        <v>74</v>
      </c>
      <c r="N733" s="1" t="s">
        <v>78</v>
      </c>
      <c r="O733" s="1" t="s">
        <v>74</v>
      </c>
      <c r="P733" s="1" t="s">
        <v>74</v>
      </c>
      <c r="Q733" s="1" t="s">
        <v>74</v>
      </c>
      <c r="R733" s="1" t="s">
        <v>74</v>
      </c>
      <c r="S733" s="1" t="s">
        <v>74</v>
      </c>
      <c r="T733" s="1" t="s">
        <v>6577</v>
      </c>
      <c r="U733" s="1" t="s">
        <v>74</v>
      </c>
      <c r="V733" s="1" t="s">
        <v>6578</v>
      </c>
      <c r="W733" s="1" t="s">
        <v>74</v>
      </c>
      <c r="X733" s="1" t="s">
        <v>74</v>
      </c>
      <c r="Y733" s="1" t="s">
        <v>74</v>
      </c>
      <c r="Z733" s="1" t="s">
        <v>74</v>
      </c>
      <c r="AA733" s="1" t="s">
        <v>74</v>
      </c>
      <c r="AB733" s="1" t="s">
        <v>74</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299</v>
      </c>
      <c r="AP733" s="1" t="s">
        <v>300</v>
      </c>
      <c r="AQ733" s="1" t="s">
        <v>74</v>
      </c>
      <c r="AR733" s="1" t="s">
        <v>74</v>
      </c>
      <c r="AS733" s="1" t="s">
        <v>74</v>
      </c>
      <c r="AT733" s="1" t="s">
        <v>74</v>
      </c>
      <c r="AU733" s="1">
        <v>2025.0</v>
      </c>
      <c r="AV733" s="1">
        <v>84.0</v>
      </c>
      <c r="AW733" s="1">
        <v>2.0</v>
      </c>
      <c r="AX733" s="1" t="s">
        <v>74</v>
      </c>
      <c r="AY733" s="1" t="s">
        <v>74</v>
      </c>
      <c r="AZ733" s="1" t="s">
        <v>74</v>
      </c>
      <c r="BA733" s="1" t="s">
        <v>74</v>
      </c>
      <c r="BB733" s="1">
        <v>2905.0</v>
      </c>
      <c r="BC733" s="1">
        <v>2933.0</v>
      </c>
      <c r="BD733" s="1" t="s">
        <v>74</v>
      </c>
      <c r="BE733" s="1" t="s">
        <v>6579</v>
      </c>
      <c r="BF733" s="2" t="str">
        <f>HYPERLINK("http://dx.doi.org/10.32604/cmc.2025.065421","http://dx.doi.org/10.32604/cmc.2025.065421")</f>
        <v>http://dx.doi.org/10.32604/cmc.2025.065421</v>
      </c>
      <c r="BG733" s="1" t="s">
        <v>74</v>
      </c>
      <c r="BH733" s="1" t="s">
        <v>74</v>
      </c>
      <c r="BI733" s="1" t="s">
        <v>74</v>
      </c>
      <c r="BJ733" s="1" t="s">
        <v>74</v>
      </c>
      <c r="BK733" s="1" t="s">
        <v>74</v>
      </c>
      <c r="BL733" s="1" t="s">
        <v>302</v>
      </c>
      <c r="BM733" s="1" t="s">
        <v>74</v>
      </c>
      <c r="BN733" s="1" t="s">
        <v>74</v>
      </c>
      <c r="BO733" s="1" t="s">
        <v>163</v>
      </c>
      <c r="BP733" s="1" t="s">
        <v>74</v>
      </c>
      <c r="BQ733" s="1" t="s">
        <v>74</v>
      </c>
      <c r="BR733" s="1" t="s">
        <v>74</v>
      </c>
      <c r="BS733" s="1" t="s">
        <v>6580</v>
      </c>
      <c r="BT733" s="1" t="str">
        <f>HYPERLINK("https%3A%2F%2Fwww.webofscience.com%2Fwos%2Fwoscc%2Ffull-record%2FWOS:001529615700001","View Full Record in Web of Science")</f>
        <v>View Full Record in Web of Science</v>
      </c>
    </row>
    <row r="734" ht="12.75" customHeight="1">
      <c r="A734" s="1" t="s">
        <v>72</v>
      </c>
      <c r="B734" s="1" t="s">
        <v>6581</v>
      </c>
      <c r="C734" s="1" t="s">
        <v>74</v>
      </c>
      <c r="D734" s="1" t="s">
        <v>74</v>
      </c>
      <c r="E734" s="1" t="s">
        <v>74</v>
      </c>
      <c r="F734" s="1" t="s">
        <v>6582</v>
      </c>
      <c r="G734" s="1" t="s">
        <v>74</v>
      </c>
      <c r="H734" s="1" t="s">
        <v>74</v>
      </c>
      <c r="I734" s="1" t="s">
        <v>6583</v>
      </c>
      <c r="J734" s="1" t="s">
        <v>2263</v>
      </c>
      <c r="K734" s="1" t="s">
        <v>74</v>
      </c>
      <c r="L734" s="1" t="s">
        <v>74</v>
      </c>
      <c r="M734" s="1" t="s">
        <v>74</v>
      </c>
      <c r="N734" s="1" t="s">
        <v>78</v>
      </c>
      <c r="O734" s="1" t="s">
        <v>74</v>
      </c>
      <c r="P734" s="1" t="s">
        <v>74</v>
      </c>
      <c r="Q734" s="1" t="s">
        <v>74</v>
      </c>
      <c r="R734" s="1" t="s">
        <v>74</v>
      </c>
      <c r="S734" s="1" t="s">
        <v>74</v>
      </c>
      <c r="T734" s="1" t="s">
        <v>6584</v>
      </c>
      <c r="U734" s="1" t="s">
        <v>74</v>
      </c>
      <c r="V734" s="1" t="s">
        <v>6585</v>
      </c>
      <c r="W734" s="1" t="s">
        <v>74</v>
      </c>
      <c r="X734" s="1" t="s">
        <v>74</v>
      </c>
      <c r="Y734" s="1" t="s">
        <v>74</v>
      </c>
      <c r="Z734" s="1" t="s">
        <v>74</v>
      </c>
      <c r="AA734" s="1" t="s">
        <v>74</v>
      </c>
      <c r="AB734" s="1" t="s">
        <v>74</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2266</v>
      </c>
      <c r="AP734" s="1" t="s">
        <v>2267</v>
      </c>
      <c r="AQ734" s="1" t="s">
        <v>74</v>
      </c>
      <c r="AR734" s="1" t="s">
        <v>74</v>
      </c>
      <c r="AS734" s="1" t="s">
        <v>74</v>
      </c>
      <c r="AT734" s="1" t="s">
        <v>225</v>
      </c>
      <c r="AU734" s="1">
        <v>2025.0</v>
      </c>
      <c r="AV734" s="1">
        <v>32.0</v>
      </c>
      <c r="AW734" s="1" t="s">
        <v>74</v>
      </c>
      <c r="AX734" s="1" t="s">
        <v>74</v>
      </c>
      <c r="AY734" s="1" t="s">
        <v>74</v>
      </c>
      <c r="AZ734" s="1" t="s">
        <v>74</v>
      </c>
      <c r="BA734" s="1" t="s">
        <v>74</v>
      </c>
      <c r="BB734" s="1" t="s">
        <v>74</v>
      </c>
      <c r="BC734" s="1" t="s">
        <v>74</v>
      </c>
      <c r="BD734" s="1">
        <v>101630.0</v>
      </c>
      <c r="BE734" s="1" t="s">
        <v>6586</v>
      </c>
      <c r="BF734" s="2" t="str">
        <f>HYPERLINK("http://dx.doi.org/10.1016/j.iot.2025.101630","http://dx.doi.org/10.1016/j.iot.2025.101630")</f>
        <v>http://dx.doi.org/10.1016/j.iot.2025.101630</v>
      </c>
      <c r="BG734" s="1" t="s">
        <v>74</v>
      </c>
      <c r="BH734" s="1" t="s">
        <v>1150</v>
      </c>
      <c r="BI734" s="1" t="s">
        <v>74</v>
      </c>
      <c r="BJ734" s="1" t="s">
        <v>74</v>
      </c>
      <c r="BK734" s="1" t="s">
        <v>74</v>
      </c>
      <c r="BL734" s="1" t="s">
        <v>152</v>
      </c>
      <c r="BM734" s="1" t="s">
        <v>74</v>
      </c>
      <c r="BN734" s="1" t="s">
        <v>74</v>
      </c>
      <c r="BO734" s="1" t="s">
        <v>74</v>
      </c>
      <c r="BP734" s="1" t="s">
        <v>74</v>
      </c>
      <c r="BQ734" s="1" t="s">
        <v>74</v>
      </c>
      <c r="BR734" s="1" t="s">
        <v>74</v>
      </c>
      <c r="BS734" s="1" t="s">
        <v>6587</v>
      </c>
      <c r="BT734" s="1" t="str">
        <f>HYPERLINK("https%3A%2F%2Fwww.webofscience.com%2Fwos%2Fwoscc%2Ffull-record%2FWOS:001487125000001","View Full Record in Web of Science")</f>
        <v>View Full Record in Web of Science</v>
      </c>
    </row>
    <row r="735" ht="12.75" customHeight="1">
      <c r="A735" s="1" t="s">
        <v>72</v>
      </c>
      <c r="B735" s="1" t="s">
        <v>6588</v>
      </c>
      <c r="C735" s="1" t="s">
        <v>74</v>
      </c>
      <c r="D735" s="1" t="s">
        <v>74</v>
      </c>
      <c r="E735" s="1" t="s">
        <v>74</v>
      </c>
      <c r="F735" s="1" t="s">
        <v>6589</v>
      </c>
      <c r="G735" s="1" t="s">
        <v>74</v>
      </c>
      <c r="H735" s="1" t="s">
        <v>74</v>
      </c>
      <c r="I735" s="1" t="s">
        <v>6590</v>
      </c>
      <c r="J735" s="1" t="s">
        <v>4771</v>
      </c>
      <c r="K735" s="1" t="s">
        <v>74</v>
      </c>
      <c r="L735" s="1" t="s">
        <v>74</v>
      </c>
      <c r="M735" s="1" t="s">
        <v>74</v>
      </c>
      <c r="N735" s="1" t="s">
        <v>78</v>
      </c>
      <c r="O735" s="1" t="s">
        <v>74</v>
      </c>
      <c r="P735" s="1" t="s">
        <v>74</v>
      </c>
      <c r="Q735" s="1" t="s">
        <v>74</v>
      </c>
      <c r="R735" s="1" t="s">
        <v>74</v>
      </c>
      <c r="S735" s="1" t="s">
        <v>74</v>
      </c>
      <c r="T735" s="1" t="s">
        <v>6591</v>
      </c>
      <c r="U735" s="1" t="s">
        <v>6592</v>
      </c>
      <c r="V735" s="1" t="s">
        <v>6593</v>
      </c>
      <c r="W735" s="1" t="s">
        <v>74</v>
      </c>
      <c r="X735" s="1" t="s">
        <v>74</v>
      </c>
      <c r="Y735" s="1" t="s">
        <v>74</v>
      </c>
      <c r="Z735" s="1" t="s">
        <v>74</v>
      </c>
      <c r="AA735" s="1" t="s">
        <v>74</v>
      </c>
      <c r="AB735" s="1" t="s">
        <v>74</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4774</v>
      </c>
      <c r="AP735" s="1" t="s">
        <v>4775</v>
      </c>
      <c r="AQ735" s="1" t="s">
        <v>74</v>
      </c>
      <c r="AR735" s="1" t="s">
        <v>74</v>
      </c>
      <c r="AS735" s="1" t="s">
        <v>74</v>
      </c>
      <c r="AT735" s="1" t="s">
        <v>357</v>
      </c>
      <c r="AU735" s="1">
        <v>2025.0</v>
      </c>
      <c r="AV735" s="1">
        <v>168.0</v>
      </c>
      <c r="AW735" s="1" t="s">
        <v>74</v>
      </c>
      <c r="AX735" s="1" t="s">
        <v>74</v>
      </c>
      <c r="AY735" s="1" t="s">
        <v>74</v>
      </c>
      <c r="AZ735" s="1" t="s">
        <v>74</v>
      </c>
      <c r="BA735" s="1" t="s">
        <v>74</v>
      </c>
      <c r="BB735" s="1" t="s">
        <v>74</v>
      </c>
      <c r="BC735" s="1" t="s">
        <v>74</v>
      </c>
      <c r="BD735" s="1">
        <v>103203.0</v>
      </c>
      <c r="BE735" s="1" t="s">
        <v>6594</v>
      </c>
      <c r="BF735" s="2" t="str">
        <f>HYPERLINK("http://dx.doi.org/10.1016/j.artmed.2025.103203","http://dx.doi.org/10.1016/j.artmed.2025.103203")</f>
        <v>http://dx.doi.org/10.1016/j.artmed.2025.103203</v>
      </c>
      <c r="BG735" s="1" t="s">
        <v>74</v>
      </c>
      <c r="BH735" s="1" t="s">
        <v>973</v>
      </c>
      <c r="BI735" s="1" t="s">
        <v>74</v>
      </c>
      <c r="BJ735" s="1" t="s">
        <v>74</v>
      </c>
      <c r="BK735" s="1" t="s">
        <v>74</v>
      </c>
      <c r="BL735" s="1" t="s">
        <v>4777</v>
      </c>
      <c r="BM735" s="1" t="s">
        <v>74</v>
      </c>
      <c r="BN735" s="1" t="s">
        <v>74</v>
      </c>
      <c r="BO735" s="1" t="s">
        <v>74</v>
      </c>
      <c r="BP735" s="1" t="s">
        <v>74</v>
      </c>
      <c r="BQ735" s="1" t="s">
        <v>74</v>
      </c>
      <c r="BR735" s="1" t="s">
        <v>74</v>
      </c>
      <c r="BS735" s="1" t="s">
        <v>6595</v>
      </c>
      <c r="BT735" s="1" t="str">
        <f>HYPERLINK("https%3A%2F%2Fwww.webofscience.com%2Fwos%2Fwoscc%2Ffull-record%2FWOS:001535014800001","View Full Record in Web of Science")</f>
        <v>View Full Record in Web of Science</v>
      </c>
    </row>
    <row r="736" ht="12.75" customHeight="1">
      <c r="A736" s="1" t="s">
        <v>72</v>
      </c>
      <c r="B736" s="1" t="s">
        <v>6596</v>
      </c>
      <c r="C736" s="1" t="s">
        <v>74</v>
      </c>
      <c r="D736" s="1" t="s">
        <v>74</v>
      </c>
      <c r="E736" s="1" t="s">
        <v>74</v>
      </c>
      <c r="F736" s="1" t="s">
        <v>6597</v>
      </c>
      <c r="G736" s="1" t="s">
        <v>74</v>
      </c>
      <c r="H736" s="1" t="s">
        <v>74</v>
      </c>
      <c r="I736" s="1" t="s">
        <v>6598</v>
      </c>
      <c r="J736" s="1" t="s">
        <v>828</v>
      </c>
      <c r="K736" s="1" t="s">
        <v>74</v>
      </c>
      <c r="L736" s="1" t="s">
        <v>74</v>
      </c>
      <c r="M736" s="1" t="s">
        <v>74</v>
      </c>
      <c r="N736" s="1" t="s">
        <v>78</v>
      </c>
      <c r="O736" s="1" t="s">
        <v>74</v>
      </c>
      <c r="P736" s="1" t="s">
        <v>74</v>
      </c>
      <c r="Q736" s="1" t="s">
        <v>74</v>
      </c>
      <c r="R736" s="1" t="s">
        <v>74</v>
      </c>
      <c r="S736" s="1" t="s">
        <v>74</v>
      </c>
      <c r="T736" s="1" t="s">
        <v>6599</v>
      </c>
      <c r="U736" s="1" t="s">
        <v>74</v>
      </c>
      <c r="V736" s="1" t="s">
        <v>6600</v>
      </c>
      <c r="W736" s="1" t="s">
        <v>74</v>
      </c>
      <c r="X736" s="1" t="s">
        <v>74</v>
      </c>
      <c r="Y736" s="1" t="s">
        <v>74</v>
      </c>
      <c r="Z736" s="1" t="s">
        <v>74</v>
      </c>
      <c r="AA736" s="1" t="s">
        <v>74</v>
      </c>
      <c r="AB736" s="1" t="s">
        <v>74</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831</v>
      </c>
      <c r="AP736" s="1" t="s">
        <v>832</v>
      </c>
      <c r="AQ736" s="1" t="s">
        <v>74</v>
      </c>
      <c r="AR736" s="1" t="s">
        <v>74</v>
      </c>
      <c r="AS736" s="1" t="s">
        <v>74</v>
      </c>
      <c r="AT736" s="1" t="s">
        <v>74</v>
      </c>
      <c r="AU736" s="1">
        <v>2024.0</v>
      </c>
      <c r="AV736" s="1">
        <v>36.0</v>
      </c>
      <c r="AW736" s="1">
        <v>1.0</v>
      </c>
      <c r="AX736" s="1" t="s">
        <v>74</v>
      </c>
      <c r="AY736" s="1" t="s">
        <v>74</v>
      </c>
      <c r="AZ736" s="1" t="s">
        <v>74</v>
      </c>
      <c r="BA736" s="1" t="s">
        <v>74</v>
      </c>
      <c r="BB736" s="1" t="s">
        <v>74</v>
      </c>
      <c r="BC736" s="1" t="s">
        <v>74</v>
      </c>
      <c r="BD736" s="1">
        <v>343257.0</v>
      </c>
      <c r="BE736" s="1" t="s">
        <v>6601</v>
      </c>
      <c r="BF736" s="2" t="str">
        <f>HYPERLINK("http://dx.doi.org/10.4018/JOEUC.343257","http://dx.doi.org/10.4018/JOEUC.343257")</f>
        <v>http://dx.doi.org/10.4018/JOEUC.343257</v>
      </c>
      <c r="BG736" s="1" t="s">
        <v>74</v>
      </c>
      <c r="BH736" s="1" t="s">
        <v>74</v>
      </c>
      <c r="BI736" s="1" t="s">
        <v>74</v>
      </c>
      <c r="BJ736" s="1" t="s">
        <v>74</v>
      </c>
      <c r="BK736" s="1" t="s">
        <v>74</v>
      </c>
      <c r="BL736" s="1" t="s">
        <v>834</v>
      </c>
      <c r="BM736" s="1" t="s">
        <v>74</v>
      </c>
      <c r="BN736" s="1" t="s">
        <v>74</v>
      </c>
      <c r="BO736" s="1" t="s">
        <v>163</v>
      </c>
      <c r="BP736" s="1" t="s">
        <v>74</v>
      </c>
      <c r="BQ736" s="1" t="s">
        <v>74</v>
      </c>
      <c r="BR736" s="1" t="s">
        <v>74</v>
      </c>
      <c r="BS736" s="1" t="s">
        <v>6602</v>
      </c>
      <c r="BT736" s="1" t="str">
        <f>HYPERLINK("https%3A%2F%2Fwww.webofscience.com%2Fwos%2Fwoscc%2Ffull-record%2FWOS:001293789600018","View Full Record in Web of Science")</f>
        <v>View Full Record in Web of Science</v>
      </c>
    </row>
    <row r="737" ht="12.75" customHeight="1">
      <c r="A737" s="1" t="s">
        <v>72</v>
      </c>
      <c r="B737" s="1" t="s">
        <v>6603</v>
      </c>
      <c r="C737" s="1" t="s">
        <v>74</v>
      </c>
      <c r="D737" s="1" t="s">
        <v>74</v>
      </c>
      <c r="E737" s="1" t="s">
        <v>74</v>
      </c>
      <c r="F737" s="1" t="s">
        <v>6604</v>
      </c>
      <c r="G737" s="1" t="s">
        <v>74</v>
      </c>
      <c r="H737" s="1" t="s">
        <v>74</v>
      </c>
      <c r="I737" s="1" t="s">
        <v>6605</v>
      </c>
      <c r="J737" s="1" t="s">
        <v>816</v>
      </c>
      <c r="K737" s="1" t="s">
        <v>74</v>
      </c>
      <c r="L737" s="1" t="s">
        <v>74</v>
      </c>
      <c r="M737" s="1" t="s">
        <v>74</v>
      </c>
      <c r="N737" s="1" t="s">
        <v>78</v>
      </c>
      <c r="O737" s="1" t="s">
        <v>74</v>
      </c>
      <c r="P737" s="1" t="s">
        <v>74</v>
      </c>
      <c r="Q737" s="1" t="s">
        <v>74</v>
      </c>
      <c r="R737" s="1" t="s">
        <v>74</v>
      </c>
      <c r="S737" s="1" t="s">
        <v>74</v>
      </c>
      <c r="T737" s="1" t="s">
        <v>6606</v>
      </c>
      <c r="U737" s="1" t="s">
        <v>74</v>
      </c>
      <c r="V737" s="1" t="s">
        <v>6607</v>
      </c>
      <c r="W737" s="1" t="s">
        <v>74</v>
      </c>
      <c r="X737" s="1" t="s">
        <v>74</v>
      </c>
      <c r="Y737" s="1" t="s">
        <v>74</v>
      </c>
      <c r="Z737" s="1" t="s">
        <v>74</v>
      </c>
      <c r="AA737" s="1" t="s">
        <v>74</v>
      </c>
      <c r="AB737" s="1" t="s">
        <v>74</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820</v>
      </c>
      <c r="AP737" s="1" t="s">
        <v>821</v>
      </c>
      <c r="AQ737" s="1" t="s">
        <v>74</v>
      </c>
      <c r="AR737" s="1" t="s">
        <v>74</v>
      </c>
      <c r="AS737" s="1" t="s">
        <v>74</v>
      </c>
      <c r="AT737" s="1" t="s">
        <v>357</v>
      </c>
      <c r="AU737" s="1">
        <v>2025.0</v>
      </c>
      <c r="AV737" s="1">
        <v>170.0</v>
      </c>
      <c r="AW737" s="1" t="s">
        <v>74</v>
      </c>
      <c r="AX737" s="1" t="s">
        <v>74</v>
      </c>
      <c r="AY737" s="1" t="s">
        <v>74</v>
      </c>
      <c r="AZ737" s="1" t="s">
        <v>74</v>
      </c>
      <c r="BA737" s="1" t="s">
        <v>74</v>
      </c>
      <c r="BB737" s="1" t="s">
        <v>74</v>
      </c>
      <c r="BC737" s="1" t="s">
        <v>74</v>
      </c>
      <c r="BD737" s="1">
        <v>104893.0</v>
      </c>
      <c r="BE737" s="1" t="s">
        <v>6608</v>
      </c>
      <c r="BF737" s="2" t="str">
        <f>HYPERLINK("http://dx.doi.org/10.1016/j.jbi.2025.104893","http://dx.doi.org/10.1016/j.jbi.2025.104893")</f>
        <v>http://dx.doi.org/10.1016/j.jbi.2025.104893</v>
      </c>
      <c r="BG737" s="1" t="s">
        <v>74</v>
      </c>
      <c r="BH737" s="1" t="s">
        <v>738</v>
      </c>
      <c r="BI737" s="1" t="s">
        <v>74</v>
      </c>
      <c r="BJ737" s="1" t="s">
        <v>74</v>
      </c>
      <c r="BK737" s="1" t="s">
        <v>74</v>
      </c>
      <c r="BL737" s="1" t="s">
        <v>823</v>
      </c>
      <c r="BM737" s="1" t="s">
        <v>74</v>
      </c>
      <c r="BN737" s="1" t="s">
        <v>74</v>
      </c>
      <c r="BO737" s="1" t="s">
        <v>74</v>
      </c>
      <c r="BP737" s="1" t="s">
        <v>74</v>
      </c>
      <c r="BQ737" s="1" t="s">
        <v>74</v>
      </c>
      <c r="BR737" s="1" t="s">
        <v>74</v>
      </c>
      <c r="BS737" s="1" t="s">
        <v>6609</v>
      </c>
      <c r="BT737" s="1" t="str">
        <f>HYPERLINK("https%3A%2F%2Fwww.webofscience.com%2Fwos%2Fwoscc%2Ffull-record%2FWOS:001565838400002","View Full Record in Web of Science")</f>
        <v>View Full Record in Web of Science</v>
      </c>
    </row>
    <row r="738" ht="12.75" customHeight="1">
      <c r="A738" s="1" t="s">
        <v>72</v>
      </c>
      <c r="B738" s="1" t="s">
        <v>6610</v>
      </c>
      <c r="C738" s="1" t="s">
        <v>74</v>
      </c>
      <c r="D738" s="1" t="s">
        <v>74</v>
      </c>
      <c r="E738" s="1" t="s">
        <v>74</v>
      </c>
      <c r="F738" s="1" t="s">
        <v>6611</v>
      </c>
      <c r="G738" s="1" t="s">
        <v>74</v>
      </c>
      <c r="H738" s="1" t="s">
        <v>74</v>
      </c>
      <c r="I738" s="1" t="s">
        <v>6612</v>
      </c>
      <c r="J738" s="1" t="s">
        <v>133</v>
      </c>
      <c r="K738" s="1" t="s">
        <v>74</v>
      </c>
      <c r="L738" s="1" t="s">
        <v>74</v>
      </c>
      <c r="M738" s="1" t="s">
        <v>74</v>
      </c>
      <c r="N738" s="1" t="s">
        <v>78</v>
      </c>
      <c r="O738" s="1" t="s">
        <v>74</v>
      </c>
      <c r="P738" s="1" t="s">
        <v>74</v>
      </c>
      <c r="Q738" s="1" t="s">
        <v>74</v>
      </c>
      <c r="R738" s="1" t="s">
        <v>74</v>
      </c>
      <c r="S738" s="1" t="s">
        <v>74</v>
      </c>
      <c r="T738" s="1" t="s">
        <v>6613</v>
      </c>
      <c r="U738" s="1" t="s">
        <v>74</v>
      </c>
      <c r="V738" s="1" t="s">
        <v>6614</v>
      </c>
      <c r="W738" s="1" t="s">
        <v>74</v>
      </c>
      <c r="X738" s="1" t="s">
        <v>74</v>
      </c>
      <c r="Y738" s="1" t="s">
        <v>74</v>
      </c>
      <c r="Z738" s="1" t="s">
        <v>74</v>
      </c>
      <c r="AA738" s="1" t="s">
        <v>74</v>
      </c>
      <c r="AB738" s="1" t="s">
        <v>74</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137</v>
      </c>
      <c r="AP738" s="1" t="s">
        <v>138</v>
      </c>
      <c r="AQ738" s="1" t="s">
        <v>74</v>
      </c>
      <c r="AR738" s="1" t="s">
        <v>74</v>
      </c>
      <c r="AS738" s="1" t="s">
        <v>74</v>
      </c>
      <c r="AT738" s="1" t="s">
        <v>172</v>
      </c>
      <c r="AU738" s="1">
        <v>2025.0</v>
      </c>
      <c r="AV738" s="1">
        <v>28.0</v>
      </c>
      <c r="AW738" s="1">
        <v>11.0</v>
      </c>
      <c r="AX738" s="1" t="s">
        <v>74</v>
      </c>
      <c r="AY738" s="1" t="s">
        <v>74</v>
      </c>
      <c r="AZ738" s="1" t="s">
        <v>74</v>
      </c>
      <c r="BA738" s="1" t="s">
        <v>74</v>
      </c>
      <c r="BB738" s="1">
        <v>1646.0</v>
      </c>
      <c r="BC738" s="1">
        <v>1654.0</v>
      </c>
      <c r="BD738" s="1" t="s">
        <v>74</v>
      </c>
      <c r="BE738" s="1" t="s">
        <v>6615</v>
      </c>
      <c r="BF738" s="2" t="str">
        <f>HYPERLINK("http://dx.doi.org/10.1016/j.jval.2025.08.001","http://dx.doi.org/10.1016/j.jval.2025.08.001")</f>
        <v>http://dx.doi.org/10.1016/j.jval.2025.08.001</v>
      </c>
      <c r="BG738" s="1" t="s">
        <v>74</v>
      </c>
      <c r="BH738" s="1" t="s">
        <v>255</v>
      </c>
      <c r="BI738" s="1" t="s">
        <v>74</v>
      </c>
      <c r="BJ738" s="1" t="s">
        <v>74</v>
      </c>
      <c r="BK738" s="1" t="s">
        <v>74</v>
      </c>
      <c r="BL738" s="1" t="s">
        <v>142</v>
      </c>
      <c r="BM738" s="1" t="s">
        <v>74</v>
      </c>
      <c r="BN738" s="1" t="s">
        <v>74</v>
      </c>
      <c r="BO738" s="1" t="s">
        <v>114</v>
      </c>
      <c r="BP738" s="1" t="s">
        <v>74</v>
      </c>
      <c r="BQ738" s="1" t="s">
        <v>74</v>
      </c>
      <c r="BR738" s="1" t="s">
        <v>74</v>
      </c>
      <c r="BS738" s="1" t="s">
        <v>6616</v>
      </c>
      <c r="BT738" s="1" t="str">
        <f>HYPERLINK("https%3A%2F%2Fwww.webofscience.com%2Fwos%2Fwoscc%2Ffull-record%2FWOS:001616612600004","View Full Record in Web of Science")</f>
        <v>View Full Record in Web of Science</v>
      </c>
    </row>
    <row r="739" ht="12.75" customHeight="1">
      <c r="A739" s="1" t="s">
        <v>72</v>
      </c>
      <c r="B739" s="1" t="s">
        <v>6617</v>
      </c>
      <c r="C739" s="1" t="s">
        <v>74</v>
      </c>
      <c r="D739" s="1" t="s">
        <v>74</v>
      </c>
      <c r="E739" s="1" t="s">
        <v>74</v>
      </c>
      <c r="F739" s="1" t="s">
        <v>6618</v>
      </c>
      <c r="G739" s="1" t="s">
        <v>74</v>
      </c>
      <c r="H739" s="1" t="s">
        <v>74</v>
      </c>
      <c r="I739" s="1" t="s">
        <v>6619</v>
      </c>
      <c r="J739" s="1" t="s">
        <v>966</v>
      </c>
      <c r="K739" s="1" t="s">
        <v>74</v>
      </c>
      <c r="L739" s="1" t="s">
        <v>74</v>
      </c>
      <c r="M739" s="1" t="s">
        <v>74</v>
      </c>
      <c r="N739" s="1" t="s">
        <v>78</v>
      </c>
      <c r="O739" s="1" t="s">
        <v>74</v>
      </c>
      <c r="P739" s="1" t="s">
        <v>74</v>
      </c>
      <c r="Q739" s="1" t="s">
        <v>74</v>
      </c>
      <c r="R739" s="1" t="s">
        <v>74</v>
      </c>
      <c r="S739" s="1" t="s">
        <v>74</v>
      </c>
      <c r="T739" s="1" t="s">
        <v>6620</v>
      </c>
      <c r="U739" s="1" t="s">
        <v>74</v>
      </c>
      <c r="V739" s="1" t="s">
        <v>6621</v>
      </c>
      <c r="W739" s="1" t="s">
        <v>74</v>
      </c>
      <c r="X739" s="1" t="s">
        <v>74</v>
      </c>
      <c r="Y739" s="1" t="s">
        <v>74</v>
      </c>
      <c r="Z739" s="1" t="s">
        <v>74</v>
      </c>
      <c r="AA739" s="1" t="s">
        <v>74</v>
      </c>
      <c r="AB739" s="1" t="s">
        <v>74</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969</v>
      </c>
      <c r="AP739" s="1" t="s">
        <v>970</v>
      </c>
      <c r="AQ739" s="1" t="s">
        <v>74</v>
      </c>
      <c r="AR739" s="1" t="s">
        <v>74</v>
      </c>
      <c r="AS739" s="1" t="s">
        <v>74</v>
      </c>
      <c r="AT739" s="1" t="s">
        <v>1255</v>
      </c>
      <c r="AU739" s="1">
        <v>2025.0</v>
      </c>
      <c r="AV739" s="1">
        <v>329.0</v>
      </c>
      <c r="AW739" s="1" t="s">
        <v>74</v>
      </c>
      <c r="AX739" s="1" t="s">
        <v>74</v>
      </c>
      <c r="AY739" s="1" t="s">
        <v>74</v>
      </c>
      <c r="AZ739" s="1" t="s">
        <v>74</v>
      </c>
      <c r="BA739" s="1" t="s">
        <v>74</v>
      </c>
      <c r="BB739" s="1" t="s">
        <v>74</v>
      </c>
      <c r="BC739" s="1" t="s">
        <v>74</v>
      </c>
      <c r="BD739" s="1">
        <v>114307.0</v>
      </c>
      <c r="BE739" s="1" t="s">
        <v>6622</v>
      </c>
      <c r="BF739" s="2" t="str">
        <f>HYPERLINK("http://dx.doi.org/10.1016/j.knosys.2025.114307","http://dx.doi.org/10.1016/j.knosys.2025.114307")</f>
        <v>http://dx.doi.org/10.1016/j.knosys.2025.114307</v>
      </c>
      <c r="BG739" s="1" t="s">
        <v>74</v>
      </c>
      <c r="BH739" s="1" t="s">
        <v>276</v>
      </c>
      <c r="BI739" s="1" t="s">
        <v>74</v>
      </c>
      <c r="BJ739" s="1" t="s">
        <v>74</v>
      </c>
      <c r="BK739" s="1" t="s">
        <v>74</v>
      </c>
      <c r="BL739" s="1" t="s">
        <v>174</v>
      </c>
      <c r="BM739" s="1" t="s">
        <v>74</v>
      </c>
      <c r="BN739" s="1" t="s">
        <v>74</v>
      </c>
      <c r="BO739" s="1" t="s">
        <v>74</v>
      </c>
      <c r="BP739" s="1" t="s">
        <v>74</v>
      </c>
      <c r="BQ739" s="1" t="s">
        <v>74</v>
      </c>
      <c r="BR739" s="1" t="s">
        <v>74</v>
      </c>
      <c r="BS739" s="1" t="s">
        <v>6623</v>
      </c>
      <c r="BT739" s="1" t="str">
        <f>HYPERLINK("https%3A%2F%2Fwww.webofscience.com%2Fwos%2Fwoscc%2Ffull-record%2FWOS:001607878500001","View Full Record in Web of Science")</f>
        <v>View Full Record in Web of Science</v>
      </c>
    </row>
    <row r="740" ht="12.75" customHeight="1">
      <c r="A740" s="1" t="s">
        <v>72</v>
      </c>
      <c r="B740" s="1" t="s">
        <v>6624</v>
      </c>
      <c r="C740" s="1" t="s">
        <v>74</v>
      </c>
      <c r="D740" s="1" t="s">
        <v>74</v>
      </c>
      <c r="E740" s="1" t="s">
        <v>74</v>
      </c>
      <c r="F740" s="1" t="s">
        <v>6625</v>
      </c>
      <c r="G740" s="1" t="s">
        <v>74</v>
      </c>
      <c r="H740" s="1" t="s">
        <v>74</v>
      </c>
      <c r="I740" s="1" t="s">
        <v>6626</v>
      </c>
      <c r="J740" s="1" t="s">
        <v>103</v>
      </c>
      <c r="K740" s="1" t="s">
        <v>74</v>
      </c>
      <c r="L740" s="1" t="s">
        <v>74</v>
      </c>
      <c r="M740" s="1" t="s">
        <v>74</v>
      </c>
      <c r="N740" s="1" t="s">
        <v>78</v>
      </c>
      <c r="O740" s="1" t="s">
        <v>74</v>
      </c>
      <c r="P740" s="1" t="s">
        <v>74</v>
      </c>
      <c r="Q740" s="1" t="s">
        <v>74</v>
      </c>
      <c r="R740" s="1" t="s">
        <v>74</v>
      </c>
      <c r="S740" s="1" t="s">
        <v>74</v>
      </c>
      <c r="T740" s="1" t="s">
        <v>6627</v>
      </c>
      <c r="U740" s="1" t="s">
        <v>6628</v>
      </c>
      <c r="V740" s="1" t="s">
        <v>6629</v>
      </c>
      <c r="W740" s="1" t="s">
        <v>74</v>
      </c>
      <c r="X740" s="1" t="s">
        <v>74</v>
      </c>
      <c r="Y740" s="1" t="s">
        <v>74</v>
      </c>
      <c r="Z740" s="1" t="s">
        <v>74</v>
      </c>
      <c r="AA740" s="1" t="s">
        <v>74</v>
      </c>
      <c r="AB740" s="1" t="s">
        <v>74</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107</v>
      </c>
      <c r="AP740" s="1" t="s">
        <v>108</v>
      </c>
      <c r="AQ740" s="1" t="s">
        <v>74</v>
      </c>
      <c r="AR740" s="1" t="s">
        <v>74</v>
      </c>
      <c r="AS740" s="1" t="s">
        <v>74</v>
      </c>
      <c r="AT740" s="1" t="s">
        <v>3336</v>
      </c>
      <c r="AU740" s="1">
        <v>2025.0</v>
      </c>
      <c r="AV740" s="1">
        <v>162.0</v>
      </c>
      <c r="AW740" s="1" t="s">
        <v>74</v>
      </c>
      <c r="AX740" s="1" t="s">
        <v>1693</v>
      </c>
      <c r="AY740" s="1" t="s">
        <v>74</v>
      </c>
      <c r="AZ740" s="1" t="s">
        <v>74</v>
      </c>
      <c r="BA740" s="1" t="s">
        <v>74</v>
      </c>
      <c r="BB740" s="1" t="s">
        <v>74</v>
      </c>
      <c r="BC740" s="1" t="s">
        <v>74</v>
      </c>
      <c r="BD740" s="1">
        <v>112448.0</v>
      </c>
      <c r="BE740" s="1" t="s">
        <v>6630</v>
      </c>
      <c r="BF740" s="2" t="str">
        <f>HYPERLINK("http://dx.doi.org/10.1016/j.engappai.2025.112448","http://dx.doi.org/10.1016/j.engappai.2025.112448")</f>
        <v>http://dx.doi.org/10.1016/j.engappai.2025.112448</v>
      </c>
      <c r="BG740" s="1" t="s">
        <v>74</v>
      </c>
      <c r="BH740" s="1" t="s">
        <v>811</v>
      </c>
      <c r="BI740" s="1" t="s">
        <v>74</v>
      </c>
      <c r="BJ740" s="1" t="s">
        <v>74</v>
      </c>
      <c r="BK740" s="1" t="s">
        <v>74</v>
      </c>
      <c r="BL740" s="1" t="s">
        <v>113</v>
      </c>
      <c r="BM740" s="1" t="s">
        <v>74</v>
      </c>
      <c r="BN740" s="1" t="s">
        <v>74</v>
      </c>
      <c r="BO740" s="1" t="s">
        <v>114</v>
      </c>
      <c r="BP740" s="1" t="s">
        <v>74</v>
      </c>
      <c r="BQ740" s="1" t="s">
        <v>74</v>
      </c>
      <c r="BR740" s="1" t="s">
        <v>74</v>
      </c>
      <c r="BS740" s="1" t="s">
        <v>6631</v>
      </c>
      <c r="BT740" s="1" t="str">
        <f>HYPERLINK("https%3A%2F%2Fwww.webofscience.com%2Fwos%2Fwoscc%2Ffull-record%2FWOS:001592561200004","View Full Record in Web of Science")</f>
        <v>View Full Record in Web of Science</v>
      </c>
    </row>
    <row r="741" ht="12.75" customHeight="1">
      <c r="A741" s="1" t="s">
        <v>72</v>
      </c>
      <c r="B741" s="1" t="s">
        <v>6632</v>
      </c>
      <c r="C741" s="1" t="s">
        <v>74</v>
      </c>
      <c r="D741" s="1" t="s">
        <v>74</v>
      </c>
      <c r="E741" s="1" t="s">
        <v>74</v>
      </c>
      <c r="F741" s="1" t="s">
        <v>6633</v>
      </c>
      <c r="G741" s="1" t="s">
        <v>74</v>
      </c>
      <c r="H741" s="1" t="s">
        <v>74</v>
      </c>
      <c r="I741" s="1" t="s">
        <v>6634</v>
      </c>
      <c r="J741" s="1" t="s">
        <v>6635</v>
      </c>
      <c r="K741" s="1" t="s">
        <v>74</v>
      </c>
      <c r="L741" s="1" t="s">
        <v>74</v>
      </c>
      <c r="M741" s="1" t="s">
        <v>74</v>
      </c>
      <c r="N741" s="1" t="s">
        <v>78</v>
      </c>
      <c r="O741" s="1" t="s">
        <v>74</v>
      </c>
      <c r="P741" s="1" t="s">
        <v>74</v>
      </c>
      <c r="Q741" s="1" t="s">
        <v>74</v>
      </c>
      <c r="R741" s="1" t="s">
        <v>74</v>
      </c>
      <c r="S741" s="1" t="s">
        <v>74</v>
      </c>
      <c r="T741" s="1" t="s">
        <v>6636</v>
      </c>
      <c r="U741" s="1" t="s">
        <v>74</v>
      </c>
      <c r="V741" s="1" t="s">
        <v>6637</v>
      </c>
      <c r="W741" s="1" t="s">
        <v>74</v>
      </c>
      <c r="X741" s="1" t="s">
        <v>74</v>
      </c>
      <c r="Y741" s="1" t="s">
        <v>74</v>
      </c>
      <c r="Z741" s="1" t="s">
        <v>74</v>
      </c>
      <c r="AA741" s="1" t="s">
        <v>74</v>
      </c>
      <c r="AB741" s="1" t="s">
        <v>74</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6638</v>
      </c>
      <c r="AP741" s="1" t="s">
        <v>6639</v>
      </c>
      <c r="AQ741" s="1" t="s">
        <v>74</v>
      </c>
      <c r="AR741" s="1" t="s">
        <v>74</v>
      </c>
      <c r="AS741" s="1" t="s">
        <v>74</v>
      </c>
      <c r="AT741" s="1" t="s">
        <v>124</v>
      </c>
      <c r="AU741" s="1">
        <v>2025.0</v>
      </c>
      <c r="AV741" s="1">
        <v>14.0</v>
      </c>
      <c r="AW741" s="1">
        <v>4.0</v>
      </c>
      <c r="AX741" s="1" t="s">
        <v>74</v>
      </c>
      <c r="AY741" s="1" t="s">
        <v>74</v>
      </c>
      <c r="AZ741" s="1" t="s">
        <v>74</v>
      </c>
      <c r="BA741" s="1" t="s">
        <v>74</v>
      </c>
      <c r="BB741" s="1">
        <v>1214.0</v>
      </c>
      <c r="BC741" s="1">
        <v>1218.0</v>
      </c>
      <c r="BD741" s="1" t="s">
        <v>74</v>
      </c>
      <c r="BE741" s="1" t="s">
        <v>6640</v>
      </c>
      <c r="BF741" s="2" t="str">
        <f>HYPERLINK("http://dx.doi.org/10.1109/LWC.2025.3539638","http://dx.doi.org/10.1109/LWC.2025.3539638")</f>
        <v>http://dx.doi.org/10.1109/LWC.2025.3539638</v>
      </c>
      <c r="BG741" s="1" t="s">
        <v>74</v>
      </c>
      <c r="BH741" s="1" t="s">
        <v>74</v>
      </c>
      <c r="BI741" s="1" t="s">
        <v>74</v>
      </c>
      <c r="BJ741" s="1" t="s">
        <v>74</v>
      </c>
      <c r="BK741" s="1" t="s">
        <v>74</v>
      </c>
      <c r="BL741" s="1" t="s">
        <v>152</v>
      </c>
      <c r="BM741" s="1" t="s">
        <v>74</v>
      </c>
      <c r="BN741" s="1" t="s">
        <v>74</v>
      </c>
      <c r="BO741" s="1" t="s">
        <v>74</v>
      </c>
      <c r="BP741" s="1" t="s">
        <v>74</v>
      </c>
      <c r="BQ741" s="1" t="s">
        <v>74</v>
      </c>
      <c r="BR741" s="1" t="s">
        <v>74</v>
      </c>
      <c r="BS741" s="1" t="s">
        <v>6641</v>
      </c>
      <c r="BT741" s="1" t="str">
        <f>HYPERLINK("https%3A%2F%2Fwww.webofscience.com%2Fwos%2Fwoscc%2Ffull-record%2FWOS:001465463100005","View Full Record in Web of Science")</f>
        <v>View Full Record in Web of Science</v>
      </c>
    </row>
    <row r="742" ht="12.75" customHeight="1">
      <c r="A742" s="1" t="s">
        <v>72</v>
      </c>
      <c r="B742" s="1" t="s">
        <v>6642</v>
      </c>
      <c r="C742" s="1" t="s">
        <v>74</v>
      </c>
      <c r="D742" s="1" t="s">
        <v>74</v>
      </c>
      <c r="E742" s="1" t="s">
        <v>74</v>
      </c>
      <c r="F742" s="1" t="s">
        <v>6643</v>
      </c>
      <c r="G742" s="1" t="s">
        <v>74</v>
      </c>
      <c r="H742" s="1" t="s">
        <v>74</v>
      </c>
      <c r="I742" s="1" t="s">
        <v>6644</v>
      </c>
      <c r="J742" s="1" t="s">
        <v>881</v>
      </c>
      <c r="K742" s="1" t="s">
        <v>74</v>
      </c>
      <c r="L742" s="1" t="s">
        <v>74</v>
      </c>
      <c r="M742" s="1" t="s">
        <v>74</v>
      </c>
      <c r="N742" s="1" t="s">
        <v>158</v>
      </c>
      <c r="O742" s="1" t="s">
        <v>74</v>
      </c>
      <c r="P742" s="1" t="s">
        <v>74</v>
      </c>
      <c r="Q742" s="1" t="s">
        <v>74</v>
      </c>
      <c r="R742" s="1" t="s">
        <v>74</v>
      </c>
      <c r="S742" s="1" t="s">
        <v>74</v>
      </c>
      <c r="T742" s="1" t="s">
        <v>6645</v>
      </c>
      <c r="U742" s="1" t="s">
        <v>6646</v>
      </c>
      <c r="V742" s="1" t="s">
        <v>6647</v>
      </c>
      <c r="W742" s="1" t="s">
        <v>74</v>
      </c>
      <c r="X742" s="1" t="s">
        <v>74</v>
      </c>
      <c r="Y742" s="1" t="s">
        <v>74</v>
      </c>
      <c r="Z742" s="1" t="s">
        <v>74</v>
      </c>
      <c r="AA742" s="1" t="s">
        <v>74</v>
      </c>
      <c r="AB742" s="1" t="s">
        <v>74</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74</v>
      </c>
      <c r="AP742" s="1" t="s">
        <v>884</v>
      </c>
      <c r="AQ742" s="1" t="s">
        <v>74</v>
      </c>
      <c r="AR742" s="1" t="s">
        <v>74</v>
      </c>
      <c r="AS742" s="1" t="s">
        <v>74</v>
      </c>
      <c r="AT742" s="1" t="s">
        <v>1255</v>
      </c>
      <c r="AU742" s="1">
        <v>2025.0</v>
      </c>
      <c r="AV742" s="1">
        <v>16.0</v>
      </c>
      <c r="AW742" s="1">
        <v>11.0</v>
      </c>
      <c r="AX742" s="1" t="s">
        <v>74</v>
      </c>
      <c r="AY742" s="1" t="s">
        <v>74</v>
      </c>
      <c r="AZ742" s="1" t="s">
        <v>74</v>
      </c>
      <c r="BA742" s="1" t="s">
        <v>74</v>
      </c>
      <c r="BB742" s="1" t="s">
        <v>74</v>
      </c>
      <c r="BC742" s="1" t="s">
        <v>74</v>
      </c>
      <c r="BD742" s="1">
        <v>957.0</v>
      </c>
      <c r="BE742" s="1" t="s">
        <v>6648</v>
      </c>
      <c r="BF742" s="2" t="str">
        <f>HYPERLINK("http://dx.doi.org/10.3390/info16110957","http://dx.doi.org/10.3390/info16110957")</f>
        <v>http://dx.doi.org/10.3390/info16110957</v>
      </c>
      <c r="BG742" s="1" t="s">
        <v>74</v>
      </c>
      <c r="BH742" s="1" t="s">
        <v>74</v>
      </c>
      <c r="BI742" s="1" t="s">
        <v>74</v>
      </c>
      <c r="BJ742" s="1" t="s">
        <v>74</v>
      </c>
      <c r="BK742" s="1" t="s">
        <v>74</v>
      </c>
      <c r="BL742" s="1" t="s">
        <v>174</v>
      </c>
      <c r="BM742" s="1" t="s">
        <v>74</v>
      </c>
      <c r="BN742" s="1" t="s">
        <v>74</v>
      </c>
      <c r="BO742" s="1" t="s">
        <v>163</v>
      </c>
      <c r="BP742" s="1" t="s">
        <v>74</v>
      </c>
      <c r="BQ742" s="1" t="s">
        <v>74</v>
      </c>
      <c r="BR742" s="1" t="s">
        <v>74</v>
      </c>
      <c r="BS742" s="1" t="s">
        <v>6649</v>
      </c>
      <c r="BT742" s="1" t="str">
        <f>HYPERLINK("https%3A%2F%2Fwww.webofscience.com%2Fwos%2Fwoscc%2Ffull-record%2FWOS:001623917800001","View Full Record in Web of Science")</f>
        <v>View Full Record in Web of Science</v>
      </c>
    </row>
    <row r="743" ht="12.75" customHeight="1">
      <c r="A743" s="1" t="s">
        <v>72</v>
      </c>
      <c r="B743" s="1" t="s">
        <v>6650</v>
      </c>
      <c r="C743" s="1" t="s">
        <v>74</v>
      </c>
      <c r="D743" s="1" t="s">
        <v>74</v>
      </c>
      <c r="E743" s="1" t="s">
        <v>74</v>
      </c>
      <c r="F743" s="1" t="s">
        <v>6651</v>
      </c>
      <c r="G743" s="1" t="s">
        <v>74</v>
      </c>
      <c r="H743" s="1" t="s">
        <v>74</v>
      </c>
      <c r="I743" s="1" t="s">
        <v>6652</v>
      </c>
      <c r="J743" s="1" t="s">
        <v>6653</v>
      </c>
      <c r="K743" s="1" t="s">
        <v>74</v>
      </c>
      <c r="L743" s="1" t="s">
        <v>74</v>
      </c>
      <c r="M743" s="1" t="s">
        <v>74</v>
      </c>
      <c r="N743" s="1" t="s">
        <v>78</v>
      </c>
      <c r="O743" s="1" t="s">
        <v>74</v>
      </c>
      <c r="P743" s="1" t="s">
        <v>74</v>
      </c>
      <c r="Q743" s="1" t="s">
        <v>74</v>
      </c>
      <c r="R743" s="1" t="s">
        <v>74</v>
      </c>
      <c r="S743" s="1" t="s">
        <v>74</v>
      </c>
      <c r="T743" s="1" t="s">
        <v>6654</v>
      </c>
      <c r="U743" s="1" t="s">
        <v>74</v>
      </c>
      <c r="V743" s="1" t="s">
        <v>6655</v>
      </c>
      <c r="W743" s="1" t="s">
        <v>74</v>
      </c>
      <c r="X743" s="1" t="s">
        <v>74</v>
      </c>
      <c r="Y743" s="1" t="s">
        <v>74</v>
      </c>
      <c r="Z743" s="1" t="s">
        <v>74</v>
      </c>
      <c r="AA743" s="1" t="s">
        <v>74</v>
      </c>
      <c r="AB743" s="1" t="s">
        <v>74</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6656</v>
      </c>
      <c r="AP743" s="1" t="s">
        <v>6657</v>
      </c>
      <c r="AQ743" s="1" t="s">
        <v>74</v>
      </c>
      <c r="AR743" s="1" t="s">
        <v>74</v>
      </c>
      <c r="AS743" s="1" t="s">
        <v>74</v>
      </c>
      <c r="AT743" s="1" t="s">
        <v>6658</v>
      </c>
      <c r="AU743" s="1">
        <v>2025.0</v>
      </c>
      <c r="AV743" s="1">
        <v>18.0</v>
      </c>
      <c r="AW743" s="1">
        <v>6.0</v>
      </c>
      <c r="AX743" s="1" t="s">
        <v>74</v>
      </c>
      <c r="AY743" s="1" t="s">
        <v>74</v>
      </c>
      <c r="AZ743" s="1" t="s">
        <v>74</v>
      </c>
      <c r="BA743" s="1" t="s">
        <v>74</v>
      </c>
      <c r="BB743" s="1" t="s">
        <v>74</v>
      </c>
      <c r="BC743" s="1" t="s">
        <v>74</v>
      </c>
      <c r="BD743" s="1">
        <v>126.0</v>
      </c>
      <c r="BE743" s="1" t="s">
        <v>6659</v>
      </c>
      <c r="BF743" s="2" t="str">
        <f>HYPERLINK("http://dx.doi.org/10.1007/s12065-025-01113-y","http://dx.doi.org/10.1007/s12065-025-01113-y")</f>
        <v>http://dx.doi.org/10.1007/s12065-025-01113-y</v>
      </c>
      <c r="BG743" s="1" t="s">
        <v>74</v>
      </c>
      <c r="BH743" s="1" t="s">
        <v>74</v>
      </c>
      <c r="BI743" s="1" t="s">
        <v>74</v>
      </c>
      <c r="BJ743" s="1" t="s">
        <v>74</v>
      </c>
      <c r="BK743" s="1" t="s">
        <v>74</v>
      </c>
      <c r="BL743" s="1" t="s">
        <v>174</v>
      </c>
      <c r="BM743" s="1" t="s">
        <v>74</v>
      </c>
      <c r="BN743" s="1" t="s">
        <v>74</v>
      </c>
      <c r="BO743" s="1" t="s">
        <v>74</v>
      </c>
      <c r="BP743" s="1" t="s">
        <v>74</v>
      </c>
      <c r="BQ743" s="1" t="s">
        <v>74</v>
      </c>
      <c r="BR743" s="1" t="s">
        <v>74</v>
      </c>
      <c r="BS743" s="1" t="s">
        <v>6660</v>
      </c>
      <c r="BT743" s="1" t="str">
        <f>HYPERLINK("https%3A%2F%2Fwww.webofscience.com%2Fwos%2Fwoscc%2Ffull-record%2FWOS:001626508800003","View Full Record in Web of Science")</f>
        <v>View Full Record in Web of Science</v>
      </c>
    </row>
    <row r="744" ht="12.75" customHeight="1">
      <c r="A744" s="1" t="s">
        <v>72</v>
      </c>
      <c r="B744" s="1" t="s">
        <v>6661</v>
      </c>
      <c r="C744" s="1" t="s">
        <v>74</v>
      </c>
      <c r="D744" s="1" t="s">
        <v>74</v>
      </c>
      <c r="E744" s="1" t="s">
        <v>74</v>
      </c>
      <c r="F744" s="1" t="s">
        <v>6662</v>
      </c>
      <c r="G744" s="1" t="s">
        <v>74</v>
      </c>
      <c r="H744" s="1" t="s">
        <v>74</v>
      </c>
      <c r="I744" s="1" t="s">
        <v>6663</v>
      </c>
      <c r="J744" s="1" t="s">
        <v>2572</v>
      </c>
      <c r="K744" s="1" t="s">
        <v>74</v>
      </c>
      <c r="L744" s="1" t="s">
        <v>74</v>
      </c>
      <c r="M744" s="1" t="s">
        <v>74</v>
      </c>
      <c r="N744" s="1" t="s">
        <v>78</v>
      </c>
      <c r="O744" s="1" t="s">
        <v>74</v>
      </c>
      <c r="P744" s="1" t="s">
        <v>74</v>
      </c>
      <c r="Q744" s="1" t="s">
        <v>74</v>
      </c>
      <c r="R744" s="1" t="s">
        <v>74</v>
      </c>
      <c r="S744" s="1" t="s">
        <v>74</v>
      </c>
      <c r="T744" s="1" t="s">
        <v>6664</v>
      </c>
      <c r="U744" s="1" t="s">
        <v>6665</v>
      </c>
      <c r="V744" s="1" t="s">
        <v>6666</v>
      </c>
      <c r="W744" s="1" t="s">
        <v>74</v>
      </c>
      <c r="X744" s="1" t="s">
        <v>74</v>
      </c>
      <c r="Y744" s="1" t="s">
        <v>74</v>
      </c>
      <c r="Z744" s="1" t="s">
        <v>74</v>
      </c>
      <c r="AA744" s="1" t="s">
        <v>74</v>
      </c>
      <c r="AB744" s="1" t="s">
        <v>74</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2575</v>
      </c>
      <c r="AP744" s="1" t="s">
        <v>74</v>
      </c>
      <c r="AQ744" s="1" t="s">
        <v>74</v>
      </c>
      <c r="AR744" s="1" t="s">
        <v>74</v>
      </c>
      <c r="AS744" s="1" t="s">
        <v>74</v>
      </c>
      <c r="AT744" s="1" t="s">
        <v>6667</v>
      </c>
      <c r="AU744" s="1">
        <v>2022.0</v>
      </c>
      <c r="AV744" s="1">
        <v>9.0</v>
      </c>
      <c r="AW744" s="1">
        <v>17.0</v>
      </c>
      <c r="AX744" s="1" t="s">
        <v>74</v>
      </c>
      <c r="AY744" s="1" t="s">
        <v>74</v>
      </c>
      <c r="AZ744" s="1" t="s">
        <v>74</v>
      </c>
      <c r="BA744" s="1" t="s">
        <v>74</v>
      </c>
      <c r="BB744" s="1">
        <v>16259.0</v>
      </c>
      <c r="BC744" s="1">
        <v>16271.0</v>
      </c>
      <c r="BD744" s="1" t="s">
        <v>74</v>
      </c>
      <c r="BE744" s="1" t="s">
        <v>6668</v>
      </c>
      <c r="BF744" s="2" t="str">
        <f>HYPERLINK("http://dx.doi.org/10.1109/JIOT.2022.3150967","http://dx.doi.org/10.1109/JIOT.2022.3150967")</f>
        <v>http://dx.doi.org/10.1109/JIOT.2022.3150967</v>
      </c>
      <c r="BG744" s="1" t="s">
        <v>74</v>
      </c>
      <c r="BH744" s="1" t="s">
        <v>74</v>
      </c>
      <c r="BI744" s="1" t="s">
        <v>74</v>
      </c>
      <c r="BJ744" s="1" t="s">
        <v>74</v>
      </c>
      <c r="BK744" s="1" t="s">
        <v>74</v>
      </c>
      <c r="BL744" s="1" t="s">
        <v>152</v>
      </c>
      <c r="BM744" s="1" t="s">
        <v>74</v>
      </c>
      <c r="BN744" s="1" t="s">
        <v>74</v>
      </c>
      <c r="BO744" s="1" t="s">
        <v>74</v>
      </c>
      <c r="BP744" s="1" t="s">
        <v>74</v>
      </c>
      <c r="BQ744" s="1" t="s">
        <v>74</v>
      </c>
      <c r="BR744" s="1" t="s">
        <v>74</v>
      </c>
      <c r="BS744" s="1" t="s">
        <v>6669</v>
      </c>
      <c r="BT744" s="1" t="str">
        <f>HYPERLINK("https%3A%2F%2Fwww.webofscience.com%2Fwos%2Fwoscc%2Ffull-record%2FWOS:000846738200065","View Full Record in Web of Science")</f>
        <v>View Full Record in Web of Science</v>
      </c>
    </row>
    <row r="745" ht="12.75" customHeight="1">
      <c r="A745" s="1" t="s">
        <v>72</v>
      </c>
      <c r="B745" s="1" t="s">
        <v>6670</v>
      </c>
      <c r="C745" s="1" t="s">
        <v>74</v>
      </c>
      <c r="D745" s="1" t="s">
        <v>74</v>
      </c>
      <c r="E745" s="1" t="s">
        <v>74</v>
      </c>
      <c r="F745" s="1" t="s">
        <v>6671</v>
      </c>
      <c r="G745" s="1" t="s">
        <v>74</v>
      </c>
      <c r="H745" s="1" t="s">
        <v>74</v>
      </c>
      <c r="I745" s="1" t="s">
        <v>6672</v>
      </c>
      <c r="J745" s="1" t="s">
        <v>1813</v>
      </c>
      <c r="K745" s="1" t="s">
        <v>74</v>
      </c>
      <c r="L745" s="1" t="s">
        <v>74</v>
      </c>
      <c r="M745" s="1" t="s">
        <v>74</v>
      </c>
      <c r="N745" s="1" t="s">
        <v>78</v>
      </c>
      <c r="O745" s="1" t="s">
        <v>74</v>
      </c>
      <c r="P745" s="1" t="s">
        <v>74</v>
      </c>
      <c r="Q745" s="1" t="s">
        <v>74</v>
      </c>
      <c r="R745" s="1" t="s">
        <v>74</v>
      </c>
      <c r="S745" s="1" t="s">
        <v>74</v>
      </c>
      <c r="T745" s="1" t="s">
        <v>6673</v>
      </c>
      <c r="U745" s="1" t="s">
        <v>74</v>
      </c>
      <c r="V745" s="1" t="s">
        <v>6674</v>
      </c>
      <c r="W745" s="1" t="s">
        <v>74</v>
      </c>
      <c r="X745" s="1" t="s">
        <v>74</v>
      </c>
      <c r="Y745" s="1" t="s">
        <v>74</v>
      </c>
      <c r="Z745" s="1" t="s">
        <v>74</v>
      </c>
      <c r="AA745" s="1" t="s">
        <v>74</v>
      </c>
      <c r="AB745" s="1" t="s">
        <v>74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74</v>
      </c>
      <c r="AP745" s="1" t="s">
        <v>1816</v>
      </c>
      <c r="AQ745" s="1" t="s">
        <v>74</v>
      </c>
      <c r="AR745" s="1" t="s">
        <v>74</v>
      </c>
      <c r="AS745" s="1" t="s">
        <v>74</v>
      </c>
      <c r="AT745" s="1" t="s">
        <v>688</v>
      </c>
      <c r="AU745" s="1">
        <v>2024.0</v>
      </c>
      <c r="AV745" s="1">
        <v>6.0</v>
      </c>
      <c r="AW745" s="1">
        <v>1.0</v>
      </c>
      <c r="AX745" s="1" t="s">
        <v>74</v>
      </c>
      <c r="AY745" s="1" t="s">
        <v>74</v>
      </c>
      <c r="AZ745" s="1" t="s">
        <v>74</v>
      </c>
      <c r="BA745" s="1" t="s">
        <v>74</v>
      </c>
      <c r="BB745" s="1">
        <v>233.0</v>
      </c>
      <c r="BC745" s="1">
        <v>258.0</v>
      </c>
      <c r="BD745" s="1" t="s">
        <v>74</v>
      </c>
      <c r="BE745" s="1" t="s">
        <v>6675</v>
      </c>
      <c r="BF745" s="2" t="str">
        <f>HYPERLINK("http://dx.doi.org/10.3390/make6010013","http://dx.doi.org/10.3390/make6010013")</f>
        <v>http://dx.doi.org/10.3390/make6010013</v>
      </c>
      <c r="BG745" s="1" t="s">
        <v>74</v>
      </c>
      <c r="BH745" s="1" t="s">
        <v>74</v>
      </c>
      <c r="BI745" s="1" t="s">
        <v>74</v>
      </c>
      <c r="BJ745" s="1" t="s">
        <v>74</v>
      </c>
      <c r="BK745" s="1" t="s">
        <v>74</v>
      </c>
      <c r="BL745" s="1" t="s">
        <v>98</v>
      </c>
      <c r="BM745" s="1" t="s">
        <v>74</v>
      </c>
      <c r="BN745" s="1" t="s">
        <v>74</v>
      </c>
      <c r="BO745" s="1" t="s">
        <v>153</v>
      </c>
      <c r="BP745" s="1" t="s">
        <v>74</v>
      </c>
      <c r="BQ745" s="1" t="s">
        <v>74</v>
      </c>
      <c r="BR745" s="1" t="s">
        <v>74</v>
      </c>
      <c r="BS745" s="1" t="s">
        <v>6676</v>
      </c>
      <c r="BT745" s="1" t="str">
        <f>HYPERLINK("https%3A%2F%2Fwww.webofscience.com%2Fwos%2Fwoscc%2Ffull-record%2FWOS:001192735600001","View Full Record in Web of Science")</f>
        <v>View Full Record in Web of Science</v>
      </c>
    </row>
    <row r="746" ht="12.75" customHeight="1">
      <c r="A746" s="1" t="s">
        <v>72</v>
      </c>
      <c r="B746" s="1" t="s">
        <v>6677</v>
      </c>
      <c r="C746" s="1" t="s">
        <v>74</v>
      </c>
      <c r="D746" s="1" t="s">
        <v>74</v>
      </c>
      <c r="E746" s="1" t="s">
        <v>74</v>
      </c>
      <c r="F746" s="1" t="s">
        <v>6678</v>
      </c>
      <c r="G746" s="1" t="s">
        <v>74</v>
      </c>
      <c r="H746" s="1" t="s">
        <v>74</v>
      </c>
      <c r="I746" s="1" t="s">
        <v>6679</v>
      </c>
      <c r="J746" s="1" t="s">
        <v>5219</v>
      </c>
      <c r="K746" s="1" t="s">
        <v>74</v>
      </c>
      <c r="L746" s="1" t="s">
        <v>74</v>
      </c>
      <c r="M746" s="1" t="s">
        <v>74</v>
      </c>
      <c r="N746" s="1" t="s">
        <v>78</v>
      </c>
      <c r="O746" s="1" t="s">
        <v>74</v>
      </c>
      <c r="P746" s="1" t="s">
        <v>74</v>
      </c>
      <c r="Q746" s="1" t="s">
        <v>74</v>
      </c>
      <c r="R746" s="1" t="s">
        <v>74</v>
      </c>
      <c r="S746" s="1" t="s">
        <v>74</v>
      </c>
      <c r="T746" s="1" t="s">
        <v>6680</v>
      </c>
      <c r="U746" s="1" t="s">
        <v>6681</v>
      </c>
      <c r="V746" s="1" t="s">
        <v>6682</v>
      </c>
      <c r="W746" s="1" t="s">
        <v>74</v>
      </c>
      <c r="X746" s="1" t="s">
        <v>74</v>
      </c>
      <c r="Y746" s="1" t="s">
        <v>74</v>
      </c>
      <c r="Z746" s="1" t="s">
        <v>74</v>
      </c>
      <c r="AA746" s="1" t="s">
        <v>74</v>
      </c>
      <c r="AB746" s="1" t="s">
        <v>74</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5223</v>
      </c>
      <c r="AP746" s="1" t="s">
        <v>5224</v>
      </c>
      <c r="AQ746" s="1" t="s">
        <v>74</v>
      </c>
      <c r="AR746" s="1" t="s">
        <v>74</v>
      </c>
      <c r="AS746" s="1" t="s">
        <v>74</v>
      </c>
      <c r="AT746" s="1" t="s">
        <v>1255</v>
      </c>
      <c r="AU746" s="1">
        <v>2024.0</v>
      </c>
      <c r="AV746" s="1">
        <v>62.0</v>
      </c>
      <c r="AW746" s="1">
        <v>4.0</v>
      </c>
      <c r="AX746" s="1" t="s">
        <v>74</v>
      </c>
      <c r="AY746" s="1" t="s">
        <v>74</v>
      </c>
      <c r="AZ746" s="1" t="s">
        <v>74</v>
      </c>
      <c r="BA746" s="1" t="s">
        <v>74</v>
      </c>
      <c r="BB746" s="1">
        <v>573.0</v>
      </c>
      <c r="BC746" s="1">
        <v>587.0</v>
      </c>
      <c r="BD746" s="1" t="s">
        <v>74</v>
      </c>
      <c r="BE746" s="1" t="s">
        <v>6683</v>
      </c>
      <c r="BF746" s="2" t="str">
        <f>HYPERLINK("http://dx.doi.org/10.1080/03155986.2024.2385189","http://dx.doi.org/10.1080/03155986.2024.2385189")</f>
        <v>http://dx.doi.org/10.1080/03155986.2024.2385189</v>
      </c>
      <c r="BG746" s="1" t="s">
        <v>74</v>
      </c>
      <c r="BH746" s="1" t="s">
        <v>3887</v>
      </c>
      <c r="BI746" s="1" t="s">
        <v>74</v>
      </c>
      <c r="BJ746" s="1" t="s">
        <v>74</v>
      </c>
      <c r="BK746" s="1" t="s">
        <v>74</v>
      </c>
      <c r="BL746" s="1" t="s">
        <v>3162</v>
      </c>
      <c r="BM746" s="1" t="s">
        <v>74</v>
      </c>
      <c r="BN746" s="1" t="s">
        <v>74</v>
      </c>
      <c r="BO746" s="1" t="s">
        <v>74</v>
      </c>
      <c r="BP746" s="1" t="s">
        <v>74</v>
      </c>
      <c r="BQ746" s="1" t="s">
        <v>74</v>
      </c>
      <c r="BR746" s="1" t="s">
        <v>74</v>
      </c>
      <c r="BS746" s="1" t="s">
        <v>6684</v>
      </c>
      <c r="BT746" s="1" t="str">
        <f>HYPERLINK("https%3A%2F%2Fwww.webofscience.com%2Fwos%2Fwoscc%2Ffull-record%2FWOS:001290745400001","View Full Record in Web of Science")</f>
        <v>View Full Record in Web of Science</v>
      </c>
    </row>
    <row r="747" ht="12.75" customHeight="1">
      <c r="A747" s="1" t="s">
        <v>72</v>
      </c>
      <c r="B747" s="1" t="s">
        <v>6685</v>
      </c>
      <c r="C747" s="1" t="s">
        <v>74</v>
      </c>
      <c r="D747" s="1" t="s">
        <v>74</v>
      </c>
      <c r="E747" s="1" t="s">
        <v>74</v>
      </c>
      <c r="F747" s="1" t="s">
        <v>6686</v>
      </c>
      <c r="G747" s="1" t="s">
        <v>74</v>
      </c>
      <c r="H747" s="1" t="s">
        <v>74</v>
      </c>
      <c r="I747" s="1" t="s">
        <v>6687</v>
      </c>
      <c r="J747" s="1" t="s">
        <v>2740</v>
      </c>
      <c r="K747" s="1" t="s">
        <v>74</v>
      </c>
      <c r="L747" s="1" t="s">
        <v>74</v>
      </c>
      <c r="M747" s="1" t="s">
        <v>74</v>
      </c>
      <c r="N747" s="1" t="s">
        <v>158</v>
      </c>
      <c r="O747" s="1" t="s">
        <v>74</v>
      </c>
      <c r="P747" s="1" t="s">
        <v>74</v>
      </c>
      <c r="Q747" s="1" t="s">
        <v>74</v>
      </c>
      <c r="R747" s="1" t="s">
        <v>74</v>
      </c>
      <c r="S747" s="1" t="s">
        <v>74</v>
      </c>
      <c r="T747" s="1" t="s">
        <v>6688</v>
      </c>
      <c r="U747" s="1" t="s">
        <v>74</v>
      </c>
      <c r="V747" s="1" t="s">
        <v>6689</v>
      </c>
      <c r="W747" s="1" t="s">
        <v>74</v>
      </c>
      <c r="X747" s="1" t="s">
        <v>74</v>
      </c>
      <c r="Y747" s="1" t="s">
        <v>74</v>
      </c>
      <c r="Z747" s="1" t="s">
        <v>74</v>
      </c>
      <c r="AA747" s="1" t="s">
        <v>74</v>
      </c>
      <c r="AB747" s="1" t="s">
        <v>74</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74</v>
      </c>
      <c r="AP747" s="1" t="s">
        <v>2743</v>
      </c>
      <c r="AQ747" s="1" t="s">
        <v>74</v>
      </c>
      <c r="AR747" s="1" t="s">
        <v>74</v>
      </c>
      <c r="AS747" s="1" t="s">
        <v>74</v>
      </c>
      <c r="AT747" s="1" t="s">
        <v>3918</v>
      </c>
      <c r="AU747" s="1">
        <v>2024.0</v>
      </c>
      <c r="AV747" s="1">
        <v>7.0</v>
      </c>
      <c r="AW747" s="1" t="s">
        <v>74</v>
      </c>
      <c r="AX747" s="1" t="s">
        <v>74</v>
      </c>
      <c r="AY747" s="1" t="s">
        <v>74</v>
      </c>
      <c r="AZ747" s="1" t="s">
        <v>74</v>
      </c>
      <c r="BA747" s="1" t="s">
        <v>74</v>
      </c>
      <c r="BB747" s="1" t="s">
        <v>74</v>
      </c>
      <c r="BC747" s="1" t="s">
        <v>74</v>
      </c>
      <c r="BD747" s="1">
        <v>28.0</v>
      </c>
      <c r="BE747" s="1" t="s">
        <v>6690</v>
      </c>
      <c r="BF747" s="2" t="str">
        <f>HYPERLINK("http://dx.doi.org/10.21037/jmai-24-152","http://dx.doi.org/10.21037/jmai-24-152")</f>
        <v>http://dx.doi.org/10.21037/jmai-24-152</v>
      </c>
      <c r="BG747" s="1" t="s">
        <v>74</v>
      </c>
      <c r="BH747" s="1" t="s">
        <v>74</v>
      </c>
      <c r="BI747" s="1" t="s">
        <v>74</v>
      </c>
      <c r="BJ747" s="1" t="s">
        <v>74</v>
      </c>
      <c r="BK747" s="1" t="s">
        <v>74</v>
      </c>
      <c r="BL747" s="1" t="s">
        <v>823</v>
      </c>
      <c r="BM747" s="1" t="s">
        <v>74</v>
      </c>
      <c r="BN747" s="1" t="s">
        <v>74</v>
      </c>
      <c r="BO747" s="1" t="s">
        <v>163</v>
      </c>
      <c r="BP747" s="1" t="s">
        <v>74</v>
      </c>
      <c r="BQ747" s="1" t="s">
        <v>74</v>
      </c>
      <c r="BR747" s="1" t="s">
        <v>74</v>
      </c>
      <c r="BS747" s="1" t="s">
        <v>6691</v>
      </c>
      <c r="BT747" s="1" t="str">
        <f>HYPERLINK("https%3A%2F%2Fwww.webofscience.com%2Fwos%2Fwoscc%2Ffull-record%2FWOS:001538057400039","View Full Record in Web of Science")</f>
        <v>View Full Record in Web of Science</v>
      </c>
    </row>
    <row r="748" ht="12.75" customHeight="1">
      <c r="A748" s="1" t="s">
        <v>72</v>
      </c>
      <c r="B748" s="1" t="s">
        <v>6692</v>
      </c>
      <c r="C748" s="1" t="s">
        <v>74</v>
      </c>
      <c r="D748" s="1" t="s">
        <v>74</v>
      </c>
      <c r="E748" s="1" t="s">
        <v>74</v>
      </c>
      <c r="F748" s="1" t="s">
        <v>6693</v>
      </c>
      <c r="G748" s="1" t="s">
        <v>74</v>
      </c>
      <c r="H748" s="1" t="s">
        <v>74</v>
      </c>
      <c r="I748" s="1" t="s">
        <v>6694</v>
      </c>
      <c r="J748" s="1" t="s">
        <v>3497</v>
      </c>
      <c r="K748" s="1" t="s">
        <v>74</v>
      </c>
      <c r="L748" s="1" t="s">
        <v>74</v>
      </c>
      <c r="M748" s="1" t="s">
        <v>74</v>
      </c>
      <c r="N748" s="1" t="s">
        <v>78</v>
      </c>
      <c r="O748" s="1" t="s">
        <v>74</v>
      </c>
      <c r="P748" s="1" t="s">
        <v>74</v>
      </c>
      <c r="Q748" s="1" t="s">
        <v>74</v>
      </c>
      <c r="R748" s="1" t="s">
        <v>74</v>
      </c>
      <c r="S748" s="1" t="s">
        <v>74</v>
      </c>
      <c r="T748" s="1" t="s">
        <v>6695</v>
      </c>
      <c r="U748" s="1" t="s">
        <v>74</v>
      </c>
      <c r="V748" s="1" t="s">
        <v>6696</v>
      </c>
      <c r="W748" s="1" t="s">
        <v>74</v>
      </c>
      <c r="X748" s="1" t="s">
        <v>74</v>
      </c>
      <c r="Y748" s="1" t="s">
        <v>74</v>
      </c>
      <c r="Z748" s="1" t="s">
        <v>74</v>
      </c>
      <c r="AA748" s="1" t="s">
        <v>74</v>
      </c>
      <c r="AB748" s="1" t="s">
        <v>74</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3500</v>
      </c>
      <c r="AP748" s="1" t="s">
        <v>3501</v>
      </c>
      <c r="AQ748" s="1" t="s">
        <v>74</v>
      </c>
      <c r="AR748" s="1" t="s">
        <v>74</v>
      </c>
      <c r="AS748" s="1" t="s">
        <v>74</v>
      </c>
      <c r="AT748" s="1" t="s">
        <v>736</v>
      </c>
      <c r="AU748" s="1">
        <v>2026.0</v>
      </c>
      <c r="AV748" s="1">
        <v>193.0</v>
      </c>
      <c r="AW748" s="1" t="s">
        <v>74</v>
      </c>
      <c r="AX748" s="1" t="s">
        <v>74</v>
      </c>
      <c r="AY748" s="1" t="s">
        <v>74</v>
      </c>
      <c r="AZ748" s="1" t="s">
        <v>74</v>
      </c>
      <c r="BA748" s="1" t="s">
        <v>74</v>
      </c>
      <c r="BB748" s="1" t="s">
        <v>74</v>
      </c>
      <c r="BC748" s="1" t="s">
        <v>74</v>
      </c>
      <c r="BD748" s="1">
        <v>107997.0</v>
      </c>
      <c r="BE748" s="1" t="s">
        <v>6697</v>
      </c>
      <c r="BF748" s="2" t="str">
        <f>HYPERLINK("http://dx.doi.org/10.1016/j.neunet.2025.107997","http://dx.doi.org/10.1016/j.neunet.2025.107997")</f>
        <v>http://dx.doi.org/10.1016/j.neunet.2025.107997</v>
      </c>
      <c r="BG748" s="1" t="s">
        <v>74</v>
      </c>
      <c r="BH748" s="1" t="s">
        <v>276</v>
      </c>
      <c r="BI748" s="1" t="s">
        <v>74</v>
      </c>
      <c r="BJ748" s="1" t="s">
        <v>74</v>
      </c>
      <c r="BK748" s="1" t="s">
        <v>74</v>
      </c>
      <c r="BL748" s="1" t="s">
        <v>1460</v>
      </c>
      <c r="BM748" s="1" t="s">
        <v>74</v>
      </c>
      <c r="BN748" s="1" t="s">
        <v>74</v>
      </c>
      <c r="BO748" s="1" t="s">
        <v>74</v>
      </c>
      <c r="BP748" s="1" t="s">
        <v>74</v>
      </c>
      <c r="BQ748" s="1" t="s">
        <v>74</v>
      </c>
      <c r="BR748" s="1" t="s">
        <v>74</v>
      </c>
      <c r="BS748" s="1" t="s">
        <v>6698</v>
      </c>
      <c r="BT748" s="1" t="str">
        <f>HYPERLINK("https%3A%2F%2Fwww.webofscience.com%2Fwos%2Fwoscc%2Ffull-record%2FWOS:001582917900003","View Full Record in Web of Science")</f>
        <v>View Full Record in Web of Science</v>
      </c>
    </row>
    <row r="749" ht="12.75" customHeight="1">
      <c r="A749" s="1" t="s">
        <v>72</v>
      </c>
      <c r="B749" s="1" t="s">
        <v>6699</v>
      </c>
      <c r="C749" s="1" t="s">
        <v>74</v>
      </c>
      <c r="D749" s="1" t="s">
        <v>74</v>
      </c>
      <c r="E749" s="1" t="s">
        <v>74</v>
      </c>
      <c r="F749" s="1" t="s">
        <v>6700</v>
      </c>
      <c r="G749" s="1" t="s">
        <v>74</v>
      </c>
      <c r="H749" s="1" t="s">
        <v>74</v>
      </c>
      <c r="I749" s="1" t="s">
        <v>6701</v>
      </c>
      <c r="J749" s="1" t="s">
        <v>2868</v>
      </c>
      <c r="K749" s="1" t="s">
        <v>74</v>
      </c>
      <c r="L749" s="1" t="s">
        <v>74</v>
      </c>
      <c r="M749" s="1" t="s">
        <v>74</v>
      </c>
      <c r="N749" s="1" t="s">
        <v>78</v>
      </c>
      <c r="O749" s="1" t="s">
        <v>74</v>
      </c>
      <c r="P749" s="1" t="s">
        <v>74</v>
      </c>
      <c r="Q749" s="1" t="s">
        <v>74</v>
      </c>
      <c r="R749" s="1" t="s">
        <v>74</v>
      </c>
      <c r="S749" s="1" t="s">
        <v>74</v>
      </c>
      <c r="T749" s="1" t="s">
        <v>6702</v>
      </c>
      <c r="U749" s="1" t="s">
        <v>74</v>
      </c>
      <c r="V749" s="1" t="s">
        <v>6703</v>
      </c>
      <c r="W749" s="1" t="s">
        <v>74</v>
      </c>
      <c r="X749" s="1" t="s">
        <v>74</v>
      </c>
      <c r="Y749" s="1" t="s">
        <v>74</v>
      </c>
      <c r="Z749" s="1" t="s">
        <v>74</v>
      </c>
      <c r="AA749" s="1" t="s">
        <v>74</v>
      </c>
      <c r="AB749" s="1" t="s">
        <v>74</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2871</v>
      </c>
      <c r="AP749" s="1" t="s">
        <v>2872</v>
      </c>
      <c r="AQ749" s="1" t="s">
        <v>74</v>
      </c>
      <c r="AR749" s="1" t="s">
        <v>74</v>
      </c>
      <c r="AS749" s="1" t="s">
        <v>74</v>
      </c>
      <c r="AT749" s="1" t="s">
        <v>172</v>
      </c>
      <c r="AU749" s="1">
        <v>2025.0</v>
      </c>
      <c r="AV749" s="1">
        <v>62.0</v>
      </c>
      <c r="AW749" s="1">
        <v>6.0</v>
      </c>
      <c r="AX749" s="1" t="s">
        <v>74</v>
      </c>
      <c r="AY749" s="1" t="s">
        <v>74</v>
      </c>
      <c r="AZ749" s="1" t="s">
        <v>74</v>
      </c>
      <c r="BA749" s="1" t="s">
        <v>74</v>
      </c>
      <c r="BB749" s="1" t="s">
        <v>74</v>
      </c>
      <c r="BC749" s="1" t="s">
        <v>74</v>
      </c>
      <c r="BD749" s="1">
        <v>104241.0</v>
      </c>
      <c r="BE749" s="1" t="s">
        <v>6704</v>
      </c>
      <c r="BF749" s="2" t="str">
        <f>HYPERLINK("http://dx.doi.org/10.1016/j.ipm.2025.104241","http://dx.doi.org/10.1016/j.ipm.2025.104241")</f>
        <v>http://dx.doi.org/10.1016/j.ipm.2025.104241</v>
      </c>
      <c r="BG749" s="1" t="s">
        <v>74</v>
      </c>
      <c r="BH749" s="1" t="s">
        <v>973</v>
      </c>
      <c r="BI749" s="1" t="s">
        <v>74</v>
      </c>
      <c r="BJ749" s="1" t="s">
        <v>74</v>
      </c>
      <c r="BK749" s="1" t="s">
        <v>74</v>
      </c>
      <c r="BL749" s="1" t="s">
        <v>2874</v>
      </c>
      <c r="BM749" s="1" t="s">
        <v>74</v>
      </c>
      <c r="BN749" s="1" t="s">
        <v>74</v>
      </c>
      <c r="BO749" s="1" t="s">
        <v>114</v>
      </c>
      <c r="BP749" s="1" t="s">
        <v>74</v>
      </c>
      <c r="BQ749" s="1" t="s">
        <v>74</v>
      </c>
      <c r="BR749" s="1" t="s">
        <v>74</v>
      </c>
      <c r="BS749" s="1" t="s">
        <v>6705</v>
      </c>
      <c r="BT749" s="1" t="str">
        <f>HYPERLINK("https%3A%2F%2Fwww.webofscience.com%2Fwos%2Fwoscc%2Ffull-record%2FWOS:001525828500001","View Full Record in Web of Science")</f>
        <v>View Full Record in Web of Science</v>
      </c>
    </row>
    <row r="750" ht="12.75" customHeight="1">
      <c r="A750" s="1" t="s">
        <v>72</v>
      </c>
      <c r="B750" s="1" t="s">
        <v>6706</v>
      </c>
      <c r="C750" s="1" t="s">
        <v>74</v>
      </c>
      <c r="D750" s="1" t="s">
        <v>74</v>
      </c>
      <c r="E750" s="1" t="s">
        <v>74</v>
      </c>
      <c r="F750" s="1" t="s">
        <v>6707</v>
      </c>
      <c r="G750" s="1" t="s">
        <v>74</v>
      </c>
      <c r="H750" s="1" t="s">
        <v>74</v>
      </c>
      <c r="I750" s="1" t="s">
        <v>6708</v>
      </c>
      <c r="J750" s="1" t="s">
        <v>147</v>
      </c>
      <c r="K750" s="1" t="s">
        <v>74</v>
      </c>
      <c r="L750" s="1" t="s">
        <v>74</v>
      </c>
      <c r="M750" s="1" t="s">
        <v>74</v>
      </c>
      <c r="N750" s="1" t="s">
        <v>78</v>
      </c>
      <c r="O750" s="1" t="s">
        <v>74</v>
      </c>
      <c r="P750" s="1" t="s">
        <v>74</v>
      </c>
      <c r="Q750" s="1" t="s">
        <v>74</v>
      </c>
      <c r="R750" s="1" t="s">
        <v>74</v>
      </c>
      <c r="S750" s="1" t="s">
        <v>74</v>
      </c>
      <c r="T750" s="1" t="s">
        <v>6709</v>
      </c>
      <c r="U750" s="1" t="s">
        <v>74</v>
      </c>
      <c r="V750" s="1" t="s">
        <v>6710</v>
      </c>
      <c r="W750" s="1" t="s">
        <v>74</v>
      </c>
      <c r="X750" s="1" t="s">
        <v>74</v>
      </c>
      <c r="Y750" s="1" t="s">
        <v>74</v>
      </c>
      <c r="Z750" s="1" t="s">
        <v>74</v>
      </c>
      <c r="AA750" s="1" t="s">
        <v>74</v>
      </c>
      <c r="AB750" s="1" t="s">
        <v>74</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150</v>
      </c>
      <c r="AP750" s="1" t="s">
        <v>74</v>
      </c>
      <c r="AQ750" s="1" t="s">
        <v>74</v>
      </c>
      <c r="AR750" s="1" t="s">
        <v>74</v>
      </c>
      <c r="AS750" s="1" t="s">
        <v>74</v>
      </c>
      <c r="AT750" s="1" t="s">
        <v>74</v>
      </c>
      <c r="AU750" s="1">
        <v>2024.0</v>
      </c>
      <c r="AV750" s="1">
        <v>12.0</v>
      </c>
      <c r="AW750" s="1" t="s">
        <v>74</v>
      </c>
      <c r="AX750" s="1" t="s">
        <v>74</v>
      </c>
      <c r="AY750" s="1" t="s">
        <v>74</v>
      </c>
      <c r="AZ750" s="1" t="s">
        <v>74</v>
      </c>
      <c r="BA750" s="1" t="s">
        <v>74</v>
      </c>
      <c r="BB750" s="1">
        <v>120553.0</v>
      </c>
      <c r="BC750" s="1">
        <v>120569.0</v>
      </c>
      <c r="BD750" s="1" t="s">
        <v>74</v>
      </c>
      <c r="BE750" s="1" t="s">
        <v>6711</v>
      </c>
      <c r="BF750" s="2" t="str">
        <f>HYPERLINK("http://dx.doi.org/10.1109/ACCESS.2024.3406469","http://dx.doi.org/10.1109/ACCESS.2024.3406469")</f>
        <v>http://dx.doi.org/10.1109/ACCESS.2024.3406469</v>
      </c>
      <c r="BG750" s="1" t="s">
        <v>74</v>
      </c>
      <c r="BH750" s="1" t="s">
        <v>74</v>
      </c>
      <c r="BI750" s="1" t="s">
        <v>74</v>
      </c>
      <c r="BJ750" s="1" t="s">
        <v>74</v>
      </c>
      <c r="BK750" s="1" t="s">
        <v>74</v>
      </c>
      <c r="BL750" s="1" t="s">
        <v>152</v>
      </c>
      <c r="BM750" s="1" t="s">
        <v>74</v>
      </c>
      <c r="BN750" s="1" t="s">
        <v>74</v>
      </c>
      <c r="BO750" s="1" t="s">
        <v>153</v>
      </c>
      <c r="BP750" s="1" t="s">
        <v>74</v>
      </c>
      <c r="BQ750" s="1" t="s">
        <v>74</v>
      </c>
      <c r="BR750" s="1" t="s">
        <v>74</v>
      </c>
      <c r="BS750" s="1" t="s">
        <v>6712</v>
      </c>
      <c r="BT750" s="1" t="str">
        <f>HYPERLINK("https%3A%2F%2Fwww.webofscience.com%2Fwos%2Fwoscc%2Ffull-record%2FWOS:001308179200001","View Full Record in Web of Science")</f>
        <v>View Full Record in Web of Science</v>
      </c>
    </row>
    <row r="751" ht="12.75" customHeight="1">
      <c r="A751" s="1" t="s">
        <v>72</v>
      </c>
      <c r="B751" s="1" t="s">
        <v>6713</v>
      </c>
      <c r="C751" s="1" t="s">
        <v>74</v>
      </c>
      <c r="D751" s="1" t="s">
        <v>74</v>
      </c>
      <c r="E751" s="1" t="s">
        <v>74</v>
      </c>
      <c r="F751" s="1" t="s">
        <v>6714</v>
      </c>
      <c r="G751" s="1" t="s">
        <v>74</v>
      </c>
      <c r="H751" s="1" t="s">
        <v>74</v>
      </c>
      <c r="I751" s="1" t="s">
        <v>6715</v>
      </c>
      <c r="J751" s="1" t="s">
        <v>4837</v>
      </c>
      <c r="K751" s="1" t="s">
        <v>74</v>
      </c>
      <c r="L751" s="1" t="s">
        <v>74</v>
      </c>
      <c r="M751" s="1" t="s">
        <v>74</v>
      </c>
      <c r="N751" s="1" t="s">
        <v>78</v>
      </c>
      <c r="O751" s="1" t="s">
        <v>74</v>
      </c>
      <c r="P751" s="1" t="s">
        <v>74</v>
      </c>
      <c r="Q751" s="1" t="s">
        <v>74</v>
      </c>
      <c r="R751" s="1" t="s">
        <v>74</v>
      </c>
      <c r="S751" s="1" t="s">
        <v>74</v>
      </c>
      <c r="T751" s="1" t="s">
        <v>6716</v>
      </c>
      <c r="U751" s="1" t="s">
        <v>74</v>
      </c>
      <c r="V751" s="1" t="s">
        <v>6717</v>
      </c>
      <c r="W751" s="1" t="s">
        <v>74</v>
      </c>
      <c r="X751" s="1" t="s">
        <v>74</v>
      </c>
      <c r="Y751" s="1" t="s">
        <v>74</v>
      </c>
      <c r="Z751" s="1" t="s">
        <v>74</v>
      </c>
      <c r="AA751" s="1" t="s">
        <v>74</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4841</v>
      </c>
      <c r="AP751" s="1" t="s">
        <v>4842</v>
      </c>
      <c r="AQ751" s="1" t="s">
        <v>74</v>
      </c>
      <c r="AR751" s="1" t="s">
        <v>74</v>
      </c>
      <c r="AS751" s="1" t="s">
        <v>74</v>
      </c>
      <c r="AT751" s="1" t="s">
        <v>736</v>
      </c>
      <c r="AU751" s="1">
        <v>2026.0</v>
      </c>
      <c r="AV751" s="1">
        <v>273.0</v>
      </c>
      <c r="AW751" s="1" t="s">
        <v>74</v>
      </c>
      <c r="AX751" s="1" t="s">
        <v>74</v>
      </c>
      <c r="AY751" s="1" t="s">
        <v>74</v>
      </c>
      <c r="AZ751" s="1" t="s">
        <v>74</v>
      </c>
      <c r="BA751" s="1" t="s">
        <v>74</v>
      </c>
      <c r="BB751" s="1" t="s">
        <v>74</v>
      </c>
      <c r="BC751" s="1" t="s">
        <v>74</v>
      </c>
      <c r="BD751" s="1">
        <v>109078.0</v>
      </c>
      <c r="BE751" s="1" t="s">
        <v>6718</v>
      </c>
      <c r="BF751" s="2" t="str">
        <f>HYPERLINK("http://dx.doi.org/10.1016/j.cmpb.2025.109078","http://dx.doi.org/10.1016/j.cmpb.2025.109078")</f>
        <v>http://dx.doi.org/10.1016/j.cmpb.2025.109078</v>
      </c>
      <c r="BG751" s="1" t="s">
        <v>74</v>
      </c>
      <c r="BH751" s="1" t="s">
        <v>811</v>
      </c>
      <c r="BI751" s="1" t="s">
        <v>74</v>
      </c>
      <c r="BJ751" s="1" t="s">
        <v>74</v>
      </c>
      <c r="BK751" s="1" t="s">
        <v>74</v>
      </c>
      <c r="BL751" s="1" t="s">
        <v>4777</v>
      </c>
      <c r="BM751" s="1" t="s">
        <v>74</v>
      </c>
      <c r="BN751" s="1" t="s">
        <v>74</v>
      </c>
      <c r="BO751" s="1" t="s">
        <v>74</v>
      </c>
      <c r="BP751" s="1" t="s">
        <v>74</v>
      </c>
      <c r="BQ751" s="1" t="s">
        <v>74</v>
      </c>
      <c r="BR751" s="1" t="s">
        <v>74</v>
      </c>
      <c r="BS751" s="1" t="s">
        <v>6719</v>
      </c>
      <c r="BT751" s="1" t="str">
        <f>HYPERLINK("https%3A%2F%2Fwww.webofscience.com%2Fwos%2Fwoscc%2Ffull-record%2FWOS:001590221300002","View Full Record in Web of Science")</f>
        <v>View Full Record in Web of Science</v>
      </c>
    </row>
    <row r="752" ht="12.75" customHeight="1">
      <c r="A752" s="1" t="s">
        <v>72</v>
      </c>
      <c r="B752" s="1" t="s">
        <v>6720</v>
      </c>
      <c r="C752" s="1" t="s">
        <v>74</v>
      </c>
      <c r="D752" s="1" t="s">
        <v>74</v>
      </c>
      <c r="E752" s="1" t="s">
        <v>74</v>
      </c>
      <c r="F752" s="1" t="s">
        <v>6721</v>
      </c>
      <c r="G752" s="1" t="s">
        <v>74</v>
      </c>
      <c r="H752" s="1" t="s">
        <v>74</v>
      </c>
      <c r="I752" s="1" t="s">
        <v>6722</v>
      </c>
      <c r="J752" s="1" t="s">
        <v>6369</v>
      </c>
      <c r="K752" s="1" t="s">
        <v>74</v>
      </c>
      <c r="L752" s="1" t="s">
        <v>74</v>
      </c>
      <c r="M752" s="1" t="s">
        <v>74</v>
      </c>
      <c r="N752" s="1" t="s">
        <v>78</v>
      </c>
      <c r="O752" s="1" t="s">
        <v>74</v>
      </c>
      <c r="P752" s="1" t="s">
        <v>74</v>
      </c>
      <c r="Q752" s="1" t="s">
        <v>74</v>
      </c>
      <c r="R752" s="1" t="s">
        <v>74</v>
      </c>
      <c r="S752" s="1" t="s">
        <v>74</v>
      </c>
      <c r="T752" s="1" t="s">
        <v>6723</v>
      </c>
      <c r="U752" s="1" t="s">
        <v>74</v>
      </c>
      <c r="V752" s="1" t="s">
        <v>6724</v>
      </c>
      <c r="W752" s="1" t="s">
        <v>74</v>
      </c>
      <c r="X752" s="1" t="s">
        <v>74</v>
      </c>
      <c r="Y752" s="1" t="s">
        <v>74</v>
      </c>
      <c r="Z752" s="1" t="s">
        <v>74</v>
      </c>
      <c r="AA752" s="1" t="s">
        <v>74</v>
      </c>
      <c r="AB752" s="1" t="s">
        <v>74</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6373</v>
      </c>
      <c r="AP752" s="1" t="s">
        <v>6374</v>
      </c>
      <c r="AQ752" s="1" t="s">
        <v>74</v>
      </c>
      <c r="AR752" s="1" t="s">
        <v>74</v>
      </c>
      <c r="AS752" s="1" t="s">
        <v>74</v>
      </c>
      <c r="AT752" s="1" t="s">
        <v>262</v>
      </c>
      <c r="AU752" s="1">
        <v>2025.0</v>
      </c>
      <c r="AV752" s="1">
        <v>51.0</v>
      </c>
      <c r="AW752" s="1">
        <v>9.0</v>
      </c>
      <c r="AX752" s="1" t="s">
        <v>74</v>
      </c>
      <c r="AY752" s="1" t="s">
        <v>74</v>
      </c>
      <c r="AZ752" s="1" t="s">
        <v>74</v>
      </c>
      <c r="BA752" s="1" t="s">
        <v>74</v>
      </c>
      <c r="BB752" s="1">
        <v>2651.0</v>
      </c>
      <c r="BC752" s="1">
        <v>2670.0</v>
      </c>
      <c r="BD752" s="1" t="s">
        <v>74</v>
      </c>
      <c r="BE752" s="1" t="s">
        <v>6725</v>
      </c>
      <c r="BF752" s="2" t="str">
        <f>HYPERLINK("http://dx.doi.org/10.1109/TSE.2025.3594673","http://dx.doi.org/10.1109/TSE.2025.3594673")</f>
        <v>http://dx.doi.org/10.1109/TSE.2025.3594673</v>
      </c>
      <c r="BG752" s="1" t="s">
        <v>74</v>
      </c>
      <c r="BH752" s="1" t="s">
        <v>74</v>
      </c>
      <c r="BI752" s="1" t="s">
        <v>74</v>
      </c>
      <c r="BJ752" s="1" t="s">
        <v>74</v>
      </c>
      <c r="BK752" s="1" t="s">
        <v>74</v>
      </c>
      <c r="BL752" s="1" t="s">
        <v>98</v>
      </c>
      <c r="BM752" s="1" t="s">
        <v>74</v>
      </c>
      <c r="BN752" s="1" t="s">
        <v>74</v>
      </c>
      <c r="BO752" s="1" t="s">
        <v>74</v>
      </c>
      <c r="BP752" s="1" t="s">
        <v>74</v>
      </c>
      <c r="BQ752" s="1" t="s">
        <v>74</v>
      </c>
      <c r="BR752" s="1" t="s">
        <v>74</v>
      </c>
      <c r="BS752" s="1" t="s">
        <v>6726</v>
      </c>
      <c r="BT752" s="1" t="str">
        <f>HYPERLINK("https%3A%2F%2Fwww.webofscience.com%2Fwos%2Fwoscc%2Ffull-record%2FWOS:001575768400011","View Full Record in Web of Science")</f>
        <v>View Full Record in Web of Science</v>
      </c>
    </row>
    <row r="753" ht="12.75" customHeight="1">
      <c r="A753" s="1" t="s">
        <v>72</v>
      </c>
      <c r="B753" s="1" t="s">
        <v>6727</v>
      </c>
      <c r="C753" s="1" t="s">
        <v>74</v>
      </c>
      <c r="D753" s="1" t="s">
        <v>74</v>
      </c>
      <c r="E753" s="1" t="s">
        <v>74</v>
      </c>
      <c r="F753" s="1" t="s">
        <v>6728</v>
      </c>
      <c r="G753" s="1" t="s">
        <v>74</v>
      </c>
      <c r="H753" s="1" t="s">
        <v>74</v>
      </c>
      <c r="I753" s="1" t="s">
        <v>6729</v>
      </c>
      <c r="J753" s="1" t="s">
        <v>881</v>
      </c>
      <c r="K753" s="1" t="s">
        <v>74</v>
      </c>
      <c r="L753" s="1" t="s">
        <v>74</v>
      </c>
      <c r="M753" s="1" t="s">
        <v>74</v>
      </c>
      <c r="N753" s="1" t="s">
        <v>78</v>
      </c>
      <c r="O753" s="1" t="s">
        <v>74</v>
      </c>
      <c r="P753" s="1" t="s">
        <v>74</v>
      </c>
      <c r="Q753" s="1" t="s">
        <v>74</v>
      </c>
      <c r="R753" s="1" t="s">
        <v>74</v>
      </c>
      <c r="S753" s="1" t="s">
        <v>74</v>
      </c>
      <c r="T753" s="1" t="s">
        <v>6730</v>
      </c>
      <c r="U753" s="1" t="s">
        <v>74</v>
      </c>
      <c r="V753" s="1" t="s">
        <v>6731</v>
      </c>
      <c r="W753" s="1" t="s">
        <v>74</v>
      </c>
      <c r="X753" s="1" t="s">
        <v>74</v>
      </c>
      <c r="Y753" s="1" t="s">
        <v>74</v>
      </c>
      <c r="Z753" s="1" t="s">
        <v>74</v>
      </c>
      <c r="AA753" s="1" t="s">
        <v>74</v>
      </c>
      <c r="AB753" s="1" t="s">
        <v>74</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74</v>
      </c>
      <c r="AP753" s="1" t="s">
        <v>884</v>
      </c>
      <c r="AQ753" s="1" t="s">
        <v>74</v>
      </c>
      <c r="AR753" s="1" t="s">
        <v>74</v>
      </c>
      <c r="AS753" s="1" t="s">
        <v>74</v>
      </c>
      <c r="AT753" s="1" t="s">
        <v>867</v>
      </c>
      <c r="AU753" s="1">
        <v>2025.0</v>
      </c>
      <c r="AV753" s="1">
        <v>16.0</v>
      </c>
      <c r="AW753" s="1">
        <v>8.0</v>
      </c>
      <c r="AX753" s="1" t="s">
        <v>74</v>
      </c>
      <c r="AY753" s="1" t="s">
        <v>74</v>
      </c>
      <c r="AZ753" s="1" t="s">
        <v>74</v>
      </c>
      <c r="BA753" s="1" t="s">
        <v>74</v>
      </c>
      <c r="BB753" s="1" t="s">
        <v>74</v>
      </c>
      <c r="BC753" s="1" t="s">
        <v>74</v>
      </c>
      <c r="BD753" s="1">
        <v>670.0</v>
      </c>
      <c r="BE753" s="1" t="s">
        <v>6732</v>
      </c>
      <c r="BF753" s="2" t="str">
        <f>HYPERLINK("http://dx.doi.org/10.3390/info16080670","http://dx.doi.org/10.3390/info16080670")</f>
        <v>http://dx.doi.org/10.3390/info16080670</v>
      </c>
      <c r="BG753" s="1" t="s">
        <v>74</v>
      </c>
      <c r="BH753" s="1" t="s">
        <v>74</v>
      </c>
      <c r="BI753" s="1" t="s">
        <v>74</v>
      </c>
      <c r="BJ753" s="1" t="s">
        <v>74</v>
      </c>
      <c r="BK753" s="1" t="s">
        <v>74</v>
      </c>
      <c r="BL753" s="1" t="s">
        <v>174</v>
      </c>
      <c r="BM753" s="1" t="s">
        <v>74</v>
      </c>
      <c r="BN753" s="1" t="s">
        <v>74</v>
      </c>
      <c r="BO753" s="1" t="s">
        <v>153</v>
      </c>
      <c r="BP753" s="1" t="s">
        <v>74</v>
      </c>
      <c r="BQ753" s="1" t="s">
        <v>74</v>
      </c>
      <c r="BR753" s="1" t="s">
        <v>74</v>
      </c>
      <c r="BS753" s="1" t="s">
        <v>6733</v>
      </c>
      <c r="BT753" s="1" t="str">
        <f>HYPERLINK("https%3A%2F%2Fwww.webofscience.com%2Fwos%2Fwoscc%2Ffull-record%2FWOS:001557697700001","View Full Record in Web of Science")</f>
        <v>View Full Record in Web of Science</v>
      </c>
    </row>
    <row r="754" ht="12.75" customHeight="1">
      <c r="A754" s="1" t="s">
        <v>72</v>
      </c>
      <c r="B754" s="1" t="s">
        <v>6734</v>
      </c>
      <c r="C754" s="1" t="s">
        <v>74</v>
      </c>
      <c r="D754" s="1" t="s">
        <v>74</v>
      </c>
      <c r="E754" s="1" t="s">
        <v>74</v>
      </c>
      <c r="F754" s="1" t="s">
        <v>6735</v>
      </c>
      <c r="G754" s="1" t="s">
        <v>74</v>
      </c>
      <c r="H754" s="1" t="s">
        <v>74</v>
      </c>
      <c r="I754" s="1" t="s">
        <v>6736</v>
      </c>
      <c r="J754" s="1" t="s">
        <v>103</v>
      </c>
      <c r="K754" s="1" t="s">
        <v>74</v>
      </c>
      <c r="L754" s="1" t="s">
        <v>74</v>
      </c>
      <c r="M754" s="1" t="s">
        <v>74</v>
      </c>
      <c r="N754" s="1" t="s">
        <v>78</v>
      </c>
      <c r="O754" s="1" t="s">
        <v>74</v>
      </c>
      <c r="P754" s="1" t="s">
        <v>74</v>
      </c>
      <c r="Q754" s="1" t="s">
        <v>74</v>
      </c>
      <c r="R754" s="1" t="s">
        <v>74</v>
      </c>
      <c r="S754" s="1" t="s">
        <v>74</v>
      </c>
      <c r="T754" s="1" t="s">
        <v>6737</v>
      </c>
      <c r="U754" s="1" t="s">
        <v>74</v>
      </c>
      <c r="V754" s="1" t="s">
        <v>6738</v>
      </c>
      <c r="W754" s="1" t="s">
        <v>74</v>
      </c>
      <c r="X754" s="1" t="s">
        <v>74</v>
      </c>
      <c r="Y754" s="1" t="s">
        <v>74</v>
      </c>
      <c r="Z754" s="1" t="s">
        <v>74</v>
      </c>
      <c r="AA754" s="1" t="s">
        <v>74</v>
      </c>
      <c r="AB754" s="1" t="s">
        <v>74</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107</v>
      </c>
      <c r="AP754" s="1" t="s">
        <v>108</v>
      </c>
      <c r="AQ754" s="1" t="s">
        <v>74</v>
      </c>
      <c r="AR754" s="1" t="s">
        <v>74</v>
      </c>
      <c r="AS754" s="1" t="s">
        <v>74</v>
      </c>
      <c r="AT754" s="1" t="s">
        <v>5283</v>
      </c>
      <c r="AU754" s="1">
        <v>2026.0</v>
      </c>
      <c r="AV754" s="1">
        <v>164.0</v>
      </c>
      <c r="AW754" s="1" t="s">
        <v>74</v>
      </c>
      <c r="AX754" s="1" t="s">
        <v>110</v>
      </c>
      <c r="AY754" s="1" t="s">
        <v>74</v>
      </c>
      <c r="AZ754" s="1" t="s">
        <v>74</v>
      </c>
      <c r="BA754" s="1" t="s">
        <v>74</v>
      </c>
      <c r="BB754" s="1" t="s">
        <v>74</v>
      </c>
      <c r="BC754" s="1" t="s">
        <v>74</v>
      </c>
      <c r="BD754" s="1">
        <v>113304.0</v>
      </c>
      <c r="BE754" s="1" t="s">
        <v>6739</v>
      </c>
      <c r="BF754" s="2" t="str">
        <f>HYPERLINK("http://dx.doi.org/10.1016/j.engappai.2025.113304","http://dx.doi.org/10.1016/j.engappai.2025.113304")</f>
        <v>http://dx.doi.org/10.1016/j.engappai.2025.113304</v>
      </c>
      <c r="BG754" s="1" t="s">
        <v>74</v>
      </c>
      <c r="BH754" s="1" t="s">
        <v>255</v>
      </c>
      <c r="BI754" s="1" t="s">
        <v>74</v>
      </c>
      <c r="BJ754" s="1" t="s">
        <v>74</v>
      </c>
      <c r="BK754" s="1" t="s">
        <v>74</v>
      </c>
      <c r="BL754" s="1" t="s">
        <v>113</v>
      </c>
      <c r="BM754" s="1" t="s">
        <v>74</v>
      </c>
      <c r="BN754" s="1" t="s">
        <v>74</v>
      </c>
      <c r="BO754" s="1" t="s">
        <v>74</v>
      </c>
      <c r="BP754" s="1" t="s">
        <v>74</v>
      </c>
      <c r="BQ754" s="1" t="s">
        <v>74</v>
      </c>
      <c r="BR754" s="1" t="s">
        <v>74</v>
      </c>
      <c r="BS754" s="1" t="s">
        <v>6740</v>
      </c>
      <c r="BT754" s="1" t="str">
        <f>HYPERLINK("https%3A%2F%2Fwww.webofscience.com%2Fwos%2Fwoscc%2Ffull-record%2FWOS:001632868300032","View Full Record in Web of Science")</f>
        <v>View Full Record in Web of Science</v>
      </c>
    </row>
    <row r="755" ht="12.75" customHeight="1">
      <c r="A755" s="1" t="s">
        <v>72</v>
      </c>
      <c r="B755" s="1" t="s">
        <v>6741</v>
      </c>
      <c r="C755" s="1" t="s">
        <v>74</v>
      </c>
      <c r="D755" s="1" t="s">
        <v>74</v>
      </c>
      <c r="E755" s="1" t="s">
        <v>74</v>
      </c>
      <c r="F755" s="1" t="s">
        <v>6742</v>
      </c>
      <c r="G755" s="1" t="s">
        <v>74</v>
      </c>
      <c r="H755" s="1" t="s">
        <v>74</v>
      </c>
      <c r="I755" s="1" t="s">
        <v>6743</v>
      </c>
      <c r="J755" s="1" t="s">
        <v>147</v>
      </c>
      <c r="K755" s="1" t="s">
        <v>74</v>
      </c>
      <c r="L755" s="1" t="s">
        <v>74</v>
      </c>
      <c r="M755" s="1" t="s">
        <v>74</v>
      </c>
      <c r="N755" s="1" t="s">
        <v>78</v>
      </c>
      <c r="O755" s="1" t="s">
        <v>74</v>
      </c>
      <c r="P755" s="1" t="s">
        <v>74</v>
      </c>
      <c r="Q755" s="1" t="s">
        <v>74</v>
      </c>
      <c r="R755" s="1" t="s">
        <v>74</v>
      </c>
      <c r="S755" s="1" t="s">
        <v>74</v>
      </c>
      <c r="T755" s="1" t="s">
        <v>6744</v>
      </c>
      <c r="U755" s="1" t="s">
        <v>74</v>
      </c>
      <c r="V755" s="1" t="s">
        <v>6745</v>
      </c>
      <c r="W755" s="1" t="s">
        <v>74</v>
      </c>
      <c r="X755" s="1" t="s">
        <v>74</v>
      </c>
      <c r="Y755" s="1" t="s">
        <v>74</v>
      </c>
      <c r="Z755" s="1" t="s">
        <v>74</v>
      </c>
      <c r="AA755" s="1" t="s">
        <v>74</v>
      </c>
      <c r="AB755" s="1" t="s">
        <v>74</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150</v>
      </c>
      <c r="AP755" s="1" t="s">
        <v>74</v>
      </c>
      <c r="AQ755" s="1" t="s">
        <v>74</v>
      </c>
      <c r="AR755" s="1" t="s">
        <v>74</v>
      </c>
      <c r="AS755" s="1" t="s">
        <v>74</v>
      </c>
      <c r="AT755" s="1" t="s">
        <v>74</v>
      </c>
      <c r="AU755" s="1">
        <v>2024.0</v>
      </c>
      <c r="AV755" s="1">
        <v>12.0</v>
      </c>
      <c r="AW755" s="1" t="s">
        <v>74</v>
      </c>
      <c r="AX755" s="1" t="s">
        <v>74</v>
      </c>
      <c r="AY755" s="1" t="s">
        <v>74</v>
      </c>
      <c r="AZ755" s="1" t="s">
        <v>74</v>
      </c>
      <c r="BA755" s="1" t="s">
        <v>74</v>
      </c>
      <c r="BB755" s="1">
        <v>96017.0</v>
      </c>
      <c r="BC755" s="1">
        <v>96050.0</v>
      </c>
      <c r="BD755" s="1" t="s">
        <v>74</v>
      </c>
      <c r="BE755" s="1" t="s">
        <v>6746</v>
      </c>
      <c r="BF755" s="2" t="str">
        <f>HYPERLINK("http://dx.doi.org/10.1109/ACCESS.2024.3424945","http://dx.doi.org/10.1109/ACCESS.2024.3424945")</f>
        <v>http://dx.doi.org/10.1109/ACCESS.2024.3424945</v>
      </c>
      <c r="BG755" s="1" t="s">
        <v>74</v>
      </c>
      <c r="BH755" s="1" t="s">
        <v>74</v>
      </c>
      <c r="BI755" s="1" t="s">
        <v>74</v>
      </c>
      <c r="BJ755" s="1" t="s">
        <v>74</v>
      </c>
      <c r="BK755" s="1" t="s">
        <v>74</v>
      </c>
      <c r="BL755" s="1" t="s">
        <v>152</v>
      </c>
      <c r="BM755" s="1" t="s">
        <v>74</v>
      </c>
      <c r="BN755" s="1" t="s">
        <v>74</v>
      </c>
      <c r="BO755" s="1" t="s">
        <v>153</v>
      </c>
      <c r="BP755" s="1" t="s">
        <v>74</v>
      </c>
      <c r="BQ755" s="1" t="s">
        <v>74</v>
      </c>
      <c r="BR755" s="1" t="s">
        <v>74</v>
      </c>
      <c r="BS755" s="1" t="s">
        <v>6747</v>
      </c>
      <c r="BT755" s="1" t="str">
        <f>HYPERLINK("https%3A%2F%2Fwww.webofscience.com%2Fwos%2Fwoscc%2Ffull-record%2FWOS:001272161000001","View Full Record in Web of Science")</f>
        <v>View Full Record in Web of Science</v>
      </c>
    </row>
    <row r="756" ht="12.75" customHeight="1">
      <c r="A756" s="1" t="s">
        <v>72</v>
      </c>
      <c r="B756" s="1" t="s">
        <v>6748</v>
      </c>
      <c r="C756" s="1" t="s">
        <v>74</v>
      </c>
      <c r="D756" s="1" t="s">
        <v>74</v>
      </c>
      <c r="E756" s="1" t="s">
        <v>74</v>
      </c>
      <c r="F756" s="1" t="s">
        <v>6749</v>
      </c>
      <c r="G756" s="1" t="s">
        <v>74</v>
      </c>
      <c r="H756" s="1" t="s">
        <v>74</v>
      </c>
      <c r="I756" s="1" t="s">
        <v>6750</v>
      </c>
      <c r="J756" s="1" t="s">
        <v>4230</v>
      </c>
      <c r="K756" s="1" t="s">
        <v>74</v>
      </c>
      <c r="L756" s="1" t="s">
        <v>74</v>
      </c>
      <c r="M756" s="1" t="s">
        <v>74</v>
      </c>
      <c r="N756" s="1" t="s">
        <v>78</v>
      </c>
      <c r="O756" s="1" t="s">
        <v>74</v>
      </c>
      <c r="P756" s="1" t="s">
        <v>74</v>
      </c>
      <c r="Q756" s="1" t="s">
        <v>74</v>
      </c>
      <c r="R756" s="1" t="s">
        <v>74</v>
      </c>
      <c r="S756" s="1" t="s">
        <v>74</v>
      </c>
      <c r="T756" s="1" t="s">
        <v>6751</v>
      </c>
      <c r="U756" s="1" t="s">
        <v>74</v>
      </c>
      <c r="V756" s="1" t="s">
        <v>6752</v>
      </c>
      <c r="W756" s="1" t="s">
        <v>74</v>
      </c>
      <c r="X756" s="1" t="s">
        <v>74</v>
      </c>
      <c r="Y756" s="1" t="s">
        <v>74</v>
      </c>
      <c r="Z756" s="1" t="s">
        <v>74</v>
      </c>
      <c r="AA756" s="1" t="s">
        <v>74</v>
      </c>
      <c r="AB756" s="1" t="s">
        <v>74</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4234</v>
      </c>
      <c r="AP756" s="1" t="s">
        <v>4235</v>
      </c>
      <c r="AQ756" s="1" t="s">
        <v>74</v>
      </c>
      <c r="AR756" s="1" t="s">
        <v>74</v>
      </c>
      <c r="AS756" s="1" t="s">
        <v>74</v>
      </c>
      <c r="AT756" s="1" t="s">
        <v>124</v>
      </c>
      <c r="AU756" s="1">
        <v>2025.0</v>
      </c>
      <c r="AV756" s="1">
        <v>40.0</v>
      </c>
      <c r="AW756" s="1">
        <v>4.0</v>
      </c>
      <c r="AX756" s="1" t="s">
        <v>74</v>
      </c>
      <c r="AY756" s="1" t="s">
        <v>74</v>
      </c>
      <c r="AZ756" s="1" t="s">
        <v>74</v>
      </c>
      <c r="BA756" s="1" t="s">
        <v>74</v>
      </c>
      <c r="BB756" s="1">
        <v>2069.0</v>
      </c>
      <c r="BC756" s="1">
        <v>2081.0</v>
      </c>
      <c r="BD756" s="1" t="s">
        <v>74</v>
      </c>
      <c r="BE756" s="1" t="s">
        <v>6753</v>
      </c>
      <c r="BF756" s="2" t="str">
        <f>HYPERLINK("http://dx.doi.org/10.1007/s00146-024-02088-7","http://dx.doi.org/10.1007/s00146-024-02088-7")</f>
        <v>http://dx.doi.org/10.1007/s00146-024-02088-7</v>
      </c>
      <c r="BG756" s="1" t="s">
        <v>74</v>
      </c>
      <c r="BH756" s="1" t="s">
        <v>1747</v>
      </c>
      <c r="BI756" s="1" t="s">
        <v>74</v>
      </c>
      <c r="BJ756" s="1" t="s">
        <v>74</v>
      </c>
      <c r="BK756" s="1" t="s">
        <v>74</v>
      </c>
      <c r="BL756" s="1" t="s">
        <v>174</v>
      </c>
      <c r="BM756" s="1" t="s">
        <v>74</v>
      </c>
      <c r="BN756" s="1" t="s">
        <v>74</v>
      </c>
      <c r="BO756" s="1" t="s">
        <v>114</v>
      </c>
      <c r="BP756" s="1" t="s">
        <v>74</v>
      </c>
      <c r="BQ756" s="1" t="s">
        <v>74</v>
      </c>
      <c r="BR756" s="1" t="s">
        <v>74</v>
      </c>
      <c r="BS756" s="1" t="s">
        <v>6754</v>
      </c>
      <c r="BT756" s="1" t="str">
        <f>HYPERLINK("https%3A%2F%2Fwww.webofscience.com%2Fwos%2Fwoscc%2Ffull-record%2FWOS:001324154200001","View Full Record in Web of Science")</f>
        <v>View Full Record in Web of Science</v>
      </c>
    </row>
    <row r="757" ht="12.75" customHeight="1">
      <c r="A757" s="1" t="s">
        <v>72</v>
      </c>
      <c r="B757" s="1" t="s">
        <v>6755</v>
      </c>
      <c r="C757" s="1" t="s">
        <v>74</v>
      </c>
      <c r="D757" s="1" t="s">
        <v>74</v>
      </c>
      <c r="E757" s="1" t="s">
        <v>74</v>
      </c>
      <c r="F757" s="1" t="s">
        <v>6756</v>
      </c>
      <c r="G757" s="1" t="s">
        <v>74</v>
      </c>
      <c r="H757" s="1" t="s">
        <v>74</v>
      </c>
      <c r="I757" s="1" t="s">
        <v>6757</v>
      </c>
      <c r="J757" s="1" t="s">
        <v>147</v>
      </c>
      <c r="K757" s="1" t="s">
        <v>74</v>
      </c>
      <c r="L757" s="1" t="s">
        <v>74</v>
      </c>
      <c r="M757" s="1" t="s">
        <v>74</v>
      </c>
      <c r="N757" s="1" t="s">
        <v>78</v>
      </c>
      <c r="O757" s="1" t="s">
        <v>74</v>
      </c>
      <c r="P757" s="1" t="s">
        <v>74</v>
      </c>
      <c r="Q757" s="1" t="s">
        <v>74</v>
      </c>
      <c r="R757" s="1" t="s">
        <v>74</v>
      </c>
      <c r="S757" s="1" t="s">
        <v>74</v>
      </c>
      <c r="T757" s="1" t="s">
        <v>6758</v>
      </c>
      <c r="U757" s="1" t="s">
        <v>74</v>
      </c>
      <c r="V757" s="1" t="s">
        <v>6759</v>
      </c>
      <c r="W757" s="1" t="s">
        <v>74</v>
      </c>
      <c r="X757" s="1" t="s">
        <v>74</v>
      </c>
      <c r="Y757" s="1" t="s">
        <v>74</v>
      </c>
      <c r="Z757" s="1" t="s">
        <v>74</v>
      </c>
      <c r="AA757" s="1" t="s">
        <v>74</v>
      </c>
      <c r="AB757" s="1" t="s">
        <v>74</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150</v>
      </c>
      <c r="AP757" s="1" t="s">
        <v>74</v>
      </c>
      <c r="AQ757" s="1" t="s">
        <v>74</v>
      </c>
      <c r="AR757" s="1" t="s">
        <v>74</v>
      </c>
      <c r="AS757" s="1" t="s">
        <v>74</v>
      </c>
      <c r="AT757" s="1" t="s">
        <v>74</v>
      </c>
      <c r="AU757" s="1">
        <v>2024.0</v>
      </c>
      <c r="AV757" s="1">
        <v>12.0</v>
      </c>
      <c r="AW757" s="1" t="s">
        <v>74</v>
      </c>
      <c r="AX757" s="1" t="s">
        <v>74</v>
      </c>
      <c r="AY757" s="1" t="s">
        <v>74</v>
      </c>
      <c r="AZ757" s="1" t="s">
        <v>74</v>
      </c>
      <c r="BA757" s="1" t="s">
        <v>74</v>
      </c>
      <c r="BB757" s="1">
        <v>167655.0</v>
      </c>
      <c r="BC757" s="1">
        <v>167682.0</v>
      </c>
      <c r="BD757" s="1" t="s">
        <v>74</v>
      </c>
      <c r="BE757" s="1" t="s">
        <v>6760</v>
      </c>
      <c r="BF757" s="2" t="str">
        <f>HYPERLINK("http://dx.doi.org/10.1109/ACCESS.2024.3494737","http://dx.doi.org/10.1109/ACCESS.2024.3494737")</f>
        <v>http://dx.doi.org/10.1109/ACCESS.2024.3494737</v>
      </c>
      <c r="BG757" s="1" t="s">
        <v>74</v>
      </c>
      <c r="BH757" s="1" t="s">
        <v>74</v>
      </c>
      <c r="BI757" s="1" t="s">
        <v>74</v>
      </c>
      <c r="BJ757" s="1" t="s">
        <v>74</v>
      </c>
      <c r="BK757" s="1" t="s">
        <v>74</v>
      </c>
      <c r="BL757" s="1" t="s">
        <v>152</v>
      </c>
      <c r="BM757" s="1" t="s">
        <v>74</v>
      </c>
      <c r="BN757" s="1" t="s">
        <v>74</v>
      </c>
      <c r="BO757" s="1" t="s">
        <v>153</v>
      </c>
      <c r="BP757" s="1" t="s">
        <v>74</v>
      </c>
      <c r="BQ757" s="1" t="s">
        <v>74</v>
      </c>
      <c r="BR757" s="1" t="s">
        <v>74</v>
      </c>
      <c r="BS757" s="1" t="s">
        <v>6761</v>
      </c>
      <c r="BT757" s="1" t="str">
        <f>HYPERLINK("https%3A%2F%2Fwww.webofscience.com%2Fwos%2Fwoscc%2Ffull-record%2FWOS:001366323900011","View Full Record in Web of Science")</f>
        <v>View Full Record in Web of Science</v>
      </c>
    </row>
    <row r="758" ht="12.75" customHeight="1">
      <c r="A758" s="1" t="s">
        <v>72</v>
      </c>
      <c r="B758" s="1" t="s">
        <v>6762</v>
      </c>
      <c r="C758" s="1" t="s">
        <v>74</v>
      </c>
      <c r="D758" s="1" t="s">
        <v>74</v>
      </c>
      <c r="E758" s="1" t="s">
        <v>74</v>
      </c>
      <c r="F758" s="1" t="s">
        <v>6763</v>
      </c>
      <c r="G758" s="1" t="s">
        <v>74</v>
      </c>
      <c r="H758" s="1" t="s">
        <v>74</v>
      </c>
      <c r="I758" s="1" t="s">
        <v>6764</v>
      </c>
      <c r="J758" s="1" t="s">
        <v>6765</v>
      </c>
      <c r="K758" s="1" t="s">
        <v>74</v>
      </c>
      <c r="L758" s="1" t="s">
        <v>74</v>
      </c>
      <c r="M758" s="1" t="s">
        <v>74</v>
      </c>
      <c r="N758" s="1" t="s">
        <v>78</v>
      </c>
      <c r="O758" s="1" t="s">
        <v>74</v>
      </c>
      <c r="P758" s="1" t="s">
        <v>74</v>
      </c>
      <c r="Q758" s="1" t="s">
        <v>74</v>
      </c>
      <c r="R758" s="1" t="s">
        <v>74</v>
      </c>
      <c r="S758" s="1" t="s">
        <v>74</v>
      </c>
      <c r="T758" s="1" t="s">
        <v>6766</v>
      </c>
      <c r="U758" s="1" t="s">
        <v>6767</v>
      </c>
      <c r="V758" s="1" t="s">
        <v>6768</v>
      </c>
      <c r="W758" s="1" t="s">
        <v>74</v>
      </c>
      <c r="X758" s="1" t="s">
        <v>74</v>
      </c>
      <c r="Y758" s="1" t="s">
        <v>74</v>
      </c>
      <c r="Z758" s="1" t="s">
        <v>74</v>
      </c>
      <c r="AA758" s="1" t="s">
        <v>74</v>
      </c>
      <c r="AB758" s="1" t="s">
        <v>74</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6769</v>
      </c>
      <c r="AP758" s="1" t="s">
        <v>74</v>
      </c>
      <c r="AQ758" s="1" t="s">
        <v>74</v>
      </c>
      <c r="AR758" s="1" t="s">
        <v>74</v>
      </c>
      <c r="AS758" s="1" t="s">
        <v>74</v>
      </c>
      <c r="AT758" s="1" t="s">
        <v>74</v>
      </c>
      <c r="AU758" s="1">
        <v>2025.0</v>
      </c>
      <c r="AV758" s="1">
        <v>56.0</v>
      </c>
      <c r="AW758" s="1" t="s">
        <v>74</v>
      </c>
      <c r="AX758" s="1" t="s">
        <v>74</v>
      </c>
      <c r="AY758" s="1" t="s">
        <v>74</v>
      </c>
      <c r="AZ758" s="1" t="s">
        <v>74</v>
      </c>
      <c r="BA758" s="1" t="s">
        <v>74</v>
      </c>
      <c r="BB758" s="1" t="s">
        <v>74</v>
      </c>
      <c r="BC758" s="1" t="s">
        <v>74</v>
      </c>
      <c r="BD758" s="1" t="s">
        <v>74</v>
      </c>
      <c r="BE758" s="1" t="s">
        <v>6770</v>
      </c>
      <c r="BF758" s="2" t="str">
        <f>HYPERLINK("http://dx.doi.org/10.17705/1CAIS.05601","http://dx.doi.org/10.17705/1CAIS.05601")</f>
        <v>http://dx.doi.org/10.17705/1CAIS.05601</v>
      </c>
      <c r="BG758" s="1" t="s">
        <v>74</v>
      </c>
      <c r="BH758" s="1" t="s">
        <v>74</v>
      </c>
      <c r="BI758" s="1" t="s">
        <v>74</v>
      </c>
      <c r="BJ758" s="1" t="s">
        <v>74</v>
      </c>
      <c r="BK758" s="1" t="s">
        <v>74</v>
      </c>
      <c r="BL758" s="1" t="s">
        <v>174</v>
      </c>
      <c r="BM758" s="1" t="s">
        <v>74</v>
      </c>
      <c r="BN758" s="1" t="s">
        <v>74</v>
      </c>
      <c r="BO758" s="1" t="s">
        <v>74</v>
      </c>
      <c r="BP758" s="1" t="s">
        <v>74</v>
      </c>
      <c r="BQ758" s="1" t="s">
        <v>74</v>
      </c>
      <c r="BR758" s="1" t="s">
        <v>74</v>
      </c>
      <c r="BS758" s="1" t="s">
        <v>6771</v>
      </c>
      <c r="BT758" s="1" t="str">
        <f>HYPERLINK("https%3A%2F%2Fwww.webofscience.com%2Fwos%2Fwoscc%2Ffull-record%2FWOS:001440583200001","View Full Record in Web of Science")</f>
        <v>View Full Record in Web of Science</v>
      </c>
    </row>
    <row r="759" ht="12.75" customHeight="1">
      <c r="A759" s="1" t="s">
        <v>72</v>
      </c>
      <c r="B759" s="1" t="s">
        <v>6772</v>
      </c>
      <c r="C759" s="1" t="s">
        <v>74</v>
      </c>
      <c r="D759" s="1" t="s">
        <v>74</v>
      </c>
      <c r="E759" s="1" t="s">
        <v>74</v>
      </c>
      <c r="F759" s="1" t="s">
        <v>6773</v>
      </c>
      <c r="G759" s="1" t="s">
        <v>74</v>
      </c>
      <c r="H759" s="1" t="s">
        <v>74</v>
      </c>
      <c r="I759" s="1" t="s">
        <v>6774</v>
      </c>
      <c r="J759" s="1" t="s">
        <v>2305</v>
      </c>
      <c r="K759" s="1" t="s">
        <v>74</v>
      </c>
      <c r="L759" s="1" t="s">
        <v>74</v>
      </c>
      <c r="M759" s="1" t="s">
        <v>74</v>
      </c>
      <c r="N759" s="1" t="s">
        <v>78</v>
      </c>
      <c r="O759" s="1" t="s">
        <v>74</v>
      </c>
      <c r="P759" s="1" t="s">
        <v>74</v>
      </c>
      <c r="Q759" s="1" t="s">
        <v>74</v>
      </c>
      <c r="R759" s="1" t="s">
        <v>74</v>
      </c>
      <c r="S759" s="1" t="s">
        <v>74</v>
      </c>
      <c r="T759" s="1" t="s">
        <v>6775</v>
      </c>
      <c r="U759" s="1" t="s">
        <v>74</v>
      </c>
      <c r="V759" s="1" t="s">
        <v>6776</v>
      </c>
      <c r="W759" s="1" t="s">
        <v>74</v>
      </c>
      <c r="X759" s="1" t="s">
        <v>74</v>
      </c>
      <c r="Y759" s="1" t="s">
        <v>74</v>
      </c>
      <c r="Z759" s="1" t="s">
        <v>74</v>
      </c>
      <c r="AA759" s="1" t="s">
        <v>74</v>
      </c>
      <c r="AB759" s="1" t="s">
        <v>74</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2308</v>
      </c>
      <c r="AP759" s="1" t="s">
        <v>2309</v>
      </c>
      <c r="AQ759" s="1" t="s">
        <v>74</v>
      </c>
      <c r="AR759" s="1" t="s">
        <v>74</v>
      </c>
      <c r="AS759" s="1" t="s">
        <v>74</v>
      </c>
      <c r="AT759" s="1" t="s">
        <v>464</v>
      </c>
      <c r="AU759" s="1">
        <v>2024.0</v>
      </c>
      <c r="AV759" s="1">
        <v>62.0</v>
      </c>
      <c r="AW759" s="1">
        <v>4.0</v>
      </c>
      <c r="AX759" s="1" t="s">
        <v>74</v>
      </c>
      <c r="AY759" s="1" t="s">
        <v>74</v>
      </c>
      <c r="AZ759" s="1" t="s">
        <v>74</v>
      </c>
      <c r="BA759" s="1" t="s">
        <v>74</v>
      </c>
      <c r="BB759" s="1">
        <v>1087.0</v>
      </c>
      <c r="BC759" s="1">
        <v>1111.0</v>
      </c>
      <c r="BD759" s="1" t="s">
        <v>74</v>
      </c>
      <c r="BE759" s="1" t="s">
        <v>6777</v>
      </c>
      <c r="BF759" s="2" t="str">
        <f>HYPERLINK("http://dx.doi.org/10.1007/s10844-024-00851-2","http://dx.doi.org/10.1007/s10844-024-00851-2")</f>
        <v>http://dx.doi.org/10.1007/s10844-024-00851-2</v>
      </c>
      <c r="BG759" s="1" t="s">
        <v>74</v>
      </c>
      <c r="BH759" s="1" t="s">
        <v>86</v>
      </c>
      <c r="BI759" s="1" t="s">
        <v>74</v>
      </c>
      <c r="BJ759" s="1" t="s">
        <v>74</v>
      </c>
      <c r="BK759" s="1" t="s">
        <v>74</v>
      </c>
      <c r="BL759" s="1" t="s">
        <v>174</v>
      </c>
      <c r="BM759" s="1" t="s">
        <v>74</v>
      </c>
      <c r="BN759" s="1" t="s">
        <v>74</v>
      </c>
      <c r="BO759" s="1" t="s">
        <v>74</v>
      </c>
      <c r="BP759" s="1" t="s">
        <v>74</v>
      </c>
      <c r="BQ759" s="1" t="s">
        <v>74</v>
      </c>
      <c r="BR759" s="1" t="s">
        <v>74</v>
      </c>
      <c r="BS759" s="1" t="s">
        <v>6778</v>
      </c>
      <c r="BT759" s="1" t="str">
        <f>HYPERLINK("https%3A%2F%2Fwww.webofscience.com%2Fwos%2Fwoscc%2Ffull-record%2FWOS:001171457400001","View Full Record in Web of Science")</f>
        <v>View Full Record in Web of Science</v>
      </c>
    </row>
    <row r="760" ht="12.75" customHeight="1">
      <c r="A760" s="1" t="s">
        <v>72</v>
      </c>
      <c r="B760" s="1" t="s">
        <v>6779</v>
      </c>
      <c r="C760" s="1" t="s">
        <v>74</v>
      </c>
      <c r="D760" s="1" t="s">
        <v>74</v>
      </c>
      <c r="E760" s="1" t="s">
        <v>74</v>
      </c>
      <c r="F760" s="1" t="s">
        <v>6780</v>
      </c>
      <c r="G760" s="1" t="s">
        <v>74</v>
      </c>
      <c r="H760" s="1" t="s">
        <v>74</v>
      </c>
      <c r="I760" s="1" t="s">
        <v>6781</v>
      </c>
      <c r="J760" s="1" t="s">
        <v>2305</v>
      </c>
      <c r="K760" s="1" t="s">
        <v>74</v>
      </c>
      <c r="L760" s="1" t="s">
        <v>74</v>
      </c>
      <c r="M760" s="1" t="s">
        <v>74</v>
      </c>
      <c r="N760" s="1" t="s">
        <v>78</v>
      </c>
      <c r="O760" s="1" t="s">
        <v>74</v>
      </c>
      <c r="P760" s="1" t="s">
        <v>74</v>
      </c>
      <c r="Q760" s="1" t="s">
        <v>74</v>
      </c>
      <c r="R760" s="1" t="s">
        <v>74</v>
      </c>
      <c r="S760" s="1" t="s">
        <v>74</v>
      </c>
      <c r="T760" s="1" t="s">
        <v>6782</v>
      </c>
      <c r="U760" s="1" t="s">
        <v>74</v>
      </c>
      <c r="V760" s="1" t="s">
        <v>6783</v>
      </c>
      <c r="W760" s="1" t="s">
        <v>74</v>
      </c>
      <c r="X760" s="1" t="s">
        <v>74</v>
      </c>
      <c r="Y760" s="1" t="s">
        <v>74</v>
      </c>
      <c r="Z760" s="1" t="s">
        <v>74</v>
      </c>
      <c r="AA760" s="1" t="s">
        <v>74</v>
      </c>
      <c r="AB760" s="1" t="s">
        <v>74</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2308</v>
      </c>
      <c r="AP760" s="1" t="s">
        <v>2309</v>
      </c>
      <c r="AQ760" s="1" t="s">
        <v>74</v>
      </c>
      <c r="AR760" s="1" t="s">
        <v>74</v>
      </c>
      <c r="AS760" s="1" t="s">
        <v>74</v>
      </c>
      <c r="AT760" s="1" t="s">
        <v>357</v>
      </c>
      <c r="AU760" s="1">
        <v>2025.0</v>
      </c>
      <c r="AV760" s="1">
        <v>63.0</v>
      </c>
      <c r="AW760" s="1">
        <v>5.0</v>
      </c>
      <c r="AX760" s="1" t="s">
        <v>74</v>
      </c>
      <c r="AY760" s="1" t="s">
        <v>74</v>
      </c>
      <c r="AZ760" s="1" t="s">
        <v>74</v>
      </c>
      <c r="BA760" s="1" t="s">
        <v>74</v>
      </c>
      <c r="BB760" s="1">
        <v>1713.0</v>
      </c>
      <c r="BC760" s="1">
        <v>1736.0</v>
      </c>
      <c r="BD760" s="1" t="s">
        <v>74</v>
      </c>
      <c r="BE760" s="1" t="s">
        <v>6784</v>
      </c>
      <c r="BF760" s="2" t="str">
        <f>HYPERLINK("http://dx.doi.org/10.1007/s10844-025-00959-z","http://dx.doi.org/10.1007/s10844-025-00959-z")</f>
        <v>http://dx.doi.org/10.1007/s10844-025-00959-z</v>
      </c>
      <c r="BG760" s="1" t="s">
        <v>74</v>
      </c>
      <c r="BH760" s="1" t="s">
        <v>112</v>
      </c>
      <c r="BI760" s="1" t="s">
        <v>74</v>
      </c>
      <c r="BJ760" s="1" t="s">
        <v>74</v>
      </c>
      <c r="BK760" s="1" t="s">
        <v>74</v>
      </c>
      <c r="BL760" s="1" t="s">
        <v>174</v>
      </c>
      <c r="BM760" s="1" t="s">
        <v>74</v>
      </c>
      <c r="BN760" s="1" t="s">
        <v>74</v>
      </c>
      <c r="BO760" s="1" t="s">
        <v>74</v>
      </c>
      <c r="BP760" s="1" t="s">
        <v>74</v>
      </c>
      <c r="BQ760" s="1" t="s">
        <v>74</v>
      </c>
      <c r="BR760" s="1" t="s">
        <v>74</v>
      </c>
      <c r="BS760" s="1" t="s">
        <v>6785</v>
      </c>
      <c r="BT760" s="1" t="str">
        <f>HYPERLINK("https%3A%2F%2Fwww.webofscience.com%2Fwos%2Fwoscc%2Ffull-record%2FWOS:001509394400001","View Full Record in Web of Science")</f>
        <v>View Full Record in Web of Science</v>
      </c>
    </row>
    <row r="761" ht="12.75" customHeight="1">
      <c r="A761" s="1" t="s">
        <v>72</v>
      </c>
      <c r="B761" s="1" t="s">
        <v>6786</v>
      </c>
      <c r="C761" s="1" t="s">
        <v>74</v>
      </c>
      <c r="D761" s="1" t="s">
        <v>74</v>
      </c>
      <c r="E761" s="1" t="s">
        <v>74</v>
      </c>
      <c r="F761" s="1" t="s">
        <v>6787</v>
      </c>
      <c r="G761" s="1" t="s">
        <v>74</v>
      </c>
      <c r="H761" s="1" t="s">
        <v>74</v>
      </c>
      <c r="I761" s="1" t="s">
        <v>6788</v>
      </c>
      <c r="J761" s="1" t="s">
        <v>1580</v>
      </c>
      <c r="K761" s="1" t="s">
        <v>74</v>
      </c>
      <c r="L761" s="1" t="s">
        <v>74</v>
      </c>
      <c r="M761" s="1" t="s">
        <v>74</v>
      </c>
      <c r="N761" s="1" t="s">
        <v>78</v>
      </c>
      <c r="O761" s="1" t="s">
        <v>74</v>
      </c>
      <c r="P761" s="1" t="s">
        <v>74</v>
      </c>
      <c r="Q761" s="1" t="s">
        <v>74</v>
      </c>
      <c r="R761" s="1" t="s">
        <v>74</v>
      </c>
      <c r="S761" s="1" t="s">
        <v>74</v>
      </c>
      <c r="T761" s="1" t="s">
        <v>6789</v>
      </c>
      <c r="U761" s="1" t="s">
        <v>6790</v>
      </c>
      <c r="V761" s="1" t="s">
        <v>6791</v>
      </c>
      <c r="W761" s="1" t="s">
        <v>74</v>
      </c>
      <c r="X761" s="1" t="s">
        <v>74</v>
      </c>
      <c r="Y761" s="1" t="s">
        <v>74</v>
      </c>
      <c r="Z761" s="1" t="s">
        <v>74</v>
      </c>
      <c r="AA761" s="1" t="s">
        <v>74</v>
      </c>
      <c r="AB761" s="1" t="s">
        <v>74</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1583</v>
      </c>
      <c r="AP761" s="1" t="s">
        <v>1584</v>
      </c>
      <c r="AQ761" s="1" t="s">
        <v>74</v>
      </c>
      <c r="AR761" s="1" t="s">
        <v>74</v>
      </c>
      <c r="AS761" s="1" t="s">
        <v>74</v>
      </c>
      <c r="AT761" s="1" t="s">
        <v>736</v>
      </c>
      <c r="AU761" s="1">
        <v>2026.0</v>
      </c>
      <c r="AV761" s="1">
        <v>186.0</v>
      </c>
      <c r="AW761" s="1" t="s">
        <v>74</v>
      </c>
      <c r="AX761" s="1" t="s">
        <v>1693</v>
      </c>
      <c r="AY761" s="1" t="s">
        <v>74</v>
      </c>
      <c r="AZ761" s="1" t="s">
        <v>74</v>
      </c>
      <c r="BA761" s="1" t="s">
        <v>74</v>
      </c>
      <c r="BB761" s="1" t="s">
        <v>74</v>
      </c>
      <c r="BC761" s="1" t="s">
        <v>74</v>
      </c>
      <c r="BD761" s="1">
        <v>114140.0</v>
      </c>
      <c r="BE761" s="1" t="s">
        <v>6792</v>
      </c>
      <c r="BF761" s="2" t="str">
        <f>HYPERLINK("http://dx.doi.org/10.1016/j.asoc.2025.114140","http://dx.doi.org/10.1016/j.asoc.2025.114140")</f>
        <v>http://dx.doi.org/10.1016/j.asoc.2025.114140</v>
      </c>
      <c r="BG761" s="1" t="s">
        <v>74</v>
      </c>
      <c r="BH761" s="1" t="s">
        <v>255</v>
      </c>
      <c r="BI761" s="1" t="s">
        <v>74</v>
      </c>
      <c r="BJ761" s="1" t="s">
        <v>74</v>
      </c>
      <c r="BK761" s="1" t="s">
        <v>74</v>
      </c>
      <c r="BL761" s="1" t="s">
        <v>174</v>
      </c>
      <c r="BM761" s="1" t="s">
        <v>74</v>
      </c>
      <c r="BN761" s="1" t="s">
        <v>74</v>
      </c>
      <c r="BO761" s="1" t="s">
        <v>74</v>
      </c>
      <c r="BP761" s="1" t="s">
        <v>74</v>
      </c>
      <c r="BQ761" s="1" t="s">
        <v>74</v>
      </c>
      <c r="BR761" s="1" t="s">
        <v>74</v>
      </c>
      <c r="BS761" s="1" t="s">
        <v>6793</v>
      </c>
      <c r="BT761" s="1" t="str">
        <f>HYPERLINK("https%3A%2F%2Fwww.webofscience.com%2Fwos%2Fwoscc%2Ffull-record%2FWOS:001614851800001","View Full Record in Web of Science")</f>
        <v>View Full Record in Web of Science</v>
      </c>
    </row>
    <row r="762" ht="12.75" customHeight="1">
      <c r="A762" s="1" t="s">
        <v>72</v>
      </c>
      <c r="B762" s="1" t="s">
        <v>6794</v>
      </c>
      <c r="C762" s="1" t="s">
        <v>74</v>
      </c>
      <c r="D762" s="1" t="s">
        <v>74</v>
      </c>
      <c r="E762" s="1" t="s">
        <v>74</v>
      </c>
      <c r="F762" s="1" t="s">
        <v>6795</v>
      </c>
      <c r="G762" s="1" t="s">
        <v>74</v>
      </c>
      <c r="H762" s="1" t="s">
        <v>74</v>
      </c>
      <c r="I762" s="1" t="s">
        <v>6796</v>
      </c>
      <c r="J762" s="1" t="s">
        <v>342</v>
      </c>
      <c r="K762" s="1" t="s">
        <v>74</v>
      </c>
      <c r="L762" s="1" t="s">
        <v>74</v>
      </c>
      <c r="M762" s="1" t="s">
        <v>74</v>
      </c>
      <c r="N762" s="1" t="s">
        <v>78</v>
      </c>
      <c r="O762" s="1" t="s">
        <v>74</v>
      </c>
      <c r="P762" s="1" t="s">
        <v>74</v>
      </c>
      <c r="Q762" s="1" t="s">
        <v>74</v>
      </c>
      <c r="R762" s="1" t="s">
        <v>74</v>
      </c>
      <c r="S762" s="1" t="s">
        <v>74</v>
      </c>
      <c r="T762" s="1" t="s">
        <v>6797</v>
      </c>
      <c r="U762" s="1" t="s">
        <v>6798</v>
      </c>
      <c r="V762" s="1" t="s">
        <v>6799</v>
      </c>
      <c r="W762" s="1" t="s">
        <v>74</v>
      </c>
      <c r="X762" s="1" t="s">
        <v>74</v>
      </c>
      <c r="Y762" s="1" t="s">
        <v>74</v>
      </c>
      <c r="Z762" s="1" t="s">
        <v>74</v>
      </c>
      <c r="AA762" s="1" t="s">
        <v>74</v>
      </c>
      <c r="AB762" s="1" t="s">
        <v>74</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74</v>
      </c>
      <c r="AP762" s="1" t="s">
        <v>345</v>
      </c>
      <c r="AQ762" s="1" t="s">
        <v>74</v>
      </c>
      <c r="AR762" s="1" t="s">
        <v>74</v>
      </c>
      <c r="AS762" s="1" t="s">
        <v>74</v>
      </c>
      <c r="AT762" s="1" t="s">
        <v>200</v>
      </c>
      <c r="AU762" s="1">
        <v>2025.0</v>
      </c>
      <c r="AV762" s="1">
        <v>50.0</v>
      </c>
      <c r="AW762" s="1" t="s">
        <v>74</v>
      </c>
      <c r="AX762" s="1" t="s">
        <v>74</v>
      </c>
      <c r="AY762" s="1" t="s">
        <v>74</v>
      </c>
      <c r="AZ762" s="1" t="s">
        <v>74</v>
      </c>
      <c r="BA762" s="1" t="s">
        <v>74</v>
      </c>
      <c r="BB762" s="1" t="s">
        <v>74</v>
      </c>
      <c r="BC762" s="1" t="s">
        <v>74</v>
      </c>
      <c r="BD762" s="1">
        <v>100338.0</v>
      </c>
      <c r="BE762" s="1" t="s">
        <v>6800</v>
      </c>
      <c r="BF762" s="2" t="str">
        <f>HYPERLINK("http://dx.doi.org/10.1016/j.osnem.2025.100338","http://dx.doi.org/10.1016/j.osnem.2025.100338")</f>
        <v>http://dx.doi.org/10.1016/j.osnem.2025.100338</v>
      </c>
      <c r="BG762" s="1" t="s">
        <v>74</v>
      </c>
      <c r="BH762" s="1" t="s">
        <v>605</v>
      </c>
      <c r="BI762" s="1" t="s">
        <v>74</v>
      </c>
      <c r="BJ762" s="1" t="s">
        <v>74</v>
      </c>
      <c r="BK762" s="1" t="s">
        <v>74</v>
      </c>
      <c r="BL762" s="1" t="s">
        <v>348</v>
      </c>
      <c r="BM762" s="1" t="s">
        <v>74</v>
      </c>
      <c r="BN762" s="1" t="s">
        <v>74</v>
      </c>
      <c r="BO762" s="1" t="s">
        <v>114</v>
      </c>
      <c r="BP762" s="1" t="s">
        <v>74</v>
      </c>
      <c r="BQ762" s="1" t="s">
        <v>74</v>
      </c>
      <c r="BR762" s="1" t="s">
        <v>74</v>
      </c>
      <c r="BS762" s="1" t="s">
        <v>6801</v>
      </c>
      <c r="BT762" s="1" t="str">
        <f>HYPERLINK("https%3A%2F%2Fwww.webofscience.com%2Fwos%2Fwoscc%2Ffull-record%2FWOS:001597564500001","View Full Record in Web of Science")</f>
        <v>View Full Record in Web of Science</v>
      </c>
    </row>
    <row r="763" ht="12.75" customHeight="1">
      <c r="A763" s="1" t="s">
        <v>72</v>
      </c>
      <c r="B763" s="1" t="s">
        <v>6802</v>
      </c>
      <c r="C763" s="1" t="s">
        <v>74</v>
      </c>
      <c r="D763" s="1" t="s">
        <v>74</v>
      </c>
      <c r="E763" s="1" t="s">
        <v>74</v>
      </c>
      <c r="F763" s="1" t="s">
        <v>6803</v>
      </c>
      <c r="G763" s="1" t="s">
        <v>74</v>
      </c>
      <c r="H763" s="1" t="s">
        <v>74</v>
      </c>
      <c r="I763" s="1" t="s">
        <v>6804</v>
      </c>
      <c r="J763" s="1" t="s">
        <v>1155</v>
      </c>
      <c r="K763" s="1" t="s">
        <v>74</v>
      </c>
      <c r="L763" s="1" t="s">
        <v>74</v>
      </c>
      <c r="M763" s="1" t="s">
        <v>74</v>
      </c>
      <c r="N763" s="1" t="s">
        <v>953</v>
      </c>
      <c r="O763" s="1" t="s">
        <v>74</v>
      </c>
      <c r="P763" s="1" t="s">
        <v>74</v>
      </c>
      <c r="Q763" s="1" t="s">
        <v>74</v>
      </c>
      <c r="R763" s="1" t="s">
        <v>74</v>
      </c>
      <c r="S763" s="1" t="s">
        <v>74</v>
      </c>
      <c r="T763" s="1" t="s">
        <v>6805</v>
      </c>
      <c r="U763" s="1" t="s">
        <v>74</v>
      </c>
      <c r="V763" s="1" t="s">
        <v>6806</v>
      </c>
      <c r="W763" s="1" t="s">
        <v>74</v>
      </c>
      <c r="X763" s="1" t="s">
        <v>74</v>
      </c>
      <c r="Y763" s="1" t="s">
        <v>74</v>
      </c>
      <c r="Z763" s="1" t="s">
        <v>74</v>
      </c>
      <c r="AA763" s="1" t="s">
        <v>74</v>
      </c>
      <c r="AB763" s="1" t="s">
        <v>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1158</v>
      </c>
      <c r="AP763" s="1" t="s">
        <v>74</v>
      </c>
      <c r="AQ763" s="1" t="s">
        <v>74</v>
      </c>
      <c r="AR763" s="1" t="s">
        <v>74</v>
      </c>
      <c r="AS763" s="1" t="s">
        <v>74</v>
      </c>
      <c r="AT763" s="1" t="s">
        <v>959</v>
      </c>
      <c r="AU763" s="1">
        <v>2025.0</v>
      </c>
      <c r="AV763" s="1" t="s">
        <v>74</v>
      </c>
      <c r="AW763" s="1" t="s">
        <v>74</v>
      </c>
      <c r="AX763" s="1" t="s">
        <v>74</v>
      </c>
      <c r="AY763" s="1" t="s">
        <v>74</v>
      </c>
      <c r="AZ763" s="1" t="s">
        <v>74</v>
      </c>
      <c r="BA763" s="1" t="s">
        <v>74</v>
      </c>
      <c r="BB763" s="1" t="s">
        <v>74</v>
      </c>
      <c r="BC763" s="1" t="s">
        <v>74</v>
      </c>
      <c r="BD763" s="1" t="s">
        <v>74</v>
      </c>
      <c r="BE763" s="1" t="s">
        <v>6807</v>
      </c>
      <c r="BF763" s="2" t="str">
        <f>HYPERLINK("http://dx.doi.org/10.1109/TCSS.2025.3623021","http://dx.doi.org/10.1109/TCSS.2025.3623021")</f>
        <v>http://dx.doi.org/10.1109/TCSS.2025.3623021</v>
      </c>
      <c r="BG763" s="1" t="s">
        <v>74</v>
      </c>
      <c r="BH763" s="1" t="s">
        <v>255</v>
      </c>
      <c r="BI763" s="1" t="s">
        <v>74</v>
      </c>
      <c r="BJ763" s="1" t="s">
        <v>74</v>
      </c>
      <c r="BK763" s="1" t="s">
        <v>74</v>
      </c>
      <c r="BL763" s="1" t="s">
        <v>174</v>
      </c>
      <c r="BM763" s="1" t="s">
        <v>74</v>
      </c>
      <c r="BN763" s="1" t="s">
        <v>74</v>
      </c>
      <c r="BO763" s="1" t="s">
        <v>74</v>
      </c>
      <c r="BP763" s="1" t="s">
        <v>74</v>
      </c>
      <c r="BQ763" s="1" t="s">
        <v>74</v>
      </c>
      <c r="BR763" s="1" t="s">
        <v>74</v>
      </c>
      <c r="BS763" s="1" t="s">
        <v>6808</v>
      </c>
      <c r="BT763" s="1" t="str">
        <f>HYPERLINK("https%3A%2F%2Fwww.webofscience.com%2Fwos%2Fwoscc%2Ffull-record%2FWOS:001611673000001","View Full Record in Web of Science")</f>
        <v>View Full Record in Web of Science</v>
      </c>
    </row>
    <row r="764" ht="12.75" customHeight="1">
      <c r="A764" s="1" t="s">
        <v>72</v>
      </c>
      <c r="B764" s="1" t="s">
        <v>6809</v>
      </c>
      <c r="C764" s="1" t="s">
        <v>74</v>
      </c>
      <c r="D764" s="1" t="s">
        <v>74</v>
      </c>
      <c r="E764" s="1" t="s">
        <v>74</v>
      </c>
      <c r="F764" s="1" t="s">
        <v>6810</v>
      </c>
      <c r="G764" s="1" t="s">
        <v>74</v>
      </c>
      <c r="H764" s="1" t="s">
        <v>74</v>
      </c>
      <c r="I764" s="1" t="s">
        <v>6811</v>
      </c>
      <c r="J764" s="1" t="s">
        <v>239</v>
      </c>
      <c r="K764" s="1" t="s">
        <v>74</v>
      </c>
      <c r="L764" s="1" t="s">
        <v>74</v>
      </c>
      <c r="M764" s="1" t="s">
        <v>74</v>
      </c>
      <c r="N764" s="1" t="s">
        <v>78</v>
      </c>
      <c r="O764" s="1" t="s">
        <v>74</v>
      </c>
      <c r="P764" s="1" t="s">
        <v>74</v>
      </c>
      <c r="Q764" s="1" t="s">
        <v>74</v>
      </c>
      <c r="R764" s="1" t="s">
        <v>74</v>
      </c>
      <c r="S764" s="1" t="s">
        <v>74</v>
      </c>
      <c r="T764" s="1" t="s">
        <v>6812</v>
      </c>
      <c r="U764" s="1" t="s">
        <v>6813</v>
      </c>
      <c r="V764" s="1" t="s">
        <v>6814</v>
      </c>
      <c r="W764" s="1" t="s">
        <v>74</v>
      </c>
      <c r="X764" s="1" t="s">
        <v>74</v>
      </c>
      <c r="Y764" s="1" t="s">
        <v>74</v>
      </c>
      <c r="Z764" s="1" t="s">
        <v>74</v>
      </c>
      <c r="AA764" s="1" t="s">
        <v>74</v>
      </c>
      <c r="AB764" s="1" t="s">
        <v>74</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242</v>
      </c>
      <c r="AP764" s="1" t="s">
        <v>74</v>
      </c>
      <c r="AQ764" s="1" t="s">
        <v>74</v>
      </c>
      <c r="AR764" s="1" t="s">
        <v>74</v>
      </c>
      <c r="AS764" s="1" t="s">
        <v>74</v>
      </c>
      <c r="AT764" s="1" t="s">
        <v>736</v>
      </c>
      <c r="AU764" s="1">
        <v>2025.0</v>
      </c>
      <c r="AV764" s="1">
        <v>14.0</v>
      </c>
      <c r="AW764" s="1">
        <v>2.0</v>
      </c>
      <c r="AX764" s="1" t="s">
        <v>74</v>
      </c>
      <c r="AY764" s="1" t="s">
        <v>74</v>
      </c>
      <c r="AZ764" s="1" t="s">
        <v>74</v>
      </c>
      <c r="BA764" s="1" t="s">
        <v>74</v>
      </c>
      <c r="BB764" s="1" t="s">
        <v>74</v>
      </c>
      <c r="BC764" s="1" t="s">
        <v>74</v>
      </c>
      <c r="BD764" s="1">
        <v>379.0</v>
      </c>
      <c r="BE764" s="1" t="s">
        <v>6815</v>
      </c>
      <c r="BF764" s="2" t="str">
        <f>HYPERLINK("http://dx.doi.org/10.3390/electronics14020379","http://dx.doi.org/10.3390/electronics14020379")</f>
        <v>http://dx.doi.org/10.3390/electronics14020379</v>
      </c>
      <c r="BG764" s="1" t="s">
        <v>74</v>
      </c>
      <c r="BH764" s="1" t="s">
        <v>74</v>
      </c>
      <c r="BI764" s="1" t="s">
        <v>74</v>
      </c>
      <c r="BJ764" s="1" t="s">
        <v>74</v>
      </c>
      <c r="BK764" s="1" t="s">
        <v>74</v>
      </c>
      <c r="BL764" s="1" t="s">
        <v>244</v>
      </c>
      <c r="BM764" s="1" t="s">
        <v>74</v>
      </c>
      <c r="BN764" s="1" t="s">
        <v>74</v>
      </c>
      <c r="BO764" s="1" t="s">
        <v>163</v>
      </c>
      <c r="BP764" s="1" t="s">
        <v>74</v>
      </c>
      <c r="BQ764" s="1" t="s">
        <v>74</v>
      </c>
      <c r="BR764" s="1" t="s">
        <v>74</v>
      </c>
      <c r="BS764" s="1" t="s">
        <v>6816</v>
      </c>
      <c r="BT764" s="1" t="str">
        <f>HYPERLINK("https%3A%2F%2Fwww.webofscience.com%2Fwos%2Fwoscc%2Ffull-record%2FWOS:001405357300001","View Full Record in Web of Science")</f>
        <v>View Full Record in Web of Science</v>
      </c>
    </row>
    <row r="765" ht="12.75" customHeight="1">
      <c r="A765" s="1" t="s">
        <v>72</v>
      </c>
      <c r="B765" s="1" t="s">
        <v>6817</v>
      </c>
      <c r="C765" s="1" t="s">
        <v>74</v>
      </c>
      <c r="D765" s="1" t="s">
        <v>74</v>
      </c>
      <c r="E765" s="1" t="s">
        <v>74</v>
      </c>
      <c r="F765" s="1" t="s">
        <v>6818</v>
      </c>
      <c r="G765" s="1" t="s">
        <v>74</v>
      </c>
      <c r="H765" s="1" t="s">
        <v>74</v>
      </c>
      <c r="I765" s="1" t="s">
        <v>6819</v>
      </c>
      <c r="J765" s="1" t="s">
        <v>2201</v>
      </c>
      <c r="K765" s="1" t="s">
        <v>74</v>
      </c>
      <c r="L765" s="1" t="s">
        <v>74</v>
      </c>
      <c r="M765" s="1" t="s">
        <v>74</v>
      </c>
      <c r="N765" s="1" t="s">
        <v>78</v>
      </c>
      <c r="O765" s="1" t="s">
        <v>74</v>
      </c>
      <c r="P765" s="1" t="s">
        <v>74</v>
      </c>
      <c r="Q765" s="1" t="s">
        <v>74</v>
      </c>
      <c r="R765" s="1" t="s">
        <v>74</v>
      </c>
      <c r="S765" s="1" t="s">
        <v>74</v>
      </c>
      <c r="T765" s="1" t="s">
        <v>6820</v>
      </c>
      <c r="U765" s="1" t="s">
        <v>6821</v>
      </c>
      <c r="V765" s="1" t="s">
        <v>6822</v>
      </c>
      <c r="W765" s="1" t="s">
        <v>74</v>
      </c>
      <c r="X765" s="1" t="s">
        <v>74</v>
      </c>
      <c r="Y765" s="1" t="s">
        <v>74</v>
      </c>
      <c r="Z765" s="1" t="s">
        <v>74</v>
      </c>
      <c r="AA765" s="1" t="s">
        <v>74</v>
      </c>
      <c r="AB765" s="1" t="s">
        <v>74</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2204</v>
      </c>
      <c r="AP765" s="1" t="s">
        <v>2205</v>
      </c>
      <c r="AQ765" s="1" t="s">
        <v>74</v>
      </c>
      <c r="AR765" s="1" t="s">
        <v>74</v>
      </c>
      <c r="AS765" s="1" t="s">
        <v>74</v>
      </c>
      <c r="AT765" s="1" t="s">
        <v>172</v>
      </c>
      <c r="AU765" s="1">
        <v>2024.0</v>
      </c>
      <c r="AV765" s="1">
        <v>197.0</v>
      </c>
      <c r="AW765" s="1" t="s">
        <v>74</v>
      </c>
      <c r="AX765" s="1" t="s">
        <v>74</v>
      </c>
      <c r="AY765" s="1" t="s">
        <v>74</v>
      </c>
      <c r="AZ765" s="1" t="s">
        <v>74</v>
      </c>
      <c r="BA765" s="1" t="s">
        <v>74</v>
      </c>
      <c r="BB765" s="1" t="s">
        <v>74</v>
      </c>
      <c r="BC765" s="1" t="s">
        <v>74</v>
      </c>
      <c r="BD765" s="1">
        <v>110574.0</v>
      </c>
      <c r="BE765" s="1" t="s">
        <v>6823</v>
      </c>
      <c r="BF765" s="2" t="str">
        <f>HYPERLINK("http://dx.doi.org/10.1016/j.cie.2024.110574","http://dx.doi.org/10.1016/j.cie.2024.110574")</f>
        <v>http://dx.doi.org/10.1016/j.cie.2024.110574</v>
      </c>
      <c r="BG765" s="1" t="s">
        <v>74</v>
      </c>
      <c r="BH765" s="1" t="s">
        <v>453</v>
      </c>
      <c r="BI765" s="1" t="s">
        <v>74</v>
      </c>
      <c r="BJ765" s="1" t="s">
        <v>74</v>
      </c>
      <c r="BK765" s="1" t="s">
        <v>74</v>
      </c>
      <c r="BL765" s="1" t="s">
        <v>98</v>
      </c>
      <c r="BM765" s="1" t="s">
        <v>74</v>
      </c>
      <c r="BN765" s="1" t="s">
        <v>74</v>
      </c>
      <c r="BO765" s="1" t="s">
        <v>74</v>
      </c>
      <c r="BP765" s="1" t="s">
        <v>74</v>
      </c>
      <c r="BQ765" s="1" t="s">
        <v>74</v>
      </c>
      <c r="BR765" s="1" t="s">
        <v>74</v>
      </c>
      <c r="BS765" s="1" t="s">
        <v>6824</v>
      </c>
      <c r="BT765" s="1" t="str">
        <f>HYPERLINK("https%3A%2F%2Fwww.webofscience.com%2Fwos%2Fwoscc%2Ffull-record%2FWOS:001321082300001","View Full Record in Web of Science")</f>
        <v>View Full Record in Web of Science</v>
      </c>
    </row>
    <row r="766" ht="12.75" customHeight="1">
      <c r="A766" s="1" t="s">
        <v>72</v>
      </c>
      <c r="B766" s="1" t="s">
        <v>6825</v>
      </c>
      <c r="C766" s="1" t="s">
        <v>74</v>
      </c>
      <c r="D766" s="1" t="s">
        <v>74</v>
      </c>
      <c r="E766" s="1" t="s">
        <v>74</v>
      </c>
      <c r="F766" s="1" t="s">
        <v>6826</v>
      </c>
      <c r="G766" s="1" t="s">
        <v>74</v>
      </c>
      <c r="H766" s="1" t="s">
        <v>74</v>
      </c>
      <c r="I766" s="1" t="s">
        <v>6827</v>
      </c>
      <c r="J766" s="1" t="s">
        <v>6828</v>
      </c>
      <c r="K766" s="1" t="s">
        <v>74</v>
      </c>
      <c r="L766" s="1" t="s">
        <v>74</v>
      </c>
      <c r="M766" s="1" t="s">
        <v>74</v>
      </c>
      <c r="N766" s="1" t="s">
        <v>78</v>
      </c>
      <c r="O766" s="1" t="s">
        <v>74</v>
      </c>
      <c r="P766" s="1" t="s">
        <v>74</v>
      </c>
      <c r="Q766" s="1" t="s">
        <v>74</v>
      </c>
      <c r="R766" s="1" t="s">
        <v>74</v>
      </c>
      <c r="S766" s="1" t="s">
        <v>74</v>
      </c>
      <c r="T766" s="1" t="s">
        <v>6829</v>
      </c>
      <c r="U766" s="1" t="s">
        <v>6830</v>
      </c>
      <c r="V766" s="1" t="s">
        <v>6831</v>
      </c>
      <c r="W766" s="1" t="s">
        <v>74</v>
      </c>
      <c r="X766" s="1" t="s">
        <v>74</v>
      </c>
      <c r="Y766" s="1" t="s">
        <v>74</v>
      </c>
      <c r="Z766" s="1" t="s">
        <v>74</v>
      </c>
      <c r="AA766" s="1" t="s">
        <v>74</v>
      </c>
      <c r="AB766" s="1" t="s">
        <v>74</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6832</v>
      </c>
      <c r="AP766" s="1" t="s">
        <v>6833</v>
      </c>
      <c r="AQ766" s="1" t="s">
        <v>74</v>
      </c>
      <c r="AR766" s="1" t="s">
        <v>74</v>
      </c>
      <c r="AS766" s="1" t="s">
        <v>74</v>
      </c>
      <c r="AT766" s="1" t="s">
        <v>200</v>
      </c>
      <c r="AU766" s="1">
        <v>2025.0</v>
      </c>
      <c r="AV766" s="1">
        <v>34.0</v>
      </c>
      <c r="AW766" s="1">
        <v>6.0</v>
      </c>
      <c r="AX766" s="1" t="s">
        <v>74</v>
      </c>
      <c r="AY766" s="1" t="s">
        <v>74</v>
      </c>
      <c r="AZ766" s="1" t="s">
        <v>74</v>
      </c>
      <c r="BA766" s="1" t="s">
        <v>74</v>
      </c>
      <c r="BB766" s="1">
        <v>1303.0</v>
      </c>
      <c r="BC766" s="1">
        <v>1326.0</v>
      </c>
      <c r="BD766" s="1" t="s">
        <v>74</v>
      </c>
      <c r="BE766" s="1" t="s">
        <v>6834</v>
      </c>
      <c r="BF766" s="2" t="str">
        <f>HYPERLINK("http://dx.doi.org/10.1007/s10726-025-09946-9","http://dx.doi.org/10.1007/s10726-025-09946-9")</f>
        <v>http://dx.doi.org/10.1007/s10726-025-09946-9</v>
      </c>
      <c r="BG766" s="1" t="s">
        <v>74</v>
      </c>
      <c r="BH766" s="1" t="s">
        <v>738</v>
      </c>
      <c r="BI766" s="1" t="s">
        <v>74</v>
      </c>
      <c r="BJ766" s="1" t="s">
        <v>74</v>
      </c>
      <c r="BK766" s="1" t="s">
        <v>74</v>
      </c>
      <c r="BL766" s="1" t="s">
        <v>6835</v>
      </c>
      <c r="BM766" s="1" t="s">
        <v>74</v>
      </c>
      <c r="BN766" s="1" t="s">
        <v>74</v>
      </c>
      <c r="BO766" s="1" t="s">
        <v>114</v>
      </c>
      <c r="BP766" s="1" t="s">
        <v>74</v>
      </c>
      <c r="BQ766" s="1" t="s">
        <v>74</v>
      </c>
      <c r="BR766" s="1" t="s">
        <v>74</v>
      </c>
      <c r="BS766" s="1" t="s">
        <v>6836</v>
      </c>
      <c r="BT766" s="1" t="str">
        <f>HYPERLINK("https%3A%2F%2Fwww.webofscience.com%2Fwos%2Fwoscc%2Ffull-record%2FWOS:001573781000001","View Full Record in Web of Science")</f>
        <v>View Full Record in Web of Science</v>
      </c>
    </row>
    <row r="767" ht="12.75" customHeight="1">
      <c r="A767" s="1" t="s">
        <v>72</v>
      </c>
      <c r="B767" s="1" t="s">
        <v>6837</v>
      </c>
      <c r="C767" s="1" t="s">
        <v>74</v>
      </c>
      <c r="D767" s="1" t="s">
        <v>74</v>
      </c>
      <c r="E767" s="1" t="s">
        <v>74</v>
      </c>
      <c r="F767" s="1" t="s">
        <v>6838</v>
      </c>
      <c r="G767" s="1" t="s">
        <v>74</v>
      </c>
      <c r="H767" s="1" t="s">
        <v>74</v>
      </c>
      <c r="I767" s="1" t="s">
        <v>6839</v>
      </c>
      <c r="J767" s="1" t="s">
        <v>6840</v>
      </c>
      <c r="K767" s="1" t="s">
        <v>74</v>
      </c>
      <c r="L767" s="1" t="s">
        <v>74</v>
      </c>
      <c r="M767" s="1" t="s">
        <v>74</v>
      </c>
      <c r="N767" s="1" t="s">
        <v>78</v>
      </c>
      <c r="O767" s="1" t="s">
        <v>74</v>
      </c>
      <c r="P767" s="1" t="s">
        <v>74</v>
      </c>
      <c r="Q767" s="1" t="s">
        <v>74</v>
      </c>
      <c r="R767" s="1" t="s">
        <v>74</v>
      </c>
      <c r="S767" s="1" t="s">
        <v>74</v>
      </c>
      <c r="T767" s="1" t="s">
        <v>74</v>
      </c>
      <c r="U767" s="1" t="s">
        <v>74</v>
      </c>
      <c r="V767" s="1" t="s">
        <v>6841</v>
      </c>
      <c r="W767" s="1" t="s">
        <v>74</v>
      </c>
      <c r="X767" s="1" t="s">
        <v>74</v>
      </c>
      <c r="Y767" s="1" t="s">
        <v>74</v>
      </c>
      <c r="Z767" s="1" t="s">
        <v>74</v>
      </c>
      <c r="AA767" s="1" t="s">
        <v>74</v>
      </c>
      <c r="AB767" s="1" t="s">
        <v>74</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6842</v>
      </c>
      <c r="AP767" s="1" t="s">
        <v>6843</v>
      </c>
      <c r="AQ767" s="1" t="s">
        <v>74</v>
      </c>
      <c r="AR767" s="1" t="s">
        <v>74</v>
      </c>
      <c r="AS767" s="1" t="s">
        <v>74</v>
      </c>
      <c r="AT767" s="1" t="s">
        <v>74</v>
      </c>
      <c r="AU767" s="1">
        <v>2024.0</v>
      </c>
      <c r="AV767" s="1">
        <v>106.0</v>
      </c>
      <c r="AW767" s="1">
        <v>12.0</v>
      </c>
      <c r="AX767" s="1" t="s">
        <v>74</v>
      </c>
      <c r="AY767" s="1" t="s">
        <v>74</v>
      </c>
      <c r="AZ767" s="1" t="s">
        <v>74</v>
      </c>
      <c r="BA767" s="1" t="s">
        <v>74</v>
      </c>
      <c r="BB767" s="1">
        <v>1.0</v>
      </c>
      <c r="BC767" s="1">
        <v>14.0</v>
      </c>
      <c r="BD767" s="1" t="s">
        <v>74</v>
      </c>
      <c r="BE767" s="1" t="s">
        <v>6844</v>
      </c>
      <c r="BF767" s="2" t="str">
        <f>HYPERLINK("http://dx.doi.org/10.20955/r.2024.12","http://dx.doi.org/10.20955/r.2024.12")</f>
        <v>http://dx.doi.org/10.20955/r.2024.12</v>
      </c>
      <c r="BG767" s="1" t="s">
        <v>74</v>
      </c>
      <c r="BH767" s="1" t="s">
        <v>74</v>
      </c>
      <c r="BI767" s="1" t="s">
        <v>74</v>
      </c>
      <c r="BJ767" s="1" t="s">
        <v>74</v>
      </c>
      <c r="BK767" s="1" t="s">
        <v>74</v>
      </c>
      <c r="BL767" s="1" t="s">
        <v>214</v>
      </c>
      <c r="BM767" s="1" t="s">
        <v>74</v>
      </c>
      <c r="BN767" s="1" t="s">
        <v>74</v>
      </c>
      <c r="BO767" s="1" t="s">
        <v>74</v>
      </c>
      <c r="BP767" s="1" t="s">
        <v>74</v>
      </c>
      <c r="BQ767" s="1" t="s">
        <v>74</v>
      </c>
      <c r="BR767" s="1" t="s">
        <v>74</v>
      </c>
      <c r="BS767" s="1" t="s">
        <v>6845</v>
      </c>
      <c r="BT767" s="1" t="str">
        <f>HYPERLINK("https%3A%2F%2Fwww.webofscience.com%2Fwos%2Fwoscc%2Ffull-record%2FWOS:001399870600001","View Full Record in Web of Science")</f>
        <v>View Full Record in Web of Science</v>
      </c>
    </row>
    <row r="768" ht="12.75" customHeight="1">
      <c r="A768" s="1" t="s">
        <v>72</v>
      </c>
      <c r="B768" s="1" t="s">
        <v>6846</v>
      </c>
      <c r="C768" s="1" t="s">
        <v>74</v>
      </c>
      <c r="D768" s="1" t="s">
        <v>74</v>
      </c>
      <c r="E768" s="1" t="s">
        <v>74</v>
      </c>
      <c r="F768" s="1" t="s">
        <v>6847</v>
      </c>
      <c r="G768" s="1" t="s">
        <v>74</v>
      </c>
      <c r="H768" s="1" t="s">
        <v>74</v>
      </c>
      <c r="I768" s="1" t="s">
        <v>6848</v>
      </c>
      <c r="J768" s="1" t="s">
        <v>147</v>
      </c>
      <c r="K768" s="1" t="s">
        <v>74</v>
      </c>
      <c r="L768" s="1" t="s">
        <v>74</v>
      </c>
      <c r="M768" s="1" t="s">
        <v>74</v>
      </c>
      <c r="N768" s="1" t="s">
        <v>78</v>
      </c>
      <c r="O768" s="1" t="s">
        <v>74</v>
      </c>
      <c r="P768" s="1" t="s">
        <v>74</v>
      </c>
      <c r="Q768" s="1" t="s">
        <v>74</v>
      </c>
      <c r="R768" s="1" t="s">
        <v>74</v>
      </c>
      <c r="S768" s="1" t="s">
        <v>74</v>
      </c>
      <c r="T768" s="1" t="s">
        <v>6849</v>
      </c>
      <c r="U768" s="1" t="s">
        <v>6850</v>
      </c>
      <c r="V768" s="1" t="s">
        <v>6851</v>
      </c>
      <c r="W768" s="1" t="s">
        <v>74</v>
      </c>
      <c r="X768" s="1" t="s">
        <v>74</v>
      </c>
      <c r="Y768" s="1" t="s">
        <v>74</v>
      </c>
      <c r="Z768" s="1" t="s">
        <v>74</v>
      </c>
      <c r="AA768" s="1" t="s">
        <v>74</v>
      </c>
      <c r="AB768" s="1" t="s">
        <v>74</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150</v>
      </c>
      <c r="AP768" s="1" t="s">
        <v>74</v>
      </c>
      <c r="AQ768" s="1" t="s">
        <v>74</v>
      </c>
      <c r="AR768" s="1" t="s">
        <v>74</v>
      </c>
      <c r="AS768" s="1" t="s">
        <v>74</v>
      </c>
      <c r="AT768" s="1" t="s">
        <v>74</v>
      </c>
      <c r="AU768" s="1">
        <v>2025.0</v>
      </c>
      <c r="AV768" s="1">
        <v>13.0</v>
      </c>
      <c r="AW768" s="1" t="s">
        <v>74</v>
      </c>
      <c r="AX768" s="1" t="s">
        <v>74</v>
      </c>
      <c r="AY768" s="1" t="s">
        <v>74</v>
      </c>
      <c r="AZ768" s="1" t="s">
        <v>74</v>
      </c>
      <c r="BA768" s="1" t="s">
        <v>74</v>
      </c>
      <c r="BB768" s="1">
        <v>173312.0</v>
      </c>
      <c r="BC768" s="1">
        <v>173333.0</v>
      </c>
      <c r="BD768" s="1" t="s">
        <v>74</v>
      </c>
      <c r="BE768" s="1" t="s">
        <v>6852</v>
      </c>
      <c r="BF768" s="2" t="str">
        <f>HYPERLINK("http://dx.doi.org/10.1109/ACCESS.2025.3613246","http://dx.doi.org/10.1109/ACCESS.2025.3613246")</f>
        <v>http://dx.doi.org/10.1109/ACCESS.2025.3613246</v>
      </c>
      <c r="BG768" s="1" t="s">
        <v>74</v>
      </c>
      <c r="BH768" s="1" t="s">
        <v>74</v>
      </c>
      <c r="BI768" s="1" t="s">
        <v>74</v>
      </c>
      <c r="BJ768" s="1" t="s">
        <v>74</v>
      </c>
      <c r="BK768" s="1" t="s">
        <v>74</v>
      </c>
      <c r="BL768" s="1" t="s">
        <v>152</v>
      </c>
      <c r="BM768" s="1" t="s">
        <v>74</v>
      </c>
      <c r="BN768" s="1" t="s">
        <v>74</v>
      </c>
      <c r="BO768" s="1" t="s">
        <v>153</v>
      </c>
      <c r="BP768" s="1" t="s">
        <v>74</v>
      </c>
      <c r="BQ768" s="1" t="s">
        <v>74</v>
      </c>
      <c r="BR768" s="1" t="s">
        <v>74</v>
      </c>
      <c r="BS768" s="1" t="s">
        <v>6853</v>
      </c>
      <c r="BT768" s="1" t="str">
        <f>HYPERLINK("https%3A%2F%2Fwww.webofscience.com%2Fwos%2Fwoscc%2Ffull-record%2FWOS:001591699200047","View Full Record in Web of Science")</f>
        <v>View Full Record in Web of Science</v>
      </c>
    </row>
    <row r="769" ht="12.75" customHeight="1">
      <c r="A769" s="1" t="s">
        <v>72</v>
      </c>
      <c r="B769" s="1" t="s">
        <v>6854</v>
      </c>
      <c r="C769" s="1" t="s">
        <v>74</v>
      </c>
      <c r="D769" s="1" t="s">
        <v>74</v>
      </c>
      <c r="E769" s="1" t="s">
        <v>74</v>
      </c>
      <c r="F769" s="1" t="s">
        <v>6855</v>
      </c>
      <c r="G769" s="1" t="s">
        <v>74</v>
      </c>
      <c r="H769" s="1" t="s">
        <v>74</v>
      </c>
      <c r="I769" s="1" t="s">
        <v>6856</v>
      </c>
      <c r="J769" s="1" t="s">
        <v>2572</v>
      </c>
      <c r="K769" s="1" t="s">
        <v>74</v>
      </c>
      <c r="L769" s="1" t="s">
        <v>74</v>
      </c>
      <c r="M769" s="1" t="s">
        <v>74</v>
      </c>
      <c r="N769" s="1" t="s">
        <v>78</v>
      </c>
      <c r="O769" s="1" t="s">
        <v>74</v>
      </c>
      <c r="P769" s="1" t="s">
        <v>74</v>
      </c>
      <c r="Q769" s="1" t="s">
        <v>74</v>
      </c>
      <c r="R769" s="1" t="s">
        <v>74</v>
      </c>
      <c r="S769" s="1" t="s">
        <v>74</v>
      </c>
      <c r="T769" s="1" t="s">
        <v>6857</v>
      </c>
      <c r="U769" s="1" t="s">
        <v>1137</v>
      </c>
      <c r="V769" s="1" t="s">
        <v>6858</v>
      </c>
      <c r="W769" s="1" t="s">
        <v>74</v>
      </c>
      <c r="X769" s="1" t="s">
        <v>74</v>
      </c>
      <c r="Y769" s="1" t="s">
        <v>74</v>
      </c>
      <c r="Z769" s="1" t="s">
        <v>74</v>
      </c>
      <c r="AA769" s="1" t="s">
        <v>74</v>
      </c>
      <c r="AB769" s="1" t="s">
        <v>74</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2575</v>
      </c>
      <c r="AP769" s="1" t="s">
        <v>74</v>
      </c>
      <c r="AQ769" s="1" t="s">
        <v>74</v>
      </c>
      <c r="AR769" s="1" t="s">
        <v>74</v>
      </c>
      <c r="AS769" s="1" t="s">
        <v>74</v>
      </c>
      <c r="AT769" s="1" t="s">
        <v>4817</v>
      </c>
      <c r="AU769" s="1">
        <v>2025.0</v>
      </c>
      <c r="AV769" s="1">
        <v>12.0</v>
      </c>
      <c r="AW769" s="1">
        <v>19.0</v>
      </c>
      <c r="AX769" s="1" t="s">
        <v>74</v>
      </c>
      <c r="AY769" s="1" t="s">
        <v>74</v>
      </c>
      <c r="AZ769" s="1" t="s">
        <v>74</v>
      </c>
      <c r="BA769" s="1" t="s">
        <v>74</v>
      </c>
      <c r="BB769" s="1">
        <v>39185.0</v>
      </c>
      <c r="BC769" s="1">
        <v>39196.0</v>
      </c>
      <c r="BD769" s="1" t="s">
        <v>74</v>
      </c>
      <c r="BE769" s="1" t="s">
        <v>6859</v>
      </c>
      <c r="BF769" s="2" t="str">
        <f>HYPERLINK("http://dx.doi.org/10.1109/JIOT.2025.3540820","http://dx.doi.org/10.1109/JIOT.2025.3540820")</f>
        <v>http://dx.doi.org/10.1109/JIOT.2025.3540820</v>
      </c>
      <c r="BG769" s="1" t="s">
        <v>74</v>
      </c>
      <c r="BH769" s="1" t="s">
        <v>74</v>
      </c>
      <c r="BI769" s="1" t="s">
        <v>74</v>
      </c>
      <c r="BJ769" s="1" t="s">
        <v>74</v>
      </c>
      <c r="BK769" s="1" t="s">
        <v>74</v>
      </c>
      <c r="BL769" s="1" t="s">
        <v>152</v>
      </c>
      <c r="BM769" s="1" t="s">
        <v>74</v>
      </c>
      <c r="BN769" s="1" t="s">
        <v>74</v>
      </c>
      <c r="BO769" s="1" t="s">
        <v>74</v>
      </c>
      <c r="BP769" s="1" t="s">
        <v>74</v>
      </c>
      <c r="BQ769" s="1" t="s">
        <v>74</v>
      </c>
      <c r="BR769" s="1" t="s">
        <v>74</v>
      </c>
      <c r="BS769" s="1" t="s">
        <v>6860</v>
      </c>
      <c r="BT769" s="1" t="str">
        <f>HYPERLINK("https%3A%2F%2Fwww.webofscience.com%2Fwos%2Fwoscc%2Ffull-record%2FWOS:001579048500011","View Full Record in Web of Science")</f>
        <v>View Full Record in Web of Science</v>
      </c>
    </row>
    <row r="770" ht="12.75" customHeight="1">
      <c r="A770" s="1" t="s">
        <v>72</v>
      </c>
      <c r="B770" s="1" t="s">
        <v>6861</v>
      </c>
      <c r="C770" s="1" t="s">
        <v>74</v>
      </c>
      <c r="D770" s="1" t="s">
        <v>74</v>
      </c>
      <c r="E770" s="1" t="s">
        <v>74</v>
      </c>
      <c r="F770" s="1" t="s">
        <v>6862</v>
      </c>
      <c r="G770" s="1" t="s">
        <v>74</v>
      </c>
      <c r="H770" s="1" t="s">
        <v>74</v>
      </c>
      <c r="I770" s="1" t="s">
        <v>6863</v>
      </c>
      <c r="J770" s="1" t="s">
        <v>147</v>
      </c>
      <c r="K770" s="1" t="s">
        <v>74</v>
      </c>
      <c r="L770" s="1" t="s">
        <v>74</v>
      </c>
      <c r="M770" s="1" t="s">
        <v>74</v>
      </c>
      <c r="N770" s="1" t="s">
        <v>78</v>
      </c>
      <c r="O770" s="1" t="s">
        <v>74</v>
      </c>
      <c r="P770" s="1" t="s">
        <v>74</v>
      </c>
      <c r="Q770" s="1" t="s">
        <v>74</v>
      </c>
      <c r="R770" s="1" t="s">
        <v>74</v>
      </c>
      <c r="S770" s="1" t="s">
        <v>74</v>
      </c>
      <c r="T770" s="1" t="s">
        <v>6864</v>
      </c>
      <c r="U770" s="1" t="s">
        <v>6865</v>
      </c>
      <c r="V770" s="1" t="s">
        <v>6866</v>
      </c>
      <c r="W770" s="1" t="s">
        <v>74</v>
      </c>
      <c r="X770" s="1" t="s">
        <v>74</v>
      </c>
      <c r="Y770" s="1" t="s">
        <v>74</v>
      </c>
      <c r="Z770" s="1" t="s">
        <v>74</v>
      </c>
      <c r="AA770" s="1" t="s">
        <v>74</v>
      </c>
      <c r="AB770" s="1" t="s">
        <v>74</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150</v>
      </c>
      <c r="AP770" s="1" t="s">
        <v>74</v>
      </c>
      <c r="AQ770" s="1" t="s">
        <v>74</v>
      </c>
      <c r="AR770" s="1" t="s">
        <v>74</v>
      </c>
      <c r="AS770" s="1" t="s">
        <v>74</v>
      </c>
      <c r="AT770" s="1" t="s">
        <v>74</v>
      </c>
      <c r="AU770" s="1">
        <v>2025.0</v>
      </c>
      <c r="AV770" s="1">
        <v>13.0</v>
      </c>
      <c r="AW770" s="1" t="s">
        <v>74</v>
      </c>
      <c r="AX770" s="1" t="s">
        <v>74</v>
      </c>
      <c r="AY770" s="1" t="s">
        <v>74</v>
      </c>
      <c r="AZ770" s="1" t="s">
        <v>74</v>
      </c>
      <c r="BA770" s="1" t="s">
        <v>74</v>
      </c>
      <c r="BB770" s="1">
        <v>168405.0</v>
      </c>
      <c r="BC770" s="1">
        <v>168419.0</v>
      </c>
      <c r="BD770" s="1" t="s">
        <v>74</v>
      </c>
      <c r="BE770" s="1" t="s">
        <v>6867</v>
      </c>
      <c r="BF770" s="2" t="str">
        <f>HYPERLINK("http://dx.doi.org/10.1109/ACCESS.2025.3613588","http://dx.doi.org/10.1109/ACCESS.2025.3613588")</f>
        <v>http://dx.doi.org/10.1109/ACCESS.2025.3613588</v>
      </c>
      <c r="BG770" s="1" t="s">
        <v>74</v>
      </c>
      <c r="BH770" s="1" t="s">
        <v>74</v>
      </c>
      <c r="BI770" s="1" t="s">
        <v>74</v>
      </c>
      <c r="BJ770" s="1" t="s">
        <v>74</v>
      </c>
      <c r="BK770" s="1" t="s">
        <v>74</v>
      </c>
      <c r="BL770" s="1" t="s">
        <v>152</v>
      </c>
      <c r="BM770" s="1" t="s">
        <v>74</v>
      </c>
      <c r="BN770" s="1" t="s">
        <v>74</v>
      </c>
      <c r="BO770" s="1" t="s">
        <v>153</v>
      </c>
      <c r="BP770" s="1" t="s">
        <v>74</v>
      </c>
      <c r="BQ770" s="1" t="s">
        <v>74</v>
      </c>
      <c r="BR770" s="1" t="s">
        <v>74</v>
      </c>
      <c r="BS770" s="1" t="s">
        <v>6868</v>
      </c>
      <c r="BT770" s="1" t="str">
        <f>HYPERLINK("https%3A%2F%2Fwww.webofscience.com%2Fwos%2Fwoscc%2Ffull-record%2FWOS:001586193100047","View Full Record in Web of Science")</f>
        <v>View Full Record in Web of Science</v>
      </c>
    </row>
    <row r="771" ht="12.75" customHeight="1">
      <c r="A771" s="1" t="s">
        <v>72</v>
      </c>
      <c r="B771" s="1" t="s">
        <v>6869</v>
      </c>
      <c r="C771" s="1" t="s">
        <v>74</v>
      </c>
      <c r="D771" s="1" t="s">
        <v>74</v>
      </c>
      <c r="E771" s="1" t="s">
        <v>74</v>
      </c>
      <c r="F771" s="1" t="s">
        <v>6870</v>
      </c>
      <c r="G771" s="1" t="s">
        <v>74</v>
      </c>
      <c r="H771" s="1" t="s">
        <v>74</v>
      </c>
      <c r="I771" s="1" t="s">
        <v>6871</v>
      </c>
      <c r="J771" s="1" t="s">
        <v>3212</v>
      </c>
      <c r="K771" s="1" t="s">
        <v>74</v>
      </c>
      <c r="L771" s="1" t="s">
        <v>74</v>
      </c>
      <c r="M771" s="1" t="s">
        <v>74</v>
      </c>
      <c r="N771" s="1" t="s">
        <v>78</v>
      </c>
      <c r="O771" s="1" t="s">
        <v>74</v>
      </c>
      <c r="P771" s="1" t="s">
        <v>74</v>
      </c>
      <c r="Q771" s="1" t="s">
        <v>74</v>
      </c>
      <c r="R771" s="1" t="s">
        <v>74</v>
      </c>
      <c r="S771" s="1" t="s">
        <v>74</v>
      </c>
      <c r="T771" s="1" t="s">
        <v>6872</v>
      </c>
      <c r="U771" s="1" t="s">
        <v>6873</v>
      </c>
      <c r="V771" s="1" t="s">
        <v>6874</v>
      </c>
      <c r="W771" s="1" t="s">
        <v>74</v>
      </c>
      <c r="X771" s="1" t="s">
        <v>74</v>
      </c>
      <c r="Y771" s="1" t="s">
        <v>74</v>
      </c>
      <c r="Z771" s="1" t="s">
        <v>74</v>
      </c>
      <c r="AA771" s="1" t="s">
        <v>74</v>
      </c>
      <c r="AB771" s="1" t="s">
        <v>74</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3215</v>
      </c>
      <c r="AP771" s="1" t="s">
        <v>3216</v>
      </c>
      <c r="AQ771" s="1" t="s">
        <v>74</v>
      </c>
      <c r="AR771" s="1" t="s">
        <v>74</v>
      </c>
      <c r="AS771" s="1" t="s">
        <v>74</v>
      </c>
      <c r="AT771" s="1" t="s">
        <v>464</v>
      </c>
      <c r="AU771" s="1">
        <v>2025.0</v>
      </c>
      <c r="AV771" s="1">
        <v>67.0</v>
      </c>
      <c r="AW771" s="1">
        <v>8.0</v>
      </c>
      <c r="AX771" s="1" t="s">
        <v>74</v>
      </c>
      <c r="AY771" s="1" t="s">
        <v>74</v>
      </c>
      <c r="AZ771" s="1" t="s">
        <v>74</v>
      </c>
      <c r="BA771" s="1" t="s">
        <v>74</v>
      </c>
      <c r="BB771" s="1">
        <v>6825.0</v>
      </c>
      <c r="BC771" s="1">
        <v>6843.0</v>
      </c>
      <c r="BD771" s="1" t="s">
        <v>74</v>
      </c>
      <c r="BE771" s="1" t="s">
        <v>6875</v>
      </c>
      <c r="BF771" s="2" t="str">
        <f>HYPERLINK("http://dx.doi.org/10.1007/s10115-025-02428-z","http://dx.doi.org/10.1007/s10115-025-02428-z")</f>
        <v>http://dx.doi.org/10.1007/s10115-025-02428-z</v>
      </c>
      <c r="BG771" s="1" t="s">
        <v>74</v>
      </c>
      <c r="BH771" s="1" t="s">
        <v>526</v>
      </c>
      <c r="BI771" s="1" t="s">
        <v>74</v>
      </c>
      <c r="BJ771" s="1" t="s">
        <v>74</v>
      </c>
      <c r="BK771" s="1" t="s">
        <v>74</v>
      </c>
      <c r="BL771" s="1" t="s">
        <v>174</v>
      </c>
      <c r="BM771" s="1" t="s">
        <v>74</v>
      </c>
      <c r="BN771" s="1" t="s">
        <v>74</v>
      </c>
      <c r="BO771" s="1" t="s">
        <v>74</v>
      </c>
      <c r="BP771" s="1" t="s">
        <v>74</v>
      </c>
      <c r="BQ771" s="1" t="s">
        <v>74</v>
      </c>
      <c r="BR771" s="1" t="s">
        <v>74</v>
      </c>
      <c r="BS771" s="1" t="s">
        <v>6876</v>
      </c>
      <c r="BT771" s="1" t="str">
        <f>HYPERLINK("https%3A%2F%2Fwww.webofscience.com%2Fwos%2Fwoscc%2Ffull-record%2FWOS:001478385500001","View Full Record in Web of Science")</f>
        <v>View Full Record in Web of Science</v>
      </c>
    </row>
    <row r="772" ht="12.75" customHeight="1">
      <c r="A772" s="1" t="s">
        <v>72</v>
      </c>
      <c r="B772" s="1" t="s">
        <v>6877</v>
      </c>
      <c r="C772" s="1" t="s">
        <v>74</v>
      </c>
      <c r="D772" s="1" t="s">
        <v>74</v>
      </c>
      <c r="E772" s="1" t="s">
        <v>74</v>
      </c>
      <c r="F772" s="1" t="s">
        <v>6878</v>
      </c>
      <c r="G772" s="1" t="s">
        <v>74</v>
      </c>
      <c r="H772" s="1" t="s">
        <v>74</v>
      </c>
      <c r="I772" s="1" t="s">
        <v>6879</v>
      </c>
      <c r="J772" s="1" t="s">
        <v>2928</v>
      </c>
      <c r="K772" s="1" t="s">
        <v>74</v>
      </c>
      <c r="L772" s="1" t="s">
        <v>74</v>
      </c>
      <c r="M772" s="1" t="s">
        <v>74</v>
      </c>
      <c r="N772" s="1" t="s">
        <v>78</v>
      </c>
      <c r="O772" s="1" t="s">
        <v>74</v>
      </c>
      <c r="P772" s="1" t="s">
        <v>74</v>
      </c>
      <c r="Q772" s="1" t="s">
        <v>74</v>
      </c>
      <c r="R772" s="1" t="s">
        <v>74</v>
      </c>
      <c r="S772" s="1" t="s">
        <v>74</v>
      </c>
      <c r="T772" s="1" t="s">
        <v>6880</v>
      </c>
      <c r="U772" s="1" t="s">
        <v>74</v>
      </c>
      <c r="V772" s="1" t="s">
        <v>6881</v>
      </c>
      <c r="W772" s="1" t="s">
        <v>74</v>
      </c>
      <c r="X772" s="1" t="s">
        <v>74</v>
      </c>
      <c r="Y772" s="1" t="s">
        <v>74</v>
      </c>
      <c r="Z772" s="1" t="s">
        <v>74</v>
      </c>
      <c r="AA772" s="1" t="s">
        <v>74</v>
      </c>
      <c r="AB772" s="1" t="s">
        <v>74</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2931</v>
      </c>
      <c r="AP772" s="1" t="s">
        <v>2932</v>
      </c>
      <c r="AQ772" s="1" t="s">
        <v>74</v>
      </c>
      <c r="AR772" s="1" t="s">
        <v>74</v>
      </c>
      <c r="AS772" s="1" t="s">
        <v>74</v>
      </c>
      <c r="AT772" s="1" t="s">
        <v>736</v>
      </c>
      <c r="AU772" s="1">
        <v>2026.0</v>
      </c>
      <c r="AV772" s="1">
        <v>69.0</v>
      </c>
      <c r="AW772" s="1" t="s">
        <v>74</v>
      </c>
      <c r="AX772" s="1" t="s">
        <v>1927</v>
      </c>
      <c r="AY772" s="1" t="s">
        <v>74</v>
      </c>
      <c r="AZ772" s="1" t="s">
        <v>74</v>
      </c>
      <c r="BA772" s="1" t="s">
        <v>74</v>
      </c>
      <c r="BB772" s="1" t="s">
        <v>74</v>
      </c>
      <c r="BC772" s="1" t="s">
        <v>74</v>
      </c>
      <c r="BD772" s="1">
        <v>104135.0</v>
      </c>
      <c r="BE772" s="1" t="s">
        <v>6882</v>
      </c>
      <c r="BF772" s="2" t="str">
        <f>HYPERLINK("http://dx.doi.org/10.1016/j.aei.2025.104135","http://dx.doi.org/10.1016/j.aei.2025.104135")</f>
        <v>http://dx.doi.org/10.1016/j.aei.2025.104135</v>
      </c>
      <c r="BG772" s="1" t="s">
        <v>74</v>
      </c>
      <c r="BH772" s="1" t="s">
        <v>255</v>
      </c>
      <c r="BI772" s="1" t="s">
        <v>74</v>
      </c>
      <c r="BJ772" s="1" t="s">
        <v>74</v>
      </c>
      <c r="BK772" s="1" t="s">
        <v>74</v>
      </c>
      <c r="BL772" s="1" t="s">
        <v>98</v>
      </c>
      <c r="BM772" s="1" t="s">
        <v>74</v>
      </c>
      <c r="BN772" s="1" t="s">
        <v>74</v>
      </c>
      <c r="BO772" s="1" t="s">
        <v>74</v>
      </c>
      <c r="BP772" s="1" t="s">
        <v>74</v>
      </c>
      <c r="BQ772" s="1" t="s">
        <v>74</v>
      </c>
      <c r="BR772" s="1" t="s">
        <v>74</v>
      </c>
      <c r="BS772" s="1" t="s">
        <v>6883</v>
      </c>
      <c r="BT772" s="1" t="str">
        <f>HYPERLINK("https%3A%2F%2Fwww.webofscience.com%2Fwos%2Fwoscc%2Ffull-record%2FWOS:001630534500001","View Full Record in Web of Science")</f>
        <v>View Full Record in Web of Science</v>
      </c>
    </row>
    <row r="773" ht="12.75" customHeight="1">
      <c r="A773" s="1" t="s">
        <v>72</v>
      </c>
      <c r="B773" s="1" t="s">
        <v>6884</v>
      </c>
      <c r="C773" s="1" t="s">
        <v>74</v>
      </c>
      <c r="D773" s="1" t="s">
        <v>74</v>
      </c>
      <c r="E773" s="1" t="s">
        <v>74</v>
      </c>
      <c r="F773" s="1" t="s">
        <v>6885</v>
      </c>
      <c r="G773" s="1" t="s">
        <v>74</v>
      </c>
      <c r="H773" s="1" t="s">
        <v>74</v>
      </c>
      <c r="I773" s="1" t="s">
        <v>6886</v>
      </c>
      <c r="J773" s="1" t="s">
        <v>3212</v>
      </c>
      <c r="K773" s="1" t="s">
        <v>74</v>
      </c>
      <c r="L773" s="1" t="s">
        <v>74</v>
      </c>
      <c r="M773" s="1" t="s">
        <v>74</v>
      </c>
      <c r="N773" s="1" t="s">
        <v>78</v>
      </c>
      <c r="O773" s="1" t="s">
        <v>74</v>
      </c>
      <c r="P773" s="1" t="s">
        <v>74</v>
      </c>
      <c r="Q773" s="1" t="s">
        <v>74</v>
      </c>
      <c r="R773" s="1" t="s">
        <v>74</v>
      </c>
      <c r="S773" s="1" t="s">
        <v>74</v>
      </c>
      <c r="T773" s="1" t="s">
        <v>6887</v>
      </c>
      <c r="U773" s="1" t="s">
        <v>74</v>
      </c>
      <c r="V773" s="1" t="s">
        <v>6888</v>
      </c>
      <c r="W773" s="1" t="s">
        <v>74</v>
      </c>
      <c r="X773" s="1" t="s">
        <v>74</v>
      </c>
      <c r="Y773" s="1" t="s">
        <v>74</v>
      </c>
      <c r="Z773" s="1" t="s">
        <v>74</v>
      </c>
      <c r="AA773" s="1" t="s">
        <v>74</v>
      </c>
      <c r="AB773" s="1" t="s">
        <v>74</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3215</v>
      </c>
      <c r="AP773" s="1" t="s">
        <v>3216</v>
      </c>
      <c r="AQ773" s="1" t="s">
        <v>74</v>
      </c>
      <c r="AR773" s="1" t="s">
        <v>74</v>
      </c>
      <c r="AS773" s="1" t="s">
        <v>74</v>
      </c>
      <c r="AT773" s="1" t="s">
        <v>262</v>
      </c>
      <c r="AU773" s="1">
        <v>2025.0</v>
      </c>
      <c r="AV773" s="1">
        <v>67.0</v>
      </c>
      <c r="AW773" s="1">
        <v>9.0</v>
      </c>
      <c r="AX773" s="1" t="s">
        <v>74</v>
      </c>
      <c r="AY773" s="1" t="s">
        <v>74</v>
      </c>
      <c r="AZ773" s="1" t="s">
        <v>74</v>
      </c>
      <c r="BA773" s="1" t="s">
        <v>74</v>
      </c>
      <c r="BB773" s="1">
        <v>7431.0</v>
      </c>
      <c r="BC773" s="1">
        <v>7450.0</v>
      </c>
      <c r="BD773" s="1" t="s">
        <v>74</v>
      </c>
      <c r="BE773" s="1" t="s">
        <v>6889</v>
      </c>
      <c r="BF773" s="2" t="str">
        <f>HYPERLINK("http://dx.doi.org/10.1007/s10115-025-02450-1","http://dx.doi.org/10.1007/s10115-025-02450-1")</f>
        <v>http://dx.doi.org/10.1007/s10115-025-02450-1</v>
      </c>
      <c r="BG773" s="1" t="s">
        <v>74</v>
      </c>
      <c r="BH773" s="1" t="s">
        <v>1150</v>
      </c>
      <c r="BI773" s="1" t="s">
        <v>74</v>
      </c>
      <c r="BJ773" s="1" t="s">
        <v>74</v>
      </c>
      <c r="BK773" s="1" t="s">
        <v>74</v>
      </c>
      <c r="BL773" s="1" t="s">
        <v>174</v>
      </c>
      <c r="BM773" s="1" t="s">
        <v>74</v>
      </c>
      <c r="BN773" s="1" t="s">
        <v>74</v>
      </c>
      <c r="BO773" s="1" t="s">
        <v>74</v>
      </c>
      <c r="BP773" s="1" t="s">
        <v>74</v>
      </c>
      <c r="BQ773" s="1" t="s">
        <v>74</v>
      </c>
      <c r="BR773" s="1" t="s">
        <v>74</v>
      </c>
      <c r="BS773" s="1" t="s">
        <v>6890</v>
      </c>
      <c r="BT773" s="1" t="str">
        <f>HYPERLINK("https%3A%2F%2Fwww.webofscience.com%2Fwos%2Fwoscc%2Ffull-record%2FWOS:001494219600001","View Full Record in Web of Science")</f>
        <v>View Full Record in Web of Science</v>
      </c>
    </row>
    <row r="774" ht="12.75" customHeight="1">
      <c r="A774" s="1" t="s">
        <v>72</v>
      </c>
      <c r="B774" s="1" t="s">
        <v>6891</v>
      </c>
      <c r="C774" s="1" t="s">
        <v>74</v>
      </c>
      <c r="D774" s="1" t="s">
        <v>74</v>
      </c>
      <c r="E774" s="1" t="s">
        <v>74</v>
      </c>
      <c r="F774" s="1" t="s">
        <v>6892</v>
      </c>
      <c r="G774" s="1" t="s">
        <v>74</v>
      </c>
      <c r="H774" s="1" t="s">
        <v>74</v>
      </c>
      <c r="I774" s="1" t="s">
        <v>6893</v>
      </c>
      <c r="J774" s="1" t="s">
        <v>653</v>
      </c>
      <c r="K774" s="1" t="s">
        <v>74</v>
      </c>
      <c r="L774" s="1" t="s">
        <v>74</v>
      </c>
      <c r="M774" s="1" t="s">
        <v>74</v>
      </c>
      <c r="N774" s="1" t="s">
        <v>78</v>
      </c>
      <c r="O774" s="1" t="s">
        <v>74</v>
      </c>
      <c r="P774" s="1" t="s">
        <v>74</v>
      </c>
      <c r="Q774" s="1" t="s">
        <v>74</v>
      </c>
      <c r="R774" s="1" t="s">
        <v>74</v>
      </c>
      <c r="S774" s="1" t="s">
        <v>74</v>
      </c>
      <c r="T774" s="1" t="s">
        <v>6894</v>
      </c>
      <c r="U774" s="1" t="s">
        <v>74</v>
      </c>
      <c r="V774" s="1" t="s">
        <v>6895</v>
      </c>
      <c r="W774" s="1" t="s">
        <v>74</v>
      </c>
      <c r="X774" s="1" t="s">
        <v>74</v>
      </c>
      <c r="Y774" s="1" t="s">
        <v>74</v>
      </c>
      <c r="Z774" s="1" t="s">
        <v>74</v>
      </c>
      <c r="AA774" s="1" t="s">
        <v>74</v>
      </c>
      <c r="AB774" s="1" t="s">
        <v>74</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74</v>
      </c>
      <c r="AP774" s="1" t="s">
        <v>656</v>
      </c>
      <c r="AQ774" s="1" t="s">
        <v>74</v>
      </c>
      <c r="AR774" s="1" t="s">
        <v>74</v>
      </c>
      <c r="AS774" s="1" t="s">
        <v>74</v>
      </c>
      <c r="AT774" s="1" t="s">
        <v>6896</v>
      </c>
      <c r="AU774" s="1">
        <v>2025.0</v>
      </c>
      <c r="AV774" s="1">
        <v>11.0</v>
      </c>
      <c r="AW774" s="1" t="s">
        <v>74</v>
      </c>
      <c r="AX774" s="1" t="s">
        <v>74</v>
      </c>
      <c r="AY774" s="1" t="s">
        <v>74</v>
      </c>
      <c r="AZ774" s="1" t="s">
        <v>74</v>
      </c>
      <c r="BA774" s="1" t="s">
        <v>74</v>
      </c>
      <c r="BB774" s="1" t="s">
        <v>74</v>
      </c>
      <c r="BC774" s="1" t="s">
        <v>74</v>
      </c>
      <c r="BD774" s="1" t="s">
        <v>6897</v>
      </c>
      <c r="BE774" s="1" t="s">
        <v>6898</v>
      </c>
      <c r="BF774" s="2" t="str">
        <f>HYPERLINK("http://dx.doi.org/10.7717/peerj-cs.3295","http://dx.doi.org/10.7717/peerj-cs.3295")</f>
        <v>http://dx.doi.org/10.7717/peerj-cs.3295</v>
      </c>
      <c r="BG774" s="1" t="s">
        <v>74</v>
      </c>
      <c r="BH774" s="1" t="s">
        <v>74</v>
      </c>
      <c r="BI774" s="1" t="s">
        <v>74</v>
      </c>
      <c r="BJ774" s="1" t="s">
        <v>74</v>
      </c>
      <c r="BK774" s="1" t="s">
        <v>74</v>
      </c>
      <c r="BL774" s="1" t="s">
        <v>174</v>
      </c>
      <c r="BM774" s="1" t="s">
        <v>74</v>
      </c>
      <c r="BN774" s="1" t="s">
        <v>74</v>
      </c>
      <c r="BO774" s="1" t="s">
        <v>163</v>
      </c>
      <c r="BP774" s="1" t="s">
        <v>74</v>
      </c>
      <c r="BQ774" s="1" t="s">
        <v>74</v>
      </c>
      <c r="BR774" s="1" t="s">
        <v>74</v>
      </c>
      <c r="BS774" s="1" t="s">
        <v>6899</v>
      </c>
      <c r="BT774" s="1" t="str">
        <f>HYPERLINK("https%3A%2F%2Fwww.webofscience.com%2Fwos%2Fwoscc%2Ffull-record%2FWOS:001639376100001","View Full Record in Web of Science")</f>
        <v>View Full Record in Web of Science</v>
      </c>
    </row>
    <row r="775" ht="12.75" customHeight="1">
      <c r="A775" s="1" t="s">
        <v>72</v>
      </c>
      <c r="B775" s="1" t="s">
        <v>6900</v>
      </c>
      <c r="C775" s="1" t="s">
        <v>74</v>
      </c>
      <c r="D775" s="1" t="s">
        <v>74</v>
      </c>
      <c r="E775" s="1" t="s">
        <v>74</v>
      </c>
      <c r="F775" s="1" t="s">
        <v>6901</v>
      </c>
      <c r="G775" s="1" t="s">
        <v>74</v>
      </c>
      <c r="H775" s="1" t="s">
        <v>74</v>
      </c>
      <c r="I775" s="1" t="s">
        <v>6902</v>
      </c>
      <c r="J775" s="1" t="s">
        <v>1199</v>
      </c>
      <c r="K775" s="1" t="s">
        <v>74</v>
      </c>
      <c r="L775" s="1" t="s">
        <v>74</v>
      </c>
      <c r="M775" s="1" t="s">
        <v>74</v>
      </c>
      <c r="N775" s="1" t="s">
        <v>78</v>
      </c>
      <c r="O775" s="1" t="s">
        <v>74</v>
      </c>
      <c r="P775" s="1" t="s">
        <v>74</v>
      </c>
      <c r="Q775" s="1" t="s">
        <v>74</v>
      </c>
      <c r="R775" s="1" t="s">
        <v>74</v>
      </c>
      <c r="S775" s="1" t="s">
        <v>74</v>
      </c>
      <c r="T775" s="1" t="s">
        <v>6903</v>
      </c>
      <c r="U775" s="1" t="s">
        <v>74</v>
      </c>
      <c r="V775" s="1" t="s">
        <v>6904</v>
      </c>
      <c r="W775" s="1" t="s">
        <v>74</v>
      </c>
      <c r="X775" s="1" t="s">
        <v>74</v>
      </c>
      <c r="Y775" s="1" t="s">
        <v>74</v>
      </c>
      <c r="Z775" s="1" t="s">
        <v>74</v>
      </c>
      <c r="AA775" s="1" t="s">
        <v>74</v>
      </c>
      <c r="AB775" s="1" t="s">
        <v>74</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74</v>
      </c>
      <c r="AP775" s="1" t="s">
        <v>1202</v>
      </c>
      <c r="AQ775" s="1" t="s">
        <v>74</v>
      </c>
      <c r="AR775" s="1" t="s">
        <v>74</v>
      </c>
      <c r="AS775" s="1" t="s">
        <v>74</v>
      </c>
      <c r="AT775" s="1" t="s">
        <v>6905</v>
      </c>
      <c r="AU775" s="1">
        <v>2025.0</v>
      </c>
      <c r="AV775" s="1">
        <v>18.0</v>
      </c>
      <c r="AW775" s="1">
        <v>3.0</v>
      </c>
      <c r="AX775" s="1" t="s">
        <v>74</v>
      </c>
      <c r="AY775" s="1" t="s">
        <v>74</v>
      </c>
      <c r="AZ775" s="1" t="s">
        <v>74</v>
      </c>
      <c r="BA775" s="1" t="s">
        <v>74</v>
      </c>
      <c r="BB775" s="1" t="s">
        <v>74</v>
      </c>
      <c r="BC775" s="1" t="s">
        <v>74</v>
      </c>
      <c r="BD775" s="1">
        <v>124.0</v>
      </c>
      <c r="BE775" s="1" t="s">
        <v>6906</v>
      </c>
      <c r="BF775" s="2" t="str">
        <f>HYPERLINK("http://dx.doi.org/10.3390/a18030124","http://dx.doi.org/10.3390/a18030124")</f>
        <v>http://dx.doi.org/10.3390/a18030124</v>
      </c>
      <c r="BG775" s="1" t="s">
        <v>74</v>
      </c>
      <c r="BH775" s="1" t="s">
        <v>74</v>
      </c>
      <c r="BI775" s="1" t="s">
        <v>74</v>
      </c>
      <c r="BJ775" s="1" t="s">
        <v>74</v>
      </c>
      <c r="BK775" s="1" t="s">
        <v>74</v>
      </c>
      <c r="BL775" s="1" t="s">
        <v>174</v>
      </c>
      <c r="BM775" s="1" t="s">
        <v>74</v>
      </c>
      <c r="BN775" s="1" t="s">
        <v>74</v>
      </c>
      <c r="BO775" s="1" t="s">
        <v>153</v>
      </c>
      <c r="BP775" s="1" t="s">
        <v>74</v>
      </c>
      <c r="BQ775" s="1" t="s">
        <v>74</v>
      </c>
      <c r="BR775" s="1" t="s">
        <v>74</v>
      </c>
      <c r="BS775" s="1" t="s">
        <v>6907</v>
      </c>
      <c r="BT775" s="1" t="str">
        <f>HYPERLINK("https%3A%2F%2Fwww.webofscience.com%2Fwos%2Fwoscc%2Ffull-record%2FWOS:001453482800001","View Full Record in Web of Science")</f>
        <v>View Full Record in Web of Science</v>
      </c>
    </row>
    <row r="776" ht="12.75" customHeight="1">
      <c r="A776" s="1" t="s">
        <v>72</v>
      </c>
      <c r="B776" s="1" t="s">
        <v>6908</v>
      </c>
      <c r="C776" s="1" t="s">
        <v>74</v>
      </c>
      <c r="D776" s="1" t="s">
        <v>74</v>
      </c>
      <c r="E776" s="1" t="s">
        <v>74</v>
      </c>
      <c r="F776" s="1" t="s">
        <v>6909</v>
      </c>
      <c r="G776" s="1" t="s">
        <v>74</v>
      </c>
      <c r="H776" s="1" t="s">
        <v>74</v>
      </c>
      <c r="I776" s="1" t="s">
        <v>6910</v>
      </c>
      <c r="J776" s="1" t="s">
        <v>6911</v>
      </c>
      <c r="K776" s="1" t="s">
        <v>74</v>
      </c>
      <c r="L776" s="1" t="s">
        <v>74</v>
      </c>
      <c r="M776" s="1" t="s">
        <v>74</v>
      </c>
      <c r="N776" s="1" t="s">
        <v>78</v>
      </c>
      <c r="O776" s="1" t="s">
        <v>74</v>
      </c>
      <c r="P776" s="1" t="s">
        <v>74</v>
      </c>
      <c r="Q776" s="1" t="s">
        <v>74</v>
      </c>
      <c r="R776" s="1" t="s">
        <v>74</v>
      </c>
      <c r="S776" s="1" t="s">
        <v>74</v>
      </c>
      <c r="T776" s="1" t="s">
        <v>6912</v>
      </c>
      <c r="U776" s="1" t="s">
        <v>74</v>
      </c>
      <c r="V776" s="1" t="s">
        <v>6913</v>
      </c>
      <c r="W776" s="1" t="s">
        <v>74</v>
      </c>
      <c r="X776" s="1" t="s">
        <v>74</v>
      </c>
      <c r="Y776" s="1" t="s">
        <v>74</v>
      </c>
      <c r="Z776" s="1" t="s">
        <v>74</v>
      </c>
      <c r="AA776" s="1" t="s">
        <v>74</v>
      </c>
      <c r="AB776" s="1" t="s">
        <v>74</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6914</v>
      </c>
      <c r="AP776" s="1" t="s">
        <v>6915</v>
      </c>
      <c r="AQ776" s="1" t="s">
        <v>74</v>
      </c>
      <c r="AR776" s="1" t="s">
        <v>74</v>
      </c>
      <c r="AS776" s="1" t="s">
        <v>74</v>
      </c>
      <c r="AT776" s="1" t="s">
        <v>2317</v>
      </c>
      <c r="AU776" s="1">
        <v>2025.0</v>
      </c>
      <c r="AV776" s="1">
        <v>32.0</v>
      </c>
      <c r="AW776" s="1">
        <v>2.0</v>
      </c>
      <c r="AX776" s="1" t="s">
        <v>74</v>
      </c>
      <c r="AY776" s="1" t="s">
        <v>74</v>
      </c>
      <c r="AZ776" s="1" t="s">
        <v>74</v>
      </c>
      <c r="BA776" s="1" t="s">
        <v>74</v>
      </c>
      <c r="BB776" s="1" t="s">
        <v>74</v>
      </c>
      <c r="BC776" s="1" t="s">
        <v>74</v>
      </c>
      <c r="BD776" s="1">
        <v>73.0</v>
      </c>
      <c r="BE776" s="1" t="s">
        <v>6916</v>
      </c>
      <c r="BF776" s="2" t="str">
        <f>HYPERLINK("http://dx.doi.org/10.1007/s10515-025-00540-6","http://dx.doi.org/10.1007/s10515-025-00540-6")</f>
        <v>http://dx.doi.org/10.1007/s10515-025-00540-6</v>
      </c>
      <c r="BG776" s="1" t="s">
        <v>74</v>
      </c>
      <c r="BH776" s="1" t="s">
        <v>74</v>
      </c>
      <c r="BI776" s="1" t="s">
        <v>74</v>
      </c>
      <c r="BJ776" s="1" t="s">
        <v>74</v>
      </c>
      <c r="BK776" s="1" t="s">
        <v>74</v>
      </c>
      <c r="BL776" s="1" t="s">
        <v>174</v>
      </c>
      <c r="BM776" s="1" t="s">
        <v>74</v>
      </c>
      <c r="BN776" s="1" t="s">
        <v>74</v>
      </c>
      <c r="BO776" s="1" t="s">
        <v>74</v>
      </c>
      <c r="BP776" s="1" t="s">
        <v>74</v>
      </c>
      <c r="BQ776" s="1" t="s">
        <v>74</v>
      </c>
      <c r="BR776" s="1" t="s">
        <v>74</v>
      </c>
      <c r="BS776" s="1" t="s">
        <v>6917</v>
      </c>
      <c r="BT776" s="1" t="str">
        <f>HYPERLINK("https%3A%2F%2Fwww.webofscience.com%2Fwos%2Fwoscc%2Ffull-record%2FWOS:001546992700001","View Full Record in Web of Science")</f>
        <v>View Full Record in Web of Science</v>
      </c>
    </row>
    <row r="777" ht="12.75" customHeight="1">
      <c r="A777" s="1" t="s">
        <v>72</v>
      </c>
      <c r="B777" s="1" t="s">
        <v>6918</v>
      </c>
      <c r="C777" s="1" t="s">
        <v>74</v>
      </c>
      <c r="D777" s="1" t="s">
        <v>74</v>
      </c>
      <c r="E777" s="1" t="s">
        <v>74</v>
      </c>
      <c r="F777" s="1" t="s">
        <v>6919</v>
      </c>
      <c r="G777" s="1" t="s">
        <v>74</v>
      </c>
      <c r="H777" s="1" t="s">
        <v>74</v>
      </c>
      <c r="I777" s="1" t="s">
        <v>6920</v>
      </c>
      <c r="J777" s="1" t="s">
        <v>3882</v>
      </c>
      <c r="K777" s="1" t="s">
        <v>74</v>
      </c>
      <c r="L777" s="1" t="s">
        <v>74</v>
      </c>
      <c r="M777" s="1" t="s">
        <v>74</v>
      </c>
      <c r="N777" s="1" t="s">
        <v>78</v>
      </c>
      <c r="O777" s="1" t="s">
        <v>74</v>
      </c>
      <c r="P777" s="1" t="s">
        <v>74</v>
      </c>
      <c r="Q777" s="1" t="s">
        <v>74</v>
      </c>
      <c r="R777" s="1" t="s">
        <v>74</v>
      </c>
      <c r="S777" s="1" t="s">
        <v>74</v>
      </c>
      <c r="T777" s="1" t="s">
        <v>74</v>
      </c>
      <c r="U777" s="1" t="s">
        <v>6921</v>
      </c>
      <c r="V777" s="1" t="s">
        <v>6922</v>
      </c>
      <c r="W777" s="1" t="s">
        <v>74</v>
      </c>
      <c r="X777" s="1" t="s">
        <v>74</v>
      </c>
      <c r="Y777" s="1" t="s">
        <v>74</v>
      </c>
      <c r="Z777" s="1" t="s">
        <v>74</v>
      </c>
      <c r="AA777" s="1" t="s">
        <v>74</v>
      </c>
      <c r="AB777" s="1" t="s">
        <v>74</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74</v>
      </c>
      <c r="AP777" s="1" t="s">
        <v>3885</v>
      </c>
      <c r="AQ777" s="1" t="s">
        <v>74</v>
      </c>
      <c r="AR777" s="1" t="s">
        <v>74</v>
      </c>
      <c r="AS777" s="1" t="s">
        <v>74</v>
      </c>
      <c r="AT777" s="1" t="s">
        <v>139</v>
      </c>
      <c r="AU777" s="1">
        <v>2025.0</v>
      </c>
      <c r="AV777" s="1">
        <v>7.0</v>
      </c>
      <c r="AW777" s="1">
        <v>2.0</v>
      </c>
      <c r="AX777" s="1" t="s">
        <v>74</v>
      </c>
      <c r="AY777" s="1" t="s">
        <v>74</v>
      </c>
      <c r="AZ777" s="1" t="s">
        <v>74</v>
      </c>
      <c r="BA777" s="1" t="s">
        <v>74</v>
      </c>
      <c r="BB777" s="1" t="s">
        <v>74</v>
      </c>
      <c r="BC777" s="1" t="s">
        <v>74</v>
      </c>
      <c r="BD777" s="1" t="s">
        <v>74</v>
      </c>
      <c r="BE777" s="1" t="s">
        <v>6923</v>
      </c>
      <c r="BF777" s="2" t="str">
        <f>HYPERLINK("http://dx.doi.org/10.1038/s42256-024-00976-7","http://dx.doi.org/10.1038/s42256-024-00976-7")</f>
        <v>http://dx.doi.org/10.1038/s42256-024-00976-7</v>
      </c>
      <c r="BG777" s="1" t="s">
        <v>74</v>
      </c>
      <c r="BH777" s="1" t="s">
        <v>141</v>
      </c>
      <c r="BI777" s="1" t="s">
        <v>74</v>
      </c>
      <c r="BJ777" s="1" t="s">
        <v>74</v>
      </c>
      <c r="BK777" s="1" t="s">
        <v>74</v>
      </c>
      <c r="BL777" s="1" t="s">
        <v>174</v>
      </c>
      <c r="BM777" s="1" t="s">
        <v>74</v>
      </c>
      <c r="BN777" s="1" t="s">
        <v>74</v>
      </c>
      <c r="BO777" s="1" t="s">
        <v>114</v>
      </c>
      <c r="BP777" s="1" t="s">
        <v>74</v>
      </c>
      <c r="BQ777" s="1" t="s">
        <v>74</v>
      </c>
      <c r="BR777" s="1" t="s">
        <v>74</v>
      </c>
      <c r="BS777" s="1" t="s">
        <v>6924</v>
      </c>
      <c r="BT777" s="1" t="str">
        <f>HYPERLINK("https%3A%2F%2Fwww.webofscience.com%2Fwos%2Fwoscc%2Ffull-record%2FWOS:001401162500001","View Full Record in Web of Science")</f>
        <v>View Full Record in Web of Science</v>
      </c>
    </row>
    <row r="778" ht="12.75" customHeight="1">
      <c r="A778" s="1" t="s">
        <v>72</v>
      </c>
      <c r="B778" s="1" t="s">
        <v>6925</v>
      </c>
      <c r="C778" s="1" t="s">
        <v>74</v>
      </c>
      <c r="D778" s="1" t="s">
        <v>74</v>
      </c>
      <c r="E778" s="1" t="s">
        <v>74</v>
      </c>
      <c r="F778" s="1" t="s">
        <v>6926</v>
      </c>
      <c r="G778" s="1" t="s">
        <v>74</v>
      </c>
      <c r="H778" s="1" t="s">
        <v>74</v>
      </c>
      <c r="I778" s="1" t="s">
        <v>6927</v>
      </c>
      <c r="J778" s="1" t="s">
        <v>147</v>
      </c>
      <c r="K778" s="1" t="s">
        <v>74</v>
      </c>
      <c r="L778" s="1" t="s">
        <v>74</v>
      </c>
      <c r="M778" s="1" t="s">
        <v>74</v>
      </c>
      <c r="N778" s="1" t="s">
        <v>78</v>
      </c>
      <c r="O778" s="1" t="s">
        <v>74</v>
      </c>
      <c r="P778" s="1" t="s">
        <v>74</v>
      </c>
      <c r="Q778" s="1" t="s">
        <v>74</v>
      </c>
      <c r="R778" s="1" t="s">
        <v>74</v>
      </c>
      <c r="S778" s="1" t="s">
        <v>74</v>
      </c>
      <c r="T778" s="1" t="s">
        <v>6928</v>
      </c>
      <c r="U778" s="1" t="s">
        <v>74</v>
      </c>
      <c r="V778" s="1" t="s">
        <v>6929</v>
      </c>
      <c r="W778" s="1" t="s">
        <v>74</v>
      </c>
      <c r="X778" s="1" t="s">
        <v>74</v>
      </c>
      <c r="Y778" s="1" t="s">
        <v>74</v>
      </c>
      <c r="Z778" s="1" t="s">
        <v>74</v>
      </c>
      <c r="AA778" s="1" t="s">
        <v>74</v>
      </c>
      <c r="AB778" s="1" t="s">
        <v>74</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150</v>
      </c>
      <c r="AP778" s="1" t="s">
        <v>74</v>
      </c>
      <c r="AQ778" s="1" t="s">
        <v>74</v>
      </c>
      <c r="AR778" s="1" t="s">
        <v>74</v>
      </c>
      <c r="AS778" s="1" t="s">
        <v>74</v>
      </c>
      <c r="AT778" s="1" t="s">
        <v>74</v>
      </c>
      <c r="AU778" s="1">
        <v>2025.0</v>
      </c>
      <c r="AV778" s="1">
        <v>13.0</v>
      </c>
      <c r="AW778" s="1" t="s">
        <v>74</v>
      </c>
      <c r="AX778" s="1" t="s">
        <v>74</v>
      </c>
      <c r="AY778" s="1" t="s">
        <v>74</v>
      </c>
      <c r="AZ778" s="1" t="s">
        <v>74</v>
      </c>
      <c r="BA778" s="1" t="s">
        <v>74</v>
      </c>
      <c r="BB778" s="1">
        <v>211370.0</v>
      </c>
      <c r="BC778" s="1">
        <v>211381.0</v>
      </c>
      <c r="BD778" s="1" t="s">
        <v>74</v>
      </c>
      <c r="BE778" s="1" t="s">
        <v>6930</v>
      </c>
      <c r="BF778" s="2" t="str">
        <f>HYPERLINK("http://dx.doi.org/10.1109/ACCESS.2025.3643821","http://dx.doi.org/10.1109/ACCESS.2025.3643821")</f>
        <v>http://dx.doi.org/10.1109/ACCESS.2025.3643821</v>
      </c>
      <c r="BG778" s="1" t="s">
        <v>74</v>
      </c>
      <c r="BH778" s="1" t="s">
        <v>74</v>
      </c>
      <c r="BI778" s="1" t="s">
        <v>74</v>
      </c>
      <c r="BJ778" s="1" t="s">
        <v>74</v>
      </c>
      <c r="BK778" s="1" t="s">
        <v>74</v>
      </c>
      <c r="BL778" s="1" t="s">
        <v>152</v>
      </c>
      <c r="BM778" s="1" t="s">
        <v>74</v>
      </c>
      <c r="BN778" s="1" t="s">
        <v>74</v>
      </c>
      <c r="BO778" s="1" t="s">
        <v>153</v>
      </c>
      <c r="BP778" s="1" t="s">
        <v>74</v>
      </c>
      <c r="BQ778" s="1" t="s">
        <v>74</v>
      </c>
      <c r="BR778" s="1" t="s">
        <v>74</v>
      </c>
      <c r="BS778" s="1" t="s">
        <v>6931</v>
      </c>
      <c r="BT778" s="1" t="str">
        <f>HYPERLINK("https%3A%2F%2Fwww.webofscience.com%2Fwos%2Fwoscc%2Ffull-record%2FWOS:001643431900015","View Full Record in Web of Science")</f>
        <v>View Full Record in Web of Science</v>
      </c>
    </row>
    <row r="779" ht="12.75" customHeight="1">
      <c r="A779" s="1" t="s">
        <v>72</v>
      </c>
      <c r="B779" s="1" t="s">
        <v>6932</v>
      </c>
      <c r="C779" s="1" t="s">
        <v>74</v>
      </c>
      <c r="D779" s="1" t="s">
        <v>74</v>
      </c>
      <c r="E779" s="1" t="s">
        <v>74</v>
      </c>
      <c r="F779" s="1" t="s">
        <v>6933</v>
      </c>
      <c r="G779" s="1" t="s">
        <v>74</v>
      </c>
      <c r="H779" s="1" t="s">
        <v>74</v>
      </c>
      <c r="I779" s="1" t="s">
        <v>6934</v>
      </c>
      <c r="J779" s="1" t="s">
        <v>1482</v>
      </c>
      <c r="K779" s="1" t="s">
        <v>74</v>
      </c>
      <c r="L779" s="1" t="s">
        <v>74</v>
      </c>
      <c r="M779" s="1" t="s">
        <v>74</v>
      </c>
      <c r="N779" s="1" t="s">
        <v>78</v>
      </c>
      <c r="O779" s="1" t="s">
        <v>74</v>
      </c>
      <c r="P779" s="1" t="s">
        <v>74</v>
      </c>
      <c r="Q779" s="1" t="s">
        <v>74</v>
      </c>
      <c r="R779" s="1" t="s">
        <v>74</v>
      </c>
      <c r="S779" s="1" t="s">
        <v>74</v>
      </c>
      <c r="T779" s="1" t="s">
        <v>6935</v>
      </c>
      <c r="U779" s="1" t="s">
        <v>6936</v>
      </c>
      <c r="V779" s="1" t="s">
        <v>6937</v>
      </c>
      <c r="W779" s="1" t="s">
        <v>74</v>
      </c>
      <c r="X779" s="1" t="s">
        <v>74</v>
      </c>
      <c r="Y779" s="1" t="s">
        <v>74</v>
      </c>
      <c r="Z779" s="1" t="s">
        <v>74</v>
      </c>
      <c r="AA779" s="1" t="s">
        <v>74</v>
      </c>
      <c r="AB779" s="1" t="s">
        <v>74</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1486</v>
      </c>
      <c r="AP779" s="1" t="s">
        <v>74</v>
      </c>
      <c r="AQ779" s="1" t="s">
        <v>74</v>
      </c>
      <c r="AR779" s="1" t="s">
        <v>74</v>
      </c>
      <c r="AS779" s="1" t="s">
        <v>74</v>
      </c>
      <c r="AT779" s="1" t="s">
        <v>200</v>
      </c>
      <c r="AU779" s="1">
        <v>2025.0</v>
      </c>
      <c r="AV779" s="1">
        <v>22.0</v>
      </c>
      <c r="AW779" s="1" t="s">
        <v>74</v>
      </c>
      <c r="AX779" s="1" t="s">
        <v>74</v>
      </c>
      <c r="AY779" s="1" t="s">
        <v>74</v>
      </c>
      <c r="AZ779" s="1" t="s">
        <v>74</v>
      </c>
      <c r="BA779" s="1" t="s">
        <v>74</v>
      </c>
      <c r="BB779" s="1" t="s">
        <v>74</v>
      </c>
      <c r="BC779" s="1" t="s">
        <v>74</v>
      </c>
      <c r="BD779" s="1">
        <v>100591.0</v>
      </c>
      <c r="BE779" s="1" t="s">
        <v>6938</v>
      </c>
      <c r="BF779" s="2" t="str">
        <f>HYPERLINK("http://dx.doi.org/10.1016/j.egyai.2025.100591","http://dx.doi.org/10.1016/j.egyai.2025.100591")</f>
        <v>http://dx.doi.org/10.1016/j.egyai.2025.100591</v>
      </c>
      <c r="BG779" s="1" t="s">
        <v>74</v>
      </c>
      <c r="BH779" s="1" t="s">
        <v>605</v>
      </c>
      <c r="BI779" s="1" t="s">
        <v>74</v>
      </c>
      <c r="BJ779" s="1" t="s">
        <v>74</v>
      </c>
      <c r="BK779" s="1" t="s">
        <v>74</v>
      </c>
      <c r="BL779" s="1" t="s">
        <v>1488</v>
      </c>
      <c r="BM779" s="1" t="s">
        <v>74</v>
      </c>
      <c r="BN779" s="1" t="s">
        <v>74</v>
      </c>
      <c r="BO779" s="1" t="s">
        <v>153</v>
      </c>
      <c r="BP779" s="1" t="s">
        <v>74</v>
      </c>
      <c r="BQ779" s="1" t="s">
        <v>74</v>
      </c>
      <c r="BR779" s="1" t="s">
        <v>74</v>
      </c>
      <c r="BS779" s="1" t="s">
        <v>6939</v>
      </c>
      <c r="BT779" s="1" t="str">
        <f>HYPERLINK("https%3A%2F%2Fwww.webofscience.com%2Fwos%2Fwoscc%2Ffull-record%2FWOS:001562480500001","View Full Record in Web of Science")</f>
        <v>View Full Record in Web of Science</v>
      </c>
    </row>
    <row r="780" ht="12.75" customHeight="1">
      <c r="A780" s="1" t="s">
        <v>72</v>
      </c>
      <c r="B780" s="1" t="s">
        <v>6940</v>
      </c>
      <c r="C780" s="1" t="s">
        <v>74</v>
      </c>
      <c r="D780" s="1" t="s">
        <v>74</v>
      </c>
      <c r="E780" s="1" t="s">
        <v>74</v>
      </c>
      <c r="F780" s="1" t="s">
        <v>6941</v>
      </c>
      <c r="G780" s="1" t="s">
        <v>74</v>
      </c>
      <c r="H780" s="1" t="s">
        <v>74</v>
      </c>
      <c r="I780" s="1" t="s">
        <v>6942</v>
      </c>
      <c r="J780" s="1" t="s">
        <v>147</v>
      </c>
      <c r="K780" s="1" t="s">
        <v>74</v>
      </c>
      <c r="L780" s="1" t="s">
        <v>74</v>
      </c>
      <c r="M780" s="1" t="s">
        <v>74</v>
      </c>
      <c r="N780" s="1" t="s">
        <v>78</v>
      </c>
      <c r="O780" s="1" t="s">
        <v>74</v>
      </c>
      <c r="P780" s="1" t="s">
        <v>74</v>
      </c>
      <c r="Q780" s="1" t="s">
        <v>74</v>
      </c>
      <c r="R780" s="1" t="s">
        <v>74</v>
      </c>
      <c r="S780" s="1" t="s">
        <v>74</v>
      </c>
      <c r="T780" s="1" t="s">
        <v>6943</v>
      </c>
      <c r="U780" s="1" t="s">
        <v>74</v>
      </c>
      <c r="V780" s="1" t="s">
        <v>6944</v>
      </c>
      <c r="W780" s="1" t="s">
        <v>74</v>
      </c>
      <c r="X780" s="1" t="s">
        <v>74</v>
      </c>
      <c r="Y780" s="1" t="s">
        <v>74</v>
      </c>
      <c r="Z780" s="1" t="s">
        <v>74</v>
      </c>
      <c r="AA780" s="1" t="s">
        <v>74</v>
      </c>
      <c r="AB780" s="1" t="s">
        <v>74</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150</v>
      </c>
      <c r="AP780" s="1" t="s">
        <v>74</v>
      </c>
      <c r="AQ780" s="1" t="s">
        <v>74</v>
      </c>
      <c r="AR780" s="1" t="s">
        <v>74</v>
      </c>
      <c r="AS780" s="1" t="s">
        <v>74</v>
      </c>
      <c r="AT780" s="1" t="s">
        <v>74</v>
      </c>
      <c r="AU780" s="1">
        <v>2025.0</v>
      </c>
      <c r="AV780" s="1">
        <v>13.0</v>
      </c>
      <c r="AW780" s="1" t="s">
        <v>74</v>
      </c>
      <c r="AX780" s="1" t="s">
        <v>74</v>
      </c>
      <c r="AY780" s="1" t="s">
        <v>74</v>
      </c>
      <c r="AZ780" s="1" t="s">
        <v>74</v>
      </c>
      <c r="BA780" s="1" t="s">
        <v>74</v>
      </c>
      <c r="BB780" s="1">
        <v>194229.0</v>
      </c>
      <c r="BC780" s="1">
        <v>194244.0</v>
      </c>
      <c r="BD780" s="1" t="s">
        <v>74</v>
      </c>
      <c r="BE780" s="1" t="s">
        <v>6945</v>
      </c>
      <c r="BF780" s="2" t="str">
        <f>HYPERLINK("http://dx.doi.org/10.1109/ACCESS.2025.3631801","http://dx.doi.org/10.1109/ACCESS.2025.3631801")</f>
        <v>http://dx.doi.org/10.1109/ACCESS.2025.3631801</v>
      </c>
      <c r="BG780" s="1" t="s">
        <v>74</v>
      </c>
      <c r="BH780" s="1" t="s">
        <v>74</v>
      </c>
      <c r="BI780" s="1" t="s">
        <v>74</v>
      </c>
      <c r="BJ780" s="1" t="s">
        <v>74</v>
      </c>
      <c r="BK780" s="1" t="s">
        <v>74</v>
      </c>
      <c r="BL780" s="1" t="s">
        <v>152</v>
      </c>
      <c r="BM780" s="1" t="s">
        <v>74</v>
      </c>
      <c r="BN780" s="1" t="s">
        <v>74</v>
      </c>
      <c r="BO780" s="1" t="s">
        <v>153</v>
      </c>
      <c r="BP780" s="1" t="s">
        <v>74</v>
      </c>
      <c r="BQ780" s="1" t="s">
        <v>74</v>
      </c>
      <c r="BR780" s="1" t="s">
        <v>74</v>
      </c>
      <c r="BS780" s="1" t="s">
        <v>6946</v>
      </c>
      <c r="BT780" s="1" t="str">
        <f>HYPERLINK("https%3A%2F%2Fwww.webofscience.com%2Fwos%2Fwoscc%2Ffull-record%2FWOS:001619064400031","View Full Record in Web of Science")</f>
        <v>View Full Record in Web of Science</v>
      </c>
    </row>
    <row r="781" ht="12.75" customHeight="1">
      <c r="A781" s="1" t="s">
        <v>72</v>
      </c>
      <c r="B781" s="1" t="s">
        <v>6947</v>
      </c>
      <c r="C781" s="1" t="s">
        <v>74</v>
      </c>
      <c r="D781" s="1" t="s">
        <v>74</v>
      </c>
      <c r="E781" s="1" t="s">
        <v>74</v>
      </c>
      <c r="F781" s="1" t="s">
        <v>6948</v>
      </c>
      <c r="G781" s="1" t="s">
        <v>74</v>
      </c>
      <c r="H781" s="1" t="s">
        <v>74</v>
      </c>
      <c r="I781" s="1" t="s">
        <v>6949</v>
      </c>
      <c r="J781" s="1" t="s">
        <v>519</v>
      </c>
      <c r="K781" s="1" t="s">
        <v>74</v>
      </c>
      <c r="L781" s="1" t="s">
        <v>74</v>
      </c>
      <c r="M781" s="1" t="s">
        <v>74</v>
      </c>
      <c r="N781" s="1" t="s">
        <v>78</v>
      </c>
      <c r="O781" s="1" t="s">
        <v>74</v>
      </c>
      <c r="P781" s="1" t="s">
        <v>74</v>
      </c>
      <c r="Q781" s="1" t="s">
        <v>74</v>
      </c>
      <c r="R781" s="1" t="s">
        <v>74</v>
      </c>
      <c r="S781" s="1" t="s">
        <v>74</v>
      </c>
      <c r="T781" s="1" t="s">
        <v>6950</v>
      </c>
      <c r="U781" s="1" t="s">
        <v>74</v>
      </c>
      <c r="V781" s="1" t="s">
        <v>6951</v>
      </c>
      <c r="W781" s="1" t="s">
        <v>74</v>
      </c>
      <c r="X781" s="1" t="s">
        <v>74</v>
      </c>
      <c r="Y781" s="1" t="s">
        <v>74</v>
      </c>
      <c r="Z781" s="1" t="s">
        <v>74</v>
      </c>
      <c r="AA781" s="1" t="s">
        <v>74</v>
      </c>
      <c r="AB781" s="1" t="s">
        <v>74</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523</v>
      </c>
      <c r="AP781" s="1" t="s">
        <v>524</v>
      </c>
      <c r="AQ781" s="1" t="s">
        <v>74</v>
      </c>
      <c r="AR781" s="1" t="s">
        <v>74</v>
      </c>
      <c r="AS781" s="1" t="s">
        <v>74</v>
      </c>
      <c r="AT781" s="1" t="s">
        <v>200</v>
      </c>
      <c r="AU781" s="1">
        <v>2025.0</v>
      </c>
      <c r="AV781" s="1">
        <v>124.0</v>
      </c>
      <c r="AW781" s="1" t="s">
        <v>74</v>
      </c>
      <c r="AX781" s="1" t="s">
        <v>74</v>
      </c>
      <c r="AY781" s="1" t="s">
        <v>74</v>
      </c>
      <c r="AZ781" s="1" t="s">
        <v>74</v>
      </c>
      <c r="BA781" s="1" t="s">
        <v>74</v>
      </c>
      <c r="BB781" s="1" t="s">
        <v>74</v>
      </c>
      <c r="BC781" s="1" t="s">
        <v>74</v>
      </c>
      <c r="BD781" s="1">
        <v>103370.0</v>
      </c>
      <c r="BE781" s="1" t="s">
        <v>6952</v>
      </c>
      <c r="BF781" s="2" t="str">
        <f>HYPERLINK("http://dx.doi.org/10.1016/j.inffus.2025.103370","http://dx.doi.org/10.1016/j.inffus.2025.103370")</f>
        <v>http://dx.doi.org/10.1016/j.inffus.2025.103370</v>
      </c>
      <c r="BG781" s="1" t="s">
        <v>74</v>
      </c>
      <c r="BH781" s="1" t="s">
        <v>112</v>
      </c>
      <c r="BI781" s="1" t="s">
        <v>74</v>
      </c>
      <c r="BJ781" s="1" t="s">
        <v>74</v>
      </c>
      <c r="BK781" s="1" t="s">
        <v>74</v>
      </c>
      <c r="BL781" s="1" t="s">
        <v>174</v>
      </c>
      <c r="BM781" s="1" t="s">
        <v>74</v>
      </c>
      <c r="BN781" s="1" t="s">
        <v>74</v>
      </c>
      <c r="BO781" s="1" t="s">
        <v>74</v>
      </c>
      <c r="BP781" s="1" t="s">
        <v>74</v>
      </c>
      <c r="BQ781" s="1" t="s">
        <v>74</v>
      </c>
      <c r="BR781" s="1" t="s">
        <v>74</v>
      </c>
      <c r="BS781" s="1" t="s">
        <v>6953</v>
      </c>
      <c r="BT781" s="1" t="str">
        <f>HYPERLINK("https%3A%2F%2Fwww.webofscience.com%2Fwos%2Fwoscc%2Ffull-record%2FWOS:001521603300003","View Full Record in Web of Science")</f>
        <v>View Full Record in Web of Science</v>
      </c>
    </row>
    <row r="782" ht="12.75" customHeight="1">
      <c r="A782" s="1" t="s">
        <v>72</v>
      </c>
      <c r="B782" s="1" t="s">
        <v>6954</v>
      </c>
      <c r="C782" s="1" t="s">
        <v>74</v>
      </c>
      <c r="D782" s="1" t="s">
        <v>74</v>
      </c>
      <c r="E782" s="1" t="s">
        <v>74</v>
      </c>
      <c r="F782" s="1" t="s">
        <v>6955</v>
      </c>
      <c r="G782" s="1" t="s">
        <v>74</v>
      </c>
      <c r="H782" s="1" t="s">
        <v>74</v>
      </c>
      <c r="I782" s="1" t="s">
        <v>6956</v>
      </c>
      <c r="J782" s="1" t="s">
        <v>1580</v>
      </c>
      <c r="K782" s="1" t="s">
        <v>74</v>
      </c>
      <c r="L782" s="1" t="s">
        <v>74</v>
      </c>
      <c r="M782" s="1" t="s">
        <v>74</v>
      </c>
      <c r="N782" s="1" t="s">
        <v>78</v>
      </c>
      <c r="O782" s="1" t="s">
        <v>74</v>
      </c>
      <c r="P782" s="1" t="s">
        <v>74</v>
      </c>
      <c r="Q782" s="1" t="s">
        <v>74</v>
      </c>
      <c r="R782" s="1" t="s">
        <v>74</v>
      </c>
      <c r="S782" s="1" t="s">
        <v>74</v>
      </c>
      <c r="T782" s="1" t="s">
        <v>6957</v>
      </c>
      <c r="U782" s="1" t="s">
        <v>6958</v>
      </c>
      <c r="V782" s="1" t="s">
        <v>6959</v>
      </c>
      <c r="W782" s="1" t="s">
        <v>74</v>
      </c>
      <c r="X782" s="1" t="s">
        <v>74</v>
      </c>
      <c r="Y782" s="1" t="s">
        <v>74</v>
      </c>
      <c r="Z782" s="1" t="s">
        <v>74</v>
      </c>
      <c r="AA782" s="1" t="s">
        <v>74</v>
      </c>
      <c r="AB782" s="1" t="s">
        <v>74</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1583</v>
      </c>
      <c r="AP782" s="1" t="s">
        <v>1584</v>
      </c>
      <c r="AQ782" s="1" t="s">
        <v>74</v>
      </c>
      <c r="AR782" s="1" t="s">
        <v>74</v>
      </c>
      <c r="AS782" s="1" t="s">
        <v>74</v>
      </c>
      <c r="AT782" s="1" t="s">
        <v>200</v>
      </c>
      <c r="AU782" s="1">
        <v>2025.0</v>
      </c>
      <c r="AV782" s="1">
        <v>185.0</v>
      </c>
      <c r="AW782" s="1" t="s">
        <v>74</v>
      </c>
      <c r="AX782" s="1" t="s">
        <v>110</v>
      </c>
      <c r="AY782" s="1" t="s">
        <v>74</v>
      </c>
      <c r="AZ782" s="1" t="s">
        <v>74</v>
      </c>
      <c r="BA782" s="1" t="s">
        <v>74</v>
      </c>
      <c r="BB782" s="1" t="s">
        <v>74</v>
      </c>
      <c r="BC782" s="1" t="s">
        <v>74</v>
      </c>
      <c r="BD782" s="1">
        <v>114013.0</v>
      </c>
      <c r="BE782" s="1" t="s">
        <v>6960</v>
      </c>
      <c r="BF782" s="2" t="str">
        <f>HYPERLINK("http://dx.doi.org/10.1016/j.asoc.2025.114013","http://dx.doi.org/10.1016/j.asoc.2025.114013")</f>
        <v>http://dx.doi.org/10.1016/j.asoc.2025.114013</v>
      </c>
      <c r="BG782" s="1" t="s">
        <v>74</v>
      </c>
      <c r="BH782" s="1" t="s">
        <v>811</v>
      </c>
      <c r="BI782" s="1" t="s">
        <v>74</v>
      </c>
      <c r="BJ782" s="1" t="s">
        <v>74</v>
      </c>
      <c r="BK782" s="1" t="s">
        <v>74</v>
      </c>
      <c r="BL782" s="1" t="s">
        <v>174</v>
      </c>
      <c r="BM782" s="1" t="s">
        <v>74</v>
      </c>
      <c r="BN782" s="1" t="s">
        <v>74</v>
      </c>
      <c r="BO782" s="1" t="s">
        <v>114</v>
      </c>
      <c r="BP782" s="1" t="s">
        <v>74</v>
      </c>
      <c r="BQ782" s="1" t="s">
        <v>74</v>
      </c>
      <c r="BR782" s="1" t="s">
        <v>74</v>
      </c>
      <c r="BS782" s="1" t="s">
        <v>6961</v>
      </c>
      <c r="BT782" s="1" t="str">
        <f>HYPERLINK("https%3A%2F%2Fwww.webofscience.com%2Fwos%2Fwoscc%2Ffull-record%2FWOS:001598149800005","View Full Record in Web of Science")</f>
        <v>View Full Record in Web of Science</v>
      </c>
    </row>
    <row r="783" ht="12.75" customHeight="1">
      <c r="A783" s="1" t="s">
        <v>72</v>
      </c>
      <c r="B783" s="1" t="s">
        <v>6962</v>
      </c>
      <c r="C783" s="1" t="s">
        <v>74</v>
      </c>
      <c r="D783" s="1" t="s">
        <v>74</v>
      </c>
      <c r="E783" s="1" t="s">
        <v>74</v>
      </c>
      <c r="F783" s="1" t="s">
        <v>6963</v>
      </c>
      <c r="G783" s="1" t="s">
        <v>74</v>
      </c>
      <c r="H783" s="1" t="s">
        <v>74</v>
      </c>
      <c r="I783" s="1" t="s">
        <v>6964</v>
      </c>
      <c r="J783" s="1" t="s">
        <v>147</v>
      </c>
      <c r="K783" s="1" t="s">
        <v>74</v>
      </c>
      <c r="L783" s="1" t="s">
        <v>74</v>
      </c>
      <c r="M783" s="1" t="s">
        <v>74</v>
      </c>
      <c r="N783" s="1" t="s">
        <v>78</v>
      </c>
      <c r="O783" s="1" t="s">
        <v>74</v>
      </c>
      <c r="P783" s="1" t="s">
        <v>74</v>
      </c>
      <c r="Q783" s="1" t="s">
        <v>74</v>
      </c>
      <c r="R783" s="1" t="s">
        <v>74</v>
      </c>
      <c r="S783" s="1" t="s">
        <v>74</v>
      </c>
      <c r="T783" s="1" t="s">
        <v>6965</v>
      </c>
      <c r="U783" s="1" t="s">
        <v>74</v>
      </c>
      <c r="V783" s="1" t="s">
        <v>6966</v>
      </c>
      <c r="W783" s="1" t="s">
        <v>74</v>
      </c>
      <c r="X783" s="1" t="s">
        <v>74</v>
      </c>
      <c r="Y783" s="1" t="s">
        <v>74</v>
      </c>
      <c r="Z783" s="1" t="s">
        <v>74</v>
      </c>
      <c r="AA783" s="1" t="s">
        <v>74</v>
      </c>
      <c r="AB783" s="1" t="s">
        <v>74</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150</v>
      </c>
      <c r="AP783" s="1" t="s">
        <v>74</v>
      </c>
      <c r="AQ783" s="1" t="s">
        <v>74</v>
      </c>
      <c r="AR783" s="1" t="s">
        <v>74</v>
      </c>
      <c r="AS783" s="1" t="s">
        <v>74</v>
      </c>
      <c r="AT783" s="1" t="s">
        <v>74</v>
      </c>
      <c r="AU783" s="1">
        <v>2021.0</v>
      </c>
      <c r="AV783" s="1">
        <v>9.0</v>
      </c>
      <c r="AW783" s="1" t="s">
        <v>74</v>
      </c>
      <c r="AX783" s="1" t="s">
        <v>74</v>
      </c>
      <c r="AY783" s="1" t="s">
        <v>74</v>
      </c>
      <c r="AZ783" s="1" t="s">
        <v>74</v>
      </c>
      <c r="BA783" s="1" t="s">
        <v>74</v>
      </c>
      <c r="BB783" s="1">
        <v>38078.0</v>
      </c>
      <c r="BC783" s="1">
        <v>38086.0</v>
      </c>
      <c r="BD783" s="1" t="s">
        <v>74</v>
      </c>
      <c r="BE783" s="1" t="s">
        <v>6967</v>
      </c>
      <c r="BF783" s="2" t="str">
        <f>HYPERLINK("http://dx.doi.org/10.1109/ACCESS.2021.3063715","http://dx.doi.org/10.1109/ACCESS.2021.3063715")</f>
        <v>http://dx.doi.org/10.1109/ACCESS.2021.3063715</v>
      </c>
      <c r="BG783" s="1" t="s">
        <v>74</v>
      </c>
      <c r="BH783" s="1" t="s">
        <v>74</v>
      </c>
      <c r="BI783" s="1" t="s">
        <v>74</v>
      </c>
      <c r="BJ783" s="1" t="s">
        <v>74</v>
      </c>
      <c r="BK783" s="1" t="s">
        <v>74</v>
      </c>
      <c r="BL783" s="1" t="s">
        <v>152</v>
      </c>
      <c r="BM783" s="1" t="s">
        <v>74</v>
      </c>
      <c r="BN783" s="1" t="s">
        <v>74</v>
      </c>
      <c r="BO783" s="1" t="s">
        <v>153</v>
      </c>
      <c r="BP783" s="1" t="s">
        <v>74</v>
      </c>
      <c r="BQ783" s="1" t="s">
        <v>74</v>
      </c>
      <c r="BR783" s="1" t="s">
        <v>74</v>
      </c>
      <c r="BS783" s="1" t="s">
        <v>6968</v>
      </c>
      <c r="BT783" s="1" t="str">
        <f>HYPERLINK("https%3A%2F%2Fwww.webofscience.com%2Fwos%2Fwoscc%2Ffull-record%2FWOS:000628905000001","View Full Record in Web of Science")</f>
        <v>View Full Record in Web of Science</v>
      </c>
    </row>
    <row r="784" ht="12.75" customHeight="1">
      <c r="A784" s="1" t="s">
        <v>72</v>
      </c>
      <c r="B784" s="1" t="s">
        <v>6969</v>
      </c>
      <c r="C784" s="1" t="s">
        <v>74</v>
      </c>
      <c r="D784" s="1" t="s">
        <v>74</v>
      </c>
      <c r="E784" s="1" t="s">
        <v>74</v>
      </c>
      <c r="F784" s="1" t="s">
        <v>6970</v>
      </c>
      <c r="G784" s="1" t="s">
        <v>74</v>
      </c>
      <c r="H784" s="1" t="s">
        <v>74</v>
      </c>
      <c r="I784" s="1" t="s">
        <v>6971</v>
      </c>
      <c r="J784" s="1" t="s">
        <v>720</v>
      </c>
      <c r="K784" s="1" t="s">
        <v>74</v>
      </c>
      <c r="L784" s="1" t="s">
        <v>74</v>
      </c>
      <c r="M784" s="1" t="s">
        <v>74</v>
      </c>
      <c r="N784" s="1" t="s">
        <v>158</v>
      </c>
      <c r="O784" s="1" t="s">
        <v>74</v>
      </c>
      <c r="P784" s="1" t="s">
        <v>74</v>
      </c>
      <c r="Q784" s="1" t="s">
        <v>74</v>
      </c>
      <c r="R784" s="1" t="s">
        <v>74</v>
      </c>
      <c r="S784" s="1" t="s">
        <v>74</v>
      </c>
      <c r="T784" s="1" t="s">
        <v>6972</v>
      </c>
      <c r="U784" s="1" t="s">
        <v>6973</v>
      </c>
      <c r="V784" s="1" t="s">
        <v>6974</v>
      </c>
      <c r="W784" s="1" t="s">
        <v>74</v>
      </c>
      <c r="X784" s="1" t="s">
        <v>74</v>
      </c>
      <c r="Y784" s="1" t="s">
        <v>74</v>
      </c>
      <c r="Z784" s="1" t="s">
        <v>74</v>
      </c>
      <c r="AA784" s="1" t="s">
        <v>74</v>
      </c>
      <c r="AB784" s="1" t="s">
        <v>74</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723</v>
      </c>
      <c r="AP784" s="1" t="s">
        <v>724</v>
      </c>
      <c r="AQ784" s="1" t="s">
        <v>74</v>
      </c>
      <c r="AR784" s="1" t="s">
        <v>74</v>
      </c>
      <c r="AS784" s="1" t="s">
        <v>74</v>
      </c>
      <c r="AT784" s="1" t="s">
        <v>6975</v>
      </c>
      <c r="AU784" s="1">
        <v>2025.0</v>
      </c>
      <c r="AV784" s="1">
        <v>649.0</v>
      </c>
      <c r="AW784" s="1" t="s">
        <v>74</v>
      </c>
      <c r="AX784" s="1" t="s">
        <v>74</v>
      </c>
      <c r="AY784" s="1" t="s">
        <v>74</v>
      </c>
      <c r="AZ784" s="1" t="s">
        <v>74</v>
      </c>
      <c r="BA784" s="1" t="s">
        <v>74</v>
      </c>
      <c r="BB784" s="1" t="s">
        <v>74</v>
      </c>
      <c r="BC784" s="1" t="s">
        <v>74</v>
      </c>
      <c r="BD784" s="1">
        <v>130774.0</v>
      </c>
      <c r="BE784" s="1" t="s">
        <v>6976</v>
      </c>
      <c r="BF784" s="2" t="str">
        <f>HYPERLINK("http://dx.doi.org/10.1016/j.neucom.2025.130774","http://dx.doi.org/10.1016/j.neucom.2025.130774")</f>
        <v>http://dx.doi.org/10.1016/j.neucom.2025.130774</v>
      </c>
      <c r="BG784" s="1" t="s">
        <v>74</v>
      </c>
      <c r="BH784" s="1" t="s">
        <v>973</v>
      </c>
      <c r="BI784" s="1" t="s">
        <v>74</v>
      </c>
      <c r="BJ784" s="1" t="s">
        <v>74</v>
      </c>
      <c r="BK784" s="1" t="s">
        <v>74</v>
      </c>
      <c r="BL784" s="1" t="s">
        <v>174</v>
      </c>
      <c r="BM784" s="1" t="s">
        <v>74</v>
      </c>
      <c r="BN784" s="1" t="s">
        <v>74</v>
      </c>
      <c r="BO784" s="1" t="s">
        <v>74</v>
      </c>
      <c r="BP784" s="1" t="s">
        <v>74</v>
      </c>
      <c r="BQ784" s="1" t="s">
        <v>74</v>
      </c>
      <c r="BR784" s="1" t="s">
        <v>74</v>
      </c>
      <c r="BS784" s="1" t="s">
        <v>6977</v>
      </c>
      <c r="BT784" s="1" t="str">
        <f>HYPERLINK("https%3A%2F%2Fwww.webofscience.com%2Fwos%2Fwoscc%2Ffull-record%2FWOS:001526780300001","View Full Record in Web of Science")</f>
        <v>View Full Record in Web of Science</v>
      </c>
    </row>
    <row r="785" ht="12.75" customHeight="1">
      <c r="A785" s="1" t="s">
        <v>72</v>
      </c>
      <c r="B785" s="1" t="s">
        <v>6978</v>
      </c>
      <c r="C785" s="1" t="s">
        <v>74</v>
      </c>
      <c r="D785" s="1" t="s">
        <v>74</v>
      </c>
      <c r="E785" s="1" t="s">
        <v>74</v>
      </c>
      <c r="F785" s="1" t="s">
        <v>6979</v>
      </c>
      <c r="G785" s="1" t="s">
        <v>74</v>
      </c>
      <c r="H785" s="1" t="s">
        <v>74</v>
      </c>
      <c r="I785" s="1" t="s">
        <v>6980</v>
      </c>
      <c r="J785" s="1" t="s">
        <v>2928</v>
      </c>
      <c r="K785" s="1" t="s">
        <v>74</v>
      </c>
      <c r="L785" s="1" t="s">
        <v>74</v>
      </c>
      <c r="M785" s="1" t="s">
        <v>74</v>
      </c>
      <c r="N785" s="1" t="s">
        <v>78</v>
      </c>
      <c r="O785" s="1" t="s">
        <v>74</v>
      </c>
      <c r="P785" s="1" t="s">
        <v>74</v>
      </c>
      <c r="Q785" s="1" t="s">
        <v>74</v>
      </c>
      <c r="R785" s="1" t="s">
        <v>74</v>
      </c>
      <c r="S785" s="1" t="s">
        <v>74</v>
      </c>
      <c r="T785" s="1" t="s">
        <v>6981</v>
      </c>
      <c r="U785" s="1" t="s">
        <v>74</v>
      </c>
      <c r="V785" s="1" t="s">
        <v>6982</v>
      </c>
      <c r="W785" s="1" t="s">
        <v>74</v>
      </c>
      <c r="X785" s="1" t="s">
        <v>74</v>
      </c>
      <c r="Y785" s="1" t="s">
        <v>74</v>
      </c>
      <c r="Z785" s="1" t="s">
        <v>74</v>
      </c>
      <c r="AA785" s="1" t="s">
        <v>74</v>
      </c>
      <c r="AB785" s="1" t="s">
        <v>74</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2931</v>
      </c>
      <c r="AP785" s="1" t="s">
        <v>2932</v>
      </c>
      <c r="AQ785" s="1" t="s">
        <v>74</v>
      </c>
      <c r="AR785" s="1" t="s">
        <v>74</v>
      </c>
      <c r="AS785" s="1" t="s">
        <v>74</v>
      </c>
      <c r="AT785" s="1" t="s">
        <v>736</v>
      </c>
      <c r="AU785" s="1">
        <v>2026.0</v>
      </c>
      <c r="AV785" s="1">
        <v>69.0</v>
      </c>
      <c r="AW785" s="1" t="s">
        <v>74</v>
      </c>
      <c r="AX785" s="1" t="s">
        <v>1693</v>
      </c>
      <c r="AY785" s="1" t="s">
        <v>74</v>
      </c>
      <c r="AZ785" s="1" t="s">
        <v>74</v>
      </c>
      <c r="BA785" s="1" t="s">
        <v>74</v>
      </c>
      <c r="BB785" s="1" t="s">
        <v>74</v>
      </c>
      <c r="BC785" s="1" t="s">
        <v>74</v>
      </c>
      <c r="BD785" s="1">
        <v>103997.0</v>
      </c>
      <c r="BE785" s="1" t="s">
        <v>6983</v>
      </c>
      <c r="BF785" s="2" t="str">
        <f>HYPERLINK("http://dx.doi.org/10.1016/j.aei.2025.103997","http://dx.doi.org/10.1016/j.aei.2025.103997")</f>
        <v>http://dx.doi.org/10.1016/j.aei.2025.103997</v>
      </c>
      <c r="BG785" s="1" t="s">
        <v>74</v>
      </c>
      <c r="BH785" s="1" t="s">
        <v>811</v>
      </c>
      <c r="BI785" s="1" t="s">
        <v>74</v>
      </c>
      <c r="BJ785" s="1" t="s">
        <v>74</v>
      </c>
      <c r="BK785" s="1" t="s">
        <v>74</v>
      </c>
      <c r="BL785" s="1" t="s">
        <v>98</v>
      </c>
      <c r="BM785" s="1" t="s">
        <v>74</v>
      </c>
      <c r="BN785" s="1" t="s">
        <v>74</v>
      </c>
      <c r="BO785" s="1" t="s">
        <v>74</v>
      </c>
      <c r="BP785" s="1" t="s">
        <v>74</v>
      </c>
      <c r="BQ785" s="1" t="s">
        <v>74</v>
      </c>
      <c r="BR785" s="1" t="s">
        <v>74</v>
      </c>
      <c r="BS785" s="1" t="s">
        <v>6984</v>
      </c>
      <c r="BT785" s="1" t="str">
        <f>HYPERLINK("https%3A%2F%2Fwww.webofscience.com%2Fwos%2Fwoscc%2Ffull-record%2FWOS:001606036000001","View Full Record in Web of Science")</f>
        <v>View Full Record in Web of Science</v>
      </c>
    </row>
    <row r="786" ht="12.75" customHeight="1">
      <c r="A786" s="1" t="s">
        <v>72</v>
      </c>
      <c r="B786" s="1" t="s">
        <v>6985</v>
      </c>
      <c r="C786" s="1" t="s">
        <v>74</v>
      </c>
      <c r="D786" s="1" t="s">
        <v>74</v>
      </c>
      <c r="E786" s="1" t="s">
        <v>74</v>
      </c>
      <c r="F786" s="1" t="s">
        <v>6986</v>
      </c>
      <c r="G786" s="1" t="s">
        <v>74</v>
      </c>
      <c r="H786" s="1" t="s">
        <v>74</v>
      </c>
      <c r="I786" s="1" t="s">
        <v>6987</v>
      </c>
      <c r="J786" s="1" t="s">
        <v>1785</v>
      </c>
      <c r="K786" s="1" t="s">
        <v>74</v>
      </c>
      <c r="L786" s="1" t="s">
        <v>74</v>
      </c>
      <c r="M786" s="1" t="s">
        <v>74</v>
      </c>
      <c r="N786" s="1" t="s">
        <v>158</v>
      </c>
      <c r="O786" s="1" t="s">
        <v>74</v>
      </c>
      <c r="P786" s="1" t="s">
        <v>74</v>
      </c>
      <c r="Q786" s="1" t="s">
        <v>74</v>
      </c>
      <c r="R786" s="1" t="s">
        <v>74</v>
      </c>
      <c r="S786" s="1" t="s">
        <v>74</v>
      </c>
      <c r="T786" s="1" t="s">
        <v>6988</v>
      </c>
      <c r="U786" s="1" t="s">
        <v>74</v>
      </c>
      <c r="V786" s="1" t="s">
        <v>6989</v>
      </c>
      <c r="W786" s="1" t="s">
        <v>74</v>
      </c>
      <c r="X786" s="1" t="s">
        <v>74</v>
      </c>
      <c r="Y786" s="1" t="s">
        <v>74</v>
      </c>
      <c r="Z786" s="1" t="s">
        <v>74</v>
      </c>
      <c r="AA786" s="1" t="s">
        <v>74</v>
      </c>
      <c r="AB786" s="1" t="s">
        <v>74</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1788</v>
      </c>
      <c r="AP786" s="1" t="s">
        <v>1789</v>
      </c>
      <c r="AQ786" s="1" t="s">
        <v>74</v>
      </c>
      <c r="AR786" s="1" t="s">
        <v>74</v>
      </c>
      <c r="AS786" s="1" t="s">
        <v>74</v>
      </c>
      <c r="AT786" s="1" t="s">
        <v>200</v>
      </c>
      <c r="AU786" s="1">
        <v>2025.0</v>
      </c>
      <c r="AV786" s="1">
        <v>16.0</v>
      </c>
      <c r="AW786" s="1">
        <v>6.0</v>
      </c>
      <c r="AX786" s="1" t="s">
        <v>74</v>
      </c>
      <c r="AY786" s="1" t="s">
        <v>74</v>
      </c>
      <c r="AZ786" s="1" t="s">
        <v>74</v>
      </c>
      <c r="BA786" s="1" t="s">
        <v>74</v>
      </c>
      <c r="BB786" s="1" t="s">
        <v>74</v>
      </c>
      <c r="BC786" s="1" t="s">
        <v>74</v>
      </c>
      <c r="BD786" s="1">
        <v>124.0</v>
      </c>
      <c r="BE786" s="1" t="s">
        <v>6990</v>
      </c>
      <c r="BF786" s="2" t="str">
        <f>HYPERLINK("http://dx.doi.org/10.1145/3763002","http://dx.doi.org/10.1145/3763002")</f>
        <v>http://dx.doi.org/10.1145/3763002</v>
      </c>
      <c r="BG786" s="1" t="s">
        <v>74</v>
      </c>
      <c r="BH786" s="1" t="s">
        <v>74</v>
      </c>
      <c r="BI786" s="1" t="s">
        <v>74</v>
      </c>
      <c r="BJ786" s="1" t="s">
        <v>74</v>
      </c>
      <c r="BK786" s="1" t="s">
        <v>74</v>
      </c>
      <c r="BL786" s="1" t="s">
        <v>174</v>
      </c>
      <c r="BM786" s="1" t="s">
        <v>74</v>
      </c>
      <c r="BN786" s="1" t="s">
        <v>74</v>
      </c>
      <c r="BO786" s="1" t="s">
        <v>127</v>
      </c>
      <c r="BP786" s="1" t="s">
        <v>74</v>
      </c>
      <c r="BQ786" s="1" t="s">
        <v>74</v>
      </c>
      <c r="BR786" s="1" t="s">
        <v>74</v>
      </c>
      <c r="BS786" s="1" t="s">
        <v>6991</v>
      </c>
      <c r="BT786" s="1" t="str">
        <f>HYPERLINK("https%3A%2F%2Fwww.webofscience.com%2Fwos%2Fwoscc%2Ffull-record%2FWOS:001639644400002","View Full Record in Web of Science")</f>
        <v>View Full Record in Web of Science</v>
      </c>
    </row>
    <row r="787" ht="12.75" customHeight="1">
      <c r="A787" s="1" t="s">
        <v>72</v>
      </c>
      <c r="B787" s="1" t="s">
        <v>6992</v>
      </c>
      <c r="C787" s="1" t="s">
        <v>74</v>
      </c>
      <c r="D787" s="1" t="s">
        <v>74</v>
      </c>
      <c r="E787" s="1" t="s">
        <v>74</v>
      </c>
      <c r="F787" s="1" t="s">
        <v>6993</v>
      </c>
      <c r="G787" s="1" t="s">
        <v>74</v>
      </c>
      <c r="H787" s="1" t="s">
        <v>74</v>
      </c>
      <c r="I787" s="1" t="s">
        <v>6994</v>
      </c>
      <c r="J787" s="1" t="s">
        <v>2058</v>
      </c>
      <c r="K787" s="1" t="s">
        <v>74</v>
      </c>
      <c r="L787" s="1" t="s">
        <v>74</v>
      </c>
      <c r="M787" s="1" t="s">
        <v>74</v>
      </c>
      <c r="N787" s="1" t="s">
        <v>78</v>
      </c>
      <c r="O787" s="1" t="s">
        <v>74</v>
      </c>
      <c r="P787" s="1" t="s">
        <v>74</v>
      </c>
      <c r="Q787" s="1" t="s">
        <v>74</v>
      </c>
      <c r="R787" s="1" t="s">
        <v>74</v>
      </c>
      <c r="S787" s="1" t="s">
        <v>74</v>
      </c>
      <c r="T787" s="1" t="s">
        <v>6995</v>
      </c>
      <c r="U787" s="1" t="s">
        <v>74</v>
      </c>
      <c r="V787" s="1" t="s">
        <v>6996</v>
      </c>
      <c r="W787" s="1" t="s">
        <v>74</v>
      </c>
      <c r="X787" s="1" t="s">
        <v>74</v>
      </c>
      <c r="Y787" s="1" t="s">
        <v>74</v>
      </c>
      <c r="Z787" s="1" t="s">
        <v>74</v>
      </c>
      <c r="AA787" s="1" t="s">
        <v>74</v>
      </c>
      <c r="AB787" s="1" t="s">
        <v>74</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2061</v>
      </c>
      <c r="AP787" s="1" t="s">
        <v>2062</v>
      </c>
      <c r="AQ787" s="1" t="s">
        <v>74</v>
      </c>
      <c r="AR787" s="1" t="s">
        <v>74</v>
      </c>
      <c r="AS787" s="1" t="s">
        <v>74</v>
      </c>
      <c r="AT787" s="1" t="s">
        <v>139</v>
      </c>
      <c r="AU787" s="1">
        <v>2024.0</v>
      </c>
      <c r="AV787" s="1">
        <v>50.0</v>
      </c>
      <c r="AW787" s="1">
        <v>2.0</v>
      </c>
      <c r="AX787" s="1" t="s">
        <v>74</v>
      </c>
      <c r="AY787" s="1" t="s">
        <v>74</v>
      </c>
      <c r="AZ787" s="1" t="s">
        <v>74</v>
      </c>
      <c r="BA787" s="1" t="s">
        <v>74</v>
      </c>
      <c r="BB787" s="1">
        <v>90.0</v>
      </c>
      <c r="BC787" s="1">
        <v>96.0</v>
      </c>
      <c r="BD787" s="1" t="s">
        <v>74</v>
      </c>
      <c r="BE787" s="1" t="s">
        <v>6997</v>
      </c>
      <c r="BF787" s="2" t="str">
        <f>HYPERLINK("http://dx.doi.org/10.1136/jme-2023-109549","http://dx.doi.org/10.1136/jme-2023-109549")</f>
        <v>http://dx.doi.org/10.1136/jme-2023-109549</v>
      </c>
      <c r="BG787" s="1" t="s">
        <v>74</v>
      </c>
      <c r="BH787" s="1" t="s">
        <v>1015</v>
      </c>
      <c r="BI787" s="1" t="s">
        <v>74</v>
      </c>
      <c r="BJ787" s="1" t="s">
        <v>74</v>
      </c>
      <c r="BK787" s="1" t="s">
        <v>74</v>
      </c>
      <c r="BL787" s="1" t="s">
        <v>2064</v>
      </c>
      <c r="BM787" s="1" t="s">
        <v>74</v>
      </c>
      <c r="BN787" s="1" t="s">
        <v>74</v>
      </c>
      <c r="BO787" s="1" t="s">
        <v>74</v>
      </c>
      <c r="BP787" s="1" t="s">
        <v>74</v>
      </c>
      <c r="BQ787" s="1" t="s">
        <v>74</v>
      </c>
      <c r="BR787" s="1" t="s">
        <v>74</v>
      </c>
      <c r="BS787" s="1" t="s">
        <v>6998</v>
      </c>
      <c r="BT787" s="1" t="str">
        <f>HYPERLINK("https%3A%2F%2Fwww.webofscience.com%2Fwos%2Fwoscc%2Ffull-record%2FWOS:001103639900001","View Full Record in Web of Science")</f>
        <v>View Full Record in Web of Science</v>
      </c>
    </row>
    <row r="788" ht="12.75" customHeight="1">
      <c r="A788" s="1" t="s">
        <v>72</v>
      </c>
      <c r="B788" s="1" t="s">
        <v>6999</v>
      </c>
      <c r="C788" s="1" t="s">
        <v>74</v>
      </c>
      <c r="D788" s="1" t="s">
        <v>74</v>
      </c>
      <c r="E788" s="1" t="s">
        <v>74</v>
      </c>
      <c r="F788" s="1" t="s">
        <v>7000</v>
      </c>
      <c r="G788" s="1" t="s">
        <v>74</v>
      </c>
      <c r="H788" s="1" t="s">
        <v>74</v>
      </c>
      <c r="I788" s="1" t="s">
        <v>7001</v>
      </c>
      <c r="J788" s="1" t="s">
        <v>147</v>
      </c>
      <c r="K788" s="1" t="s">
        <v>74</v>
      </c>
      <c r="L788" s="1" t="s">
        <v>74</v>
      </c>
      <c r="M788" s="1" t="s">
        <v>74</v>
      </c>
      <c r="N788" s="1" t="s">
        <v>78</v>
      </c>
      <c r="O788" s="1" t="s">
        <v>74</v>
      </c>
      <c r="P788" s="1" t="s">
        <v>74</v>
      </c>
      <c r="Q788" s="1" t="s">
        <v>74</v>
      </c>
      <c r="R788" s="1" t="s">
        <v>74</v>
      </c>
      <c r="S788" s="1" t="s">
        <v>74</v>
      </c>
      <c r="T788" s="1" t="s">
        <v>7002</v>
      </c>
      <c r="U788" s="1" t="s">
        <v>74</v>
      </c>
      <c r="V788" s="1" t="s">
        <v>7003</v>
      </c>
      <c r="W788" s="1" t="s">
        <v>74</v>
      </c>
      <c r="X788" s="1" t="s">
        <v>74</v>
      </c>
      <c r="Y788" s="1" t="s">
        <v>74</v>
      </c>
      <c r="Z788" s="1" t="s">
        <v>74</v>
      </c>
      <c r="AA788" s="1" t="s">
        <v>74</v>
      </c>
      <c r="AB788" s="1" t="s">
        <v>74</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150</v>
      </c>
      <c r="AP788" s="1" t="s">
        <v>74</v>
      </c>
      <c r="AQ788" s="1" t="s">
        <v>74</v>
      </c>
      <c r="AR788" s="1" t="s">
        <v>74</v>
      </c>
      <c r="AS788" s="1" t="s">
        <v>74</v>
      </c>
      <c r="AT788" s="1" t="s">
        <v>74</v>
      </c>
      <c r="AU788" s="1">
        <v>2025.0</v>
      </c>
      <c r="AV788" s="1">
        <v>13.0</v>
      </c>
      <c r="AW788" s="1" t="s">
        <v>74</v>
      </c>
      <c r="AX788" s="1" t="s">
        <v>74</v>
      </c>
      <c r="AY788" s="1" t="s">
        <v>74</v>
      </c>
      <c r="AZ788" s="1" t="s">
        <v>74</v>
      </c>
      <c r="BA788" s="1" t="s">
        <v>74</v>
      </c>
      <c r="BB788" s="1">
        <v>167390.0</v>
      </c>
      <c r="BC788" s="1">
        <v>167404.0</v>
      </c>
      <c r="BD788" s="1" t="s">
        <v>74</v>
      </c>
      <c r="BE788" s="1" t="s">
        <v>7004</v>
      </c>
      <c r="BF788" s="2" t="str">
        <f>HYPERLINK("http://dx.doi.org/10.1109/ACCESS.2025.3613340","http://dx.doi.org/10.1109/ACCESS.2025.3613340")</f>
        <v>http://dx.doi.org/10.1109/ACCESS.2025.3613340</v>
      </c>
      <c r="BG788" s="1" t="s">
        <v>74</v>
      </c>
      <c r="BH788" s="1" t="s">
        <v>74</v>
      </c>
      <c r="BI788" s="1" t="s">
        <v>74</v>
      </c>
      <c r="BJ788" s="1" t="s">
        <v>74</v>
      </c>
      <c r="BK788" s="1" t="s">
        <v>74</v>
      </c>
      <c r="BL788" s="1" t="s">
        <v>152</v>
      </c>
      <c r="BM788" s="1" t="s">
        <v>74</v>
      </c>
      <c r="BN788" s="1" t="s">
        <v>74</v>
      </c>
      <c r="BO788" s="1" t="s">
        <v>153</v>
      </c>
      <c r="BP788" s="1" t="s">
        <v>74</v>
      </c>
      <c r="BQ788" s="1" t="s">
        <v>74</v>
      </c>
      <c r="BR788" s="1" t="s">
        <v>74</v>
      </c>
      <c r="BS788" s="1" t="s">
        <v>7005</v>
      </c>
      <c r="BT788" s="1" t="str">
        <f>HYPERLINK("https%3A%2F%2Fwww.webofscience.com%2Fwos%2Fwoscc%2Ffull-record%2FWOS:001586205100009","View Full Record in Web of Science")</f>
        <v>View Full Record in Web of Science</v>
      </c>
    </row>
    <row r="789" ht="12.75" customHeight="1">
      <c r="A789" s="1" t="s">
        <v>72</v>
      </c>
      <c r="B789" s="1" t="s">
        <v>7006</v>
      </c>
      <c r="C789" s="1" t="s">
        <v>74</v>
      </c>
      <c r="D789" s="1" t="s">
        <v>74</v>
      </c>
      <c r="E789" s="1" t="s">
        <v>74</v>
      </c>
      <c r="F789" s="1" t="s">
        <v>7007</v>
      </c>
      <c r="G789" s="1" t="s">
        <v>74</v>
      </c>
      <c r="H789" s="1" t="s">
        <v>74</v>
      </c>
      <c r="I789" s="1" t="s">
        <v>7008</v>
      </c>
      <c r="J789" s="1" t="s">
        <v>92</v>
      </c>
      <c r="K789" s="1" t="s">
        <v>74</v>
      </c>
      <c r="L789" s="1" t="s">
        <v>74</v>
      </c>
      <c r="M789" s="1" t="s">
        <v>74</v>
      </c>
      <c r="N789" s="1" t="s">
        <v>78</v>
      </c>
      <c r="O789" s="1" t="s">
        <v>74</v>
      </c>
      <c r="P789" s="1" t="s">
        <v>74</v>
      </c>
      <c r="Q789" s="1" t="s">
        <v>74</v>
      </c>
      <c r="R789" s="1" t="s">
        <v>74</v>
      </c>
      <c r="S789" s="1" t="s">
        <v>74</v>
      </c>
      <c r="T789" s="1" t="s">
        <v>7009</v>
      </c>
      <c r="U789" s="1" t="s">
        <v>74</v>
      </c>
      <c r="V789" s="1" t="s">
        <v>7010</v>
      </c>
      <c r="W789" s="1" t="s">
        <v>74</v>
      </c>
      <c r="X789" s="1" t="s">
        <v>74</v>
      </c>
      <c r="Y789" s="1" t="s">
        <v>74</v>
      </c>
      <c r="Z789" s="1" t="s">
        <v>74</v>
      </c>
      <c r="AA789" s="1" t="s">
        <v>74</v>
      </c>
      <c r="AB789" s="1" t="s">
        <v>74</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95</v>
      </c>
      <c r="AP789" s="1" t="s">
        <v>96</v>
      </c>
      <c r="AQ789" s="1" t="s">
        <v>74</v>
      </c>
      <c r="AR789" s="1" t="s">
        <v>74</v>
      </c>
      <c r="AS789" s="1" t="s">
        <v>74</v>
      </c>
      <c r="AT789" s="1" t="s">
        <v>262</v>
      </c>
      <c r="AU789" s="1">
        <v>2025.0</v>
      </c>
      <c r="AV789" s="1">
        <v>37.0</v>
      </c>
      <c r="AW789" s="1">
        <v>9.0</v>
      </c>
      <c r="AX789" s="1" t="s">
        <v>74</v>
      </c>
      <c r="AY789" s="1" t="s">
        <v>74</v>
      </c>
      <c r="AZ789" s="1" t="s">
        <v>74</v>
      </c>
      <c r="BA789" s="1" t="s">
        <v>74</v>
      </c>
      <c r="BB789" s="1">
        <v>5017.0</v>
      </c>
      <c r="BC789" s="1">
        <v>5033.0</v>
      </c>
      <c r="BD789" s="1" t="s">
        <v>74</v>
      </c>
      <c r="BE789" s="1" t="s">
        <v>7011</v>
      </c>
      <c r="BF789" s="2" t="str">
        <f>HYPERLINK("http://dx.doi.org/10.1109/TKDE.2025.3581706","http://dx.doi.org/10.1109/TKDE.2025.3581706")</f>
        <v>http://dx.doi.org/10.1109/TKDE.2025.3581706</v>
      </c>
      <c r="BG789" s="1" t="s">
        <v>74</v>
      </c>
      <c r="BH789" s="1" t="s">
        <v>74</v>
      </c>
      <c r="BI789" s="1" t="s">
        <v>74</v>
      </c>
      <c r="BJ789" s="1" t="s">
        <v>74</v>
      </c>
      <c r="BK789" s="1" t="s">
        <v>74</v>
      </c>
      <c r="BL789" s="1" t="s">
        <v>98</v>
      </c>
      <c r="BM789" s="1" t="s">
        <v>74</v>
      </c>
      <c r="BN789" s="1" t="s">
        <v>74</v>
      </c>
      <c r="BO789" s="1" t="s">
        <v>74</v>
      </c>
      <c r="BP789" s="1" t="s">
        <v>74</v>
      </c>
      <c r="BQ789" s="1" t="s">
        <v>74</v>
      </c>
      <c r="BR789" s="1" t="s">
        <v>74</v>
      </c>
      <c r="BS789" s="1" t="s">
        <v>7012</v>
      </c>
      <c r="BT789" s="1" t="str">
        <f>HYPERLINK("https%3A%2F%2Fwww.webofscience.com%2Fwos%2Fwoscc%2Ffull-record%2FWOS:001547502000014","View Full Record in Web of Science")</f>
        <v>View Full Record in Web of Science</v>
      </c>
    </row>
    <row r="790" ht="12.75" customHeight="1">
      <c r="A790" s="1" t="s">
        <v>72</v>
      </c>
      <c r="B790" s="1" t="s">
        <v>7013</v>
      </c>
      <c r="C790" s="1" t="s">
        <v>74</v>
      </c>
      <c r="D790" s="1" t="s">
        <v>74</v>
      </c>
      <c r="E790" s="1" t="s">
        <v>74</v>
      </c>
      <c r="F790" s="1" t="s">
        <v>7014</v>
      </c>
      <c r="G790" s="1" t="s">
        <v>74</v>
      </c>
      <c r="H790" s="1" t="s">
        <v>74</v>
      </c>
      <c r="I790" s="1" t="s">
        <v>7015</v>
      </c>
      <c r="J790" s="1" t="s">
        <v>7016</v>
      </c>
      <c r="K790" s="1" t="s">
        <v>74</v>
      </c>
      <c r="L790" s="1" t="s">
        <v>74</v>
      </c>
      <c r="M790" s="1" t="s">
        <v>74</v>
      </c>
      <c r="N790" s="1" t="s">
        <v>953</v>
      </c>
      <c r="O790" s="1" t="s">
        <v>74</v>
      </c>
      <c r="P790" s="1" t="s">
        <v>74</v>
      </c>
      <c r="Q790" s="1" t="s">
        <v>74</v>
      </c>
      <c r="R790" s="1" t="s">
        <v>74</v>
      </c>
      <c r="S790" s="1" t="s">
        <v>74</v>
      </c>
      <c r="T790" s="1" t="s">
        <v>7017</v>
      </c>
      <c r="U790" s="1" t="s">
        <v>7018</v>
      </c>
      <c r="V790" s="1" t="s">
        <v>7019</v>
      </c>
      <c r="W790" s="1" t="s">
        <v>74</v>
      </c>
      <c r="X790" s="1" t="s">
        <v>74</v>
      </c>
      <c r="Y790" s="1" t="s">
        <v>74</v>
      </c>
      <c r="Z790" s="1" t="s">
        <v>74</v>
      </c>
      <c r="AA790" s="1" t="s">
        <v>74</v>
      </c>
      <c r="AB790" s="1" t="s">
        <v>74</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7020</v>
      </c>
      <c r="AP790" s="1" t="s">
        <v>7021</v>
      </c>
      <c r="AQ790" s="1" t="s">
        <v>74</v>
      </c>
      <c r="AR790" s="1" t="s">
        <v>74</v>
      </c>
      <c r="AS790" s="1" t="s">
        <v>74</v>
      </c>
      <c r="AT790" s="1" t="s">
        <v>7022</v>
      </c>
      <c r="AU790" s="1">
        <v>2025.0</v>
      </c>
      <c r="AV790" s="1" t="s">
        <v>74</v>
      </c>
      <c r="AW790" s="1" t="s">
        <v>74</v>
      </c>
      <c r="AX790" s="1" t="s">
        <v>74</v>
      </c>
      <c r="AY790" s="1" t="s">
        <v>74</v>
      </c>
      <c r="AZ790" s="1" t="s">
        <v>74</v>
      </c>
      <c r="BA790" s="1" t="s">
        <v>74</v>
      </c>
      <c r="BB790" s="1" t="s">
        <v>74</v>
      </c>
      <c r="BC790" s="1" t="s">
        <v>74</v>
      </c>
      <c r="BD790" s="1" t="s">
        <v>74</v>
      </c>
      <c r="BE790" s="1" t="s">
        <v>7023</v>
      </c>
      <c r="BF790" s="2" t="str">
        <f>HYPERLINK("http://dx.doi.org/10.1108/ECAM-08-2024-1066","http://dx.doi.org/10.1108/ECAM-08-2024-1066")</f>
        <v>http://dx.doi.org/10.1108/ECAM-08-2024-1066</v>
      </c>
      <c r="BG790" s="1" t="s">
        <v>74</v>
      </c>
      <c r="BH790" s="1" t="s">
        <v>1150</v>
      </c>
      <c r="BI790" s="1" t="s">
        <v>74</v>
      </c>
      <c r="BJ790" s="1" t="s">
        <v>74</v>
      </c>
      <c r="BK790" s="1" t="s">
        <v>74</v>
      </c>
      <c r="BL790" s="1" t="s">
        <v>7024</v>
      </c>
      <c r="BM790" s="1" t="s">
        <v>74</v>
      </c>
      <c r="BN790" s="1" t="s">
        <v>74</v>
      </c>
      <c r="BO790" s="1" t="s">
        <v>74</v>
      </c>
      <c r="BP790" s="1" t="s">
        <v>74</v>
      </c>
      <c r="BQ790" s="1" t="s">
        <v>74</v>
      </c>
      <c r="BR790" s="1" t="s">
        <v>74</v>
      </c>
      <c r="BS790" s="1" t="s">
        <v>7025</v>
      </c>
      <c r="BT790" s="1" t="str">
        <f>HYPERLINK("https%3A%2F%2Fwww.webofscience.com%2Fwos%2Fwoscc%2Ffull-record%2FWOS:001483501000001","View Full Record in Web of Science")</f>
        <v>View Full Record in Web of Science</v>
      </c>
    </row>
    <row r="791" ht="12.75" customHeight="1">
      <c r="A791" s="1" t="s">
        <v>72</v>
      </c>
      <c r="B791" s="1" t="s">
        <v>7026</v>
      </c>
      <c r="C791" s="1" t="s">
        <v>74</v>
      </c>
      <c r="D791" s="1" t="s">
        <v>74</v>
      </c>
      <c r="E791" s="1" t="s">
        <v>74</v>
      </c>
      <c r="F791" s="1" t="s">
        <v>7027</v>
      </c>
      <c r="G791" s="1" t="s">
        <v>74</v>
      </c>
      <c r="H791" s="1" t="s">
        <v>74</v>
      </c>
      <c r="I791" s="1" t="s">
        <v>7028</v>
      </c>
      <c r="J791" s="1" t="s">
        <v>2655</v>
      </c>
      <c r="K791" s="1" t="s">
        <v>74</v>
      </c>
      <c r="L791" s="1" t="s">
        <v>74</v>
      </c>
      <c r="M791" s="1" t="s">
        <v>74</v>
      </c>
      <c r="N791" s="1" t="s">
        <v>78</v>
      </c>
      <c r="O791" s="1" t="s">
        <v>74</v>
      </c>
      <c r="P791" s="1" t="s">
        <v>74</v>
      </c>
      <c r="Q791" s="1" t="s">
        <v>74</v>
      </c>
      <c r="R791" s="1" t="s">
        <v>74</v>
      </c>
      <c r="S791" s="1" t="s">
        <v>74</v>
      </c>
      <c r="T791" s="1" t="s">
        <v>7029</v>
      </c>
      <c r="U791" s="1" t="s">
        <v>7030</v>
      </c>
      <c r="V791" s="1" t="s">
        <v>7031</v>
      </c>
      <c r="W791" s="1" t="s">
        <v>74</v>
      </c>
      <c r="X791" s="1" t="s">
        <v>74</v>
      </c>
      <c r="Y791" s="1" t="s">
        <v>74</v>
      </c>
      <c r="Z791" s="1" t="s">
        <v>74</v>
      </c>
      <c r="AA791" s="1" t="s">
        <v>74</v>
      </c>
      <c r="AB791" s="1" t="s">
        <v>74</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2659</v>
      </c>
      <c r="AP791" s="1" t="s">
        <v>2660</v>
      </c>
      <c r="AQ791" s="1" t="s">
        <v>74</v>
      </c>
      <c r="AR791" s="1" t="s">
        <v>74</v>
      </c>
      <c r="AS791" s="1" t="s">
        <v>74</v>
      </c>
      <c r="AT791" s="1" t="s">
        <v>172</v>
      </c>
      <c r="AU791" s="1">
        <v>2025.0</v>
      </c>
      <c r="AV791" s="1">
        <v>203.0</v>
      </c>
      <c r="AW791" s="1" t="s">
        <v>74</v>
      </c>
      <c r="AX791" s="1" t="s">
        <v>74</v>
      </c>
      <c r="AY791" s="1" t="s">
        <v>74</v>
      </c>
      <c r="AZ791" s="1" t="s">
        <v>74</v>
      </c>
      <c r="BA791" s="1" t="s">
        <v>74</v>
      </c>
      <c r="BB791" s="1" t="s">
        <v>74</v>
      </c>
      <c r="BC791" s="1" t="s">
        <v>74</v>
      </c>
      <c r="BD791" s="1">
        <v>106035.0</v>
      </c>
      <c r="BE791" s="1" t="s">
        <v>7032</v>
      </c>
      <c r="BF791" s="2" t="str">
        <f>HYPERLINK("http://dx.doi.org/10.1016/j.ijmedinf.2025.106035","http://dx.doi.org/10.1016/j.ijmedinf.2025.106035")</f>
        <v>http://dx.doi.org/10.1016/j.ijmedinf.2025.106035</v>
      </c>
      <c r="BG791" s="1" t="s">
        <v>74</v>
      </c>
      <c r="BH791" s="1" t="s">
        <v>973</v>
      </c>
      <c r="BI791" s="1" t="s">
        <v>74</v>
      </c>
      <c r="BJ791" s="1" t="s">
        <v>74</v>
      </c>
      <c r="BK791" s="1" t="s">
        <v>74</v>
      </c>
      <c r="BL791" s="1" t="s">
        <v>1171</v>
      </c>
      <c r="BM791" s="1" t="s">
        <v>74</v>
      </c>
      <c r="BN791" s="1" t="s">
        <v>74</v>
      </c>
      <c r="BO791" s="1" t="s">
        <v>74</v>
      </c>
      <c r="BP791" s="1" t="s">
        <v>74</v>
      </c>
      <c r="BQ791" s="1" t="s">
        <v>74</v>
      </c>
      <c r="BR791" s="1" t="s">
        <v>74</v>
      </c>
      <c r="BS791" s="1" t="s">
        <v>7033</v>
      </c>
      <c r="BT791" s="1" t="str">
        <f>HYPERLINK("https%3A%2F%2Fwww.webofscience.com%2Fwos%2Fwoscc%2Ffull-record%2FWOS:001526922100002","View Full Record in Web of Science")</f>
        <v>View Full Record in Web of Science</v>
      </c>
    </row>
    <row r="792" ht="12.75" customHeight="1">
      <c r="A792" s="1" t="s">
        <v>72</v>
      </c>
      <c r="B792" s="1" t="s">
        <v>7034</v>
      </c>
      <c r="C792" s="1" t="s">
        <v>74</v>
      </c>
      <c r="D792" s="1" t="s">
        <v>74</v>
      </c>
      <c r="E792" s="1" t="s">
        <v>74</v>
      </c>
      <c r="F792" s="1" t="s">
        <v>7035</v>
      </c>
      <c r="G792" s="1" t="s">
        <v>74</v>
      </c>
      <c r="H792" s="1" t="s">
        <v>74</v>
      </c>
      <c r="I792" s="1" t="s">
        <v>7036</v>
      </c>
      <c r="J792" s="1" t="s">
        <v>2572</v>
      </c>
      <c r="K792" s="1" t="s">
        <v>74</v>
      </c>
      <c r="L792" s="1" t="s">
        <v>74</v>
      </c>
      <c r="M792" s="1" t="s">
        <v>74</v>
      </c>
      <c r="N792" s="1" t="s">
        <v>78</v>
      </c>
      <c r="O792" s="1" t="s">
        <v>74</v>
      </c>
      <c r="P792" s="1" t="s">
        <v>74</v>
      </c>
      <c r="Q792" s="1" t="s">
        <v>74</v>
      </c>
      <c r="R792" s="1" t="s">
        <v>74</v>
      </c>
      <c r="S792" s="1" t="s">
        <v>74</v>
      </c>
      <c r="T792" s="1" t="s">
        <v>7037</v>
      </c>
      <c r="U792" s="1" t="s">
        <v>74</v>
      </c>
      <c r="V792" s="1" t="s">
        <v>7038</v>
      </c>
      <c r="W792" s="1" t="s">
        <v>74</v>
      </c>
      <c r="X792" s="1" t="s">
        <v>74</v>
      </c>
      <c r="Y792" s="1" t="s">
        <v>74</v>
      </c>
      <c r="Z792" s="1" t="s">
        <v>74</v>
      </c>
      <c r="AA792" s="1" t="s">
        <v>74</v>
      </c>
      <c r="AB792" s="1" t="s">
        <v>74</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2575</v>
      </c>
      <c r="AP792" s="1" t="s">
        <v>74</v>
      </c>
      <c r="AQ792" s="1" t="s">
        <v>74</v>
      </c>
      <c r="AR792" s="1" t="s">
        <v>74</v>
      </c>
      <c r="AS792" s="1" t="s">
        <v>74</v>
      </c>
      <c r="AT792" s="1" t="s">
        <v>2661</v>
      </c>
      <c r="AU792" s="1">
        <v>2025.0</v>
      </c>
      <c r="AV792" s="1">
        <v>12.0</v>
      </c>
      <c r="AW792" s="1">
        <v>6.0</v>
      </c>
      <c r="AX792" s="1" t="s">
        <v>74</v>
      </c>
      <c r="AY792" s="1" t="s">
        <v>74</v>
      </c>
      <c r="AZ792" s="1" t="s">
        <v>74</v>
      </c>
      <c r="BA792" s="1" t="s">
        <v>74</v>
      </c>
      <c r="BB792" s="1">
        <v>6095.0</v>
      </c>
      <c r="BC792" s="1">
        <v>6108.0</v>
      </c>
      <c r="BD792" s="1" t="s">
        <v>74</v>
      </c>
      <c r="BE792" s="1" t="s">
        <v>7039</v>
      </c>
      <c r="BF792" s="2" t="str">
        <f>HYPERLINK("http://dx.doi.org/10.1109/JIOT.2024.3518615","http://dx.doi.org/10.1109/JIOT.2024.3518615")</f>
        <v>http://dx.doi.org/10.1109/JIOT.2024.3518615</v>
      </c>
      <c r="BG792" s="1" t="s">
        <v>74</v>
      </c>
      <c r="BH792" s="1" t="s">
        <v>74</v>
      </c>
      <c r="BI792" s="1" t="s">
        <v>74</v>
      </c>
      <c r="BJ792" s="1" t="s">
        <v>74</v>
      </c>
      <c r="BK792" s="1" t="s">
        <v>74</v>
      </c>
      <c r="BL792" s="1" t="s">
        <v>152</v>
      </c>
      <c r="BM792" s="1" t="s">
        <v>74</v>
      </c>
      <c r="BN792" s="1" t="s">
        <v>74</v>
      </c>
      <c r="BO792" s="1" t="s">
        <v>74</v>
      </c>
      <c r="BP792" s="1" t="s">
        <v>74</v>
      </c>
      <c r="BQ792" s="1" t="s">
        <v>74</v>
      </c>
      <c r="BR792" s="1" t="s">
        <v>74</v>
      </c>
      <c r="BS792" s="1" t="s">
        <v>7040</v>
      </c>
      <c r="BT792" s="1" t="str">
        <f>HYPERLINK("https%3A%2F%2Fwww.webofscience.com%2Fwos%2Fwoscc%2Ffull-record%2FWOS:001441748300030","View Full Record in Web of Science")</f>
        <v>View Full Record in Web of Science</v>
      </c>
    </row>
    <row r="793" ht="12.75" customHeight="1">
      <c r="A793" s="1" t="s">
        <v>72</v>
      </c>
      <c r="B793" s="1" t="s">
        <v>7041</v>
      </c>
      <c r="C793" s="1" t="s">
        <v>74</v>
      </c>
      <c r="D793" s="1" t="s">
        <v>74</v>
      </c>
      <c r="E793" s="1" t="s">
        <v>74</v>
      </c>
      <c r="F793" s="1" t="s">
        <v>7042</v>
      </c>
      <c r="G793" s="1" t="s">
        <v>74</v>
      </c>
      <c r="H793" s="1" t="s">
        <v>74</v>
      </c>
      <c r="I793" s="1" t="s">
        <v>7043</v>
      </c>
      <c r="J793" s="1" t="s">
        <v>765</v>
      </c>
      <c r="K793" s="1" t="s">
        <v>74</v>
      </c>
      <c r="L793" s="1" t="s">
        <v>74</v>
      </c>
      <c r="M793" s="1" t="s">
        <v>74</v>
      </c>
      <c r="N793" s="1" t="s">
        <v>78</v>
      </c>
      <c r="O793" s="1" t="s">
        <v>74</v>
      </c>
      <c r="P793" s="1" t="s">
        <v>74</v>
      </c>
      <c r="Q793" s="1" t="s">
        <v>74</v>
      </c>
      <c r="R793" s="1" t="s">
        <v>74</v>
      </c>
      <c r="S793" s="1" t="s">
        <v>74</v>
      </c>
      <c r="T793" s="1" t="s">
        <v>7044</v>
      </c>
      <c r="U793" s="1" t="s">
        <v>74</v>
      </c>
      <c r="V793" s="1" t="s">
        <v>7045</v>
      </c>
      <c r="W793" s="1" t="s">
        <v>74</v>
      </c>
      <c r="X793" s="1" t="s">
        <v>74</v>
      </c>
      <c r="Y793" s="1" t="s">
        <v>74</v>
      </c>
      <c r="Z793" s="1" t="s">
        <v>74</v>
      </c>
      <c r="AA793" s="1" t="s">
        <v>74</v>
      </c>
      <c r="AB793" s="1" t="s">
        <v>74</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768</v>
      </c>
      <c r="AP793" s="1" t="s">
        <v>769</v>
      </c>
      <c r="AQ793" s="1" t="s">
        <v>74</v>
      </c>
      <c r="AR793" s="1" t="s">
        <v>74</v>
      </c>
      <c r="AS793" s="1" t="s">
        <v>74</v>
      </c>
      <c r="AT793" s="1" t="s">
        <v>3169</v>
      </c>
      <c r="AU793" s="1">
        <v>2025.0</v>
      </c>
      <c r="AV793" s="1">
        <v>28.0</v>
      </c>
      <c r="AW793" s="1">
        <v>1.0</v>
      </c>
      <c r="AX793" s="1" t="s">
        <v>74</v>
      </c>
      <c r="AY793" s="1" t="s">
        <v>74</v>
      </c>
      <c r="AZ793" s="1" t="s">
        <v>74</v>
      </c>
      <c r="BA793" s="1" t="s">
        <v>74</v>
      </c>
      <c r="BB793" s="1" t="s">
        <v>74</v>
      </c>
      <c r="BC793" s="1" t="s">
        <v>74</v>
      </c>
      <c r="BD793" s="1">
        <v>19.0</v>
      </c>
      <c r="BE793" s="1" t="s">
        <v>7046</v>
      </c>
      <c r="BF793" s="2" t="str">
        <f>HYPERLINK("http://dx.doi.org/10.1007/s10791-025-09520-6","http://dx.doi.org/10.1007/s10791-025-09520-6")</f>
        <v>http://dx.doi.org/10.1007/s10791-025-09520-6</v>
      </c>
      <c r="BG793" s="1" t="s">
        <v>74</v>
      </c>
      <c r="BH793" s="1" t="s">
        <v>74</v>
      </c>
      <c r="BI793" s="1" t="s">
        <v>74</v>
      </c>
      <c r="BJ793" s="1" t="s">
        <v>74</v>
      </c>
      <c r="BK793" s="1" t="s">
        <v>74</v>
      </c>
      <c r="BL793" s="1" t="s">
        <v>174</v>
      </c>
      <c r="BM793" s="1" t="s">
        <v>74</v>
      </c>
      <c r="BN793" s="1" t="s">
        <v>74</v>
      </c>
      <c r="BO793" s="1" t="s">
        <v>163</v>
      </c>
      <c r="BP793" s="1" t="s">
        <v>74</v>
      </c>
      <c r="BQ793" s="1" t="s">
        <v>74</v>
      </c>
      <c r="BR793" s="1" t="s">
        <v>74</v>
      </c>
      <c r="BS793" s="1" t="s">
        <v>7047</v>
      </c>
      <c r="BT793" s="1" t="str">
        <f>HYPERLINK("https%3A%2F%2Fwww.webofscience.com%2Fwos%2Fwoscc%2Ffull-record%2FWOS:001451745700001","View Full Record in Web of Science")</f>
        <v>View Full Record in Web of Science</v>
      </c>
    </row>
    <row r="794" ht="12.75" customHeight="1">
      <c r="A794" s="1" t="s">
        <v>72</v>
      </c>
      <c r="B794" s="1" t="s">
        <v>7048</v>
      </c>
      <c r="C794" s="1" t="s">
        <v>74</v>
      </c>
      <c r="D794" s="1" t="s">
        <v>74</v>
      </c>
      <c r="E794" s="1" t="s">
        <v>74</v>
      </c>
      <c r="F794" s="1" t="s">
        <v>7049</v>
      </c>
      <c r="G794" s="1" t="s">
        <v>74</v>
      </c>
      <c r="H794" s="1" t="s">
        <v>74</v>
      </c>
      <c r="I794" s="1" t="s">
        <v>7050</v>
      </c>
      <c r="J794" s="1" t="s">
        <v>7051</v>
      </c>
      <c r="K794" s="1" t="s">
        <v>74</v>
      </c>
      <c r="L794" s="1" t="s">
        <v>74</v>
      </c>
      <c r="M794" s="1" t="s">
        <v>74</v>
      </c>
      <c r="N794" s="1" t="s">
        <v>78</v>
      </c>
      <c r="O794" s="1" t="s">
        <v>74</v>
      </c>
      <c r="P794" s="1" t="s">
        <v>74</v>
      </c>
      <c r="Q794" s="1" t="s">
        <v>74</v>
      </c>
      <c r="R794" s="1" t="s">
        <v>74</v>
      </c>
      <c r="S794" s="1" t="s">
        <v>74</v>
      </c>
      <c r="T794" s="1" t="s">
        <v>7052</v>
      </c>
      <c r="U794" s="1" t="s">
        <v>74</v>
      </c>
      <c r="V794" s="1" t="s">
        <v>7053</v>
      </c>
      <c r="W794" s="1" t="s">
        <v>74</v>
      </c>
      <c r="X794" s="1" t="s">
        <v>74</v>
      </c>
      <c r="Y794" s="1" t="s">
        <v>74</v>
      </c>
      <c r="Z794" s="1" t="s">
        <v>74</v>
      </c>
      <c r="AA794" s="1" t="s">
        <v>74</v>
      </c>
      <c r="AB794" s="1" t="s">
        <v>74</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7054</v>
      </c>
      <c r="AP794" s="1" t="s">
        <v>7055</v>
      </c>
      <c r="AQ794" s="1" t="s">
        <v>74</v>
      </c>
      <c r="AR794" s="1" t="s">
        <v>74</v>
      </c>
      <c r="AS794" s="1" t="s">
        <v>74</v>
      </c>
      <c r="AT794" s="1" t="s">
        <v>262</v>
      </c>
      <c r="AU794" s="1">
        <v>2024.0</v>
      </c>
      <c r="AV794" s="1">
        <v>33.0</v>
      </c>
      <c r="AW794" s="1">
        <v>7.0</v>
      </c>
      <c r="AX794" s="1" t="s">
        <v>74</v>
      </c>
      <c r="AY794" s="1" t="s">
        <v>74</v>
      </c>
      <c r="AZ794" s="1" t="s">
        <v>74</v>
      </c>
      <c r="BA794" s="1" t="s">
        <v>74</v>
      </c>
      <c r="BB794" s="1" t="s">
        <v>74</v>
      </c>
      <c r="BC794" s="1" t="s">
        <v>74</v>
      </c>
      <c r="BD794" s="1">
        <v>186.0</v>
      </c>
      <c r="BE794" s="1" t="s">
        <v>7056</v>
      </c>
      <c r="BF794" s="2" t="str">
        <f>HYPERLINK("http://dx.doi.org/10.1145/3664812","http://dx.doi.org/10.1145/3664812")</f>
        <v>http://dx.doi.org/10.1145/3664812</v>
      </c>
      <c r="BG794" s="1" t="s">
        <v>74</v>
      </c>
      <c r="BH794" s="1" t="s">
        <v>74</v>
      </c>
      <c r="BI794" s="1" t="s">
        <v>74</v>
      </c>
      <c r="BJ794" s="1" t="s">
        <v>74</v>
      </c>
      <c r="BK794" s="1" t="s">
        <v>74</v>
      </c>
      <c r="BL794" s="1" t="s">
        <v>174</v>
      </c>
      <c r="BM794" s="1" t="s">
        <v>74</v>
      </c>
      <c r="BN794" s="1" t="s">
        <v>74</v>
      </c>
      <c r="BO794" s="1" t="s">
        <v>383</v>
      </c>
      <c r="BP794" s="1" t="s">
        <v>74</v>
      </c>
      <c r="BQ794" s="1" t="s">
        <v>74</v>
      </c>
      <c r="BR794" s="1" t="s">
        <v>74</v>
      </c>
      <c r="BS794" s="1" t="s">
        <v>7057</v>
      </c>
      <c r="BT794" s="1" t="str">
        <f>HYPERLINK("https%3A%2F%2Fwww.webofscience.com%2Fwos%2Fwoscc%2Ffull-record%2FWOS:001342182300003","View Full Record in Web of Science")</f>
        <v>View Full Record in Web of Science</v>
      </c>
    </row>
    <row r="795" ht="12.75" customHeight="1">
      <c r="A795" s="1" t="s">
        <v>72</v>
      </c>
      <c r="B795" s="1" t="s">
        <v>7058</v>
      </c>
      <c r="C795" s="1" t="s">
        <v>74</v>
      </c>
      <c r="D795" s="1" t="s">
        <v>74</v>
      </c>
      <c r="E795" s="1" t="s">
        <v>74</v>
      </c>
      <c r="F795" s="1" t="s">
        <v>7059</v>
      </c>
      <c r="G795" s="1" t="s">
        <v>74</v>
      </c>
      <c r="H795" s="1" t="s">
        <v>74</v>
      </c>
      <c r="I795" s="1" t="s">
        <v>7060</v>
      </c>
      <c r="J795" s="1" t="s">
        <v>3315</v>
      </c>
      <c r="K795" s="1" t="s">
        <v>74</v>
      </c>
      <c r="L795" s="1" t="s">
        <v>74</v>
      </c>
      <c r="M795" s="1" t="s">
        <v>74</v>
      </c>
      <c r="N795" s="1" t="s">
        <v>78</v>
      </c>
      <c r="O795" s="1" t="s">
        <v>74</v>
      </c>
      <c r="P795" s="1" t="s">
        <v>74</v>
      </c>
      <c r="Q795" s="1" t="s">
        <v>74</v>
      </c>
      <c r="R795" s="1" t="s">
        <v>74</v>
      </c>
      <c r="S795" s="1" t="s">
        <v>74</v>
      </c>
      <c r="T795" s="1" t="s">
        <v>7061</v>
      </c>
      <c r="U795" s="1" t="s">
        <v>74</v>
      </c>
      <c r="V795" s="1" t="s">
        <v>7062</v>
      </c>
      <c r="W795" s="1" t="s">
        <v>74</v>
      </c>
      <c r="X795" s="1" t="s">
        <v>74</v>
      </c>
      <c r="Y795" s="1" t="s">
        <v>74</v>
      </c>
      <c r="Z795" s="1" t="s">
        <v>74</v>
      </c>
      <c r="AA795" s="1" t="s">
        <v>74</v>
      </c>
      <c r="AB795" s="1" t="s">
        <v>74</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3319</v>
      </c>
      <c r="AP795" s="1" t="s">
        <v>3320</v>
      </c>
      <c r="AQ795" s="1" t="s">
        <v>74</v>
      </c>
      <c r="AR795" s="1" t="s">
        <v>74</v>
      </c>
      <c r="AS795" s="1" t="s">
        <v>74</v>
      </c>
      <c r="AT795" s="1" t="s">
        <v>139</v>
      </c>
      <c r="AU795" s="1">
        <v>2025.0</v>
      </c>
      <c r="AV795" s="1">
        <v>20.0</v>
      </c>
      <c r="AW795" s="1">
        <v>1.0</v>
      </c>
      <c r="AX795" s="1" t="s">
        <v>74</v>
      </c>
      <c r="AY795" s="1" t="s">
        <v>74</v>
      </c>
      <c r="AZ795" s="1" t="s">
        <v>74</v>
      </c>
      <c r="BA795" s="1" t="s">
        <v>74</v>
      </c>
      <c r="BB795" s="1">
        <v>16.0</v>
      </c>
      <c r="BC795" s="1">
        <v>35.0</v>
      </c>
      <c r="BD795" s="1" t="s">
        <v>74</v>
      </c>
      <c r="BE795" s="1" t="s">
        <v>7063</v>
      </c>
      <c r="BF795" s="2" t="str">
        <f>HYPERLINK("http://dx.doi.org/10.1177/15705838251329266","http://dx.doi.org/10.1177/15705838251329266")</f>
        <v>http://dx.doi.org/10.1177/15705838251329266</v>
      </c>
      <c r="BG795" s="1" t="s">
        <v>74</v>
      </c>
      <c r="BH795" s="1" t="s">
        <v>1150</v>
      </c>
      <c r="BI795" s="1" t="s">
        <v>74</v>
      </c>
      <c r="BJ795" s="1" t="s">
        <v>74</v>
      </c>
      <c r="BK795" s="1" t="s">
        <v>74</v>
      </c>
      <c r="BL795" s="1" t="s">
        <v>174</v>
      </c>
      <c r="BM795" s="1" t="s">
        <v>74</v>
      </c>
      <c r="BN795" s="1" t="s">
        <v>74</v>
      </c>
      <c r="BO795" s="1" t="s">
        <v>74</v>
      </c>
      <c r="BP795" s="1" t="s">
        <v>74</v>
      </c>
      <c r="BQ795" s="1" t="s">
        <v>74</v>
      </c>
      <c r="BR795" s="1" t="s">
        <v>74</v>
      </c>
      <c r="BS795" s="1" t="s">
        <v>7064</v>
      </c>
      <c r="BT795" s="1" t="str">
        <f>HYPERLINK("https%3A%2F%2Fwww.webofscience.com%2Fwos%2Fwoscc%2Ffull-record%2FWOS:001480202500001","View Full Record in Web of Science")</f>
        <v>View Full Record in Web of Science</v>
      </c>
    </row>
    <row r="796" ht="12.75" customHeight="1">
      <c r="A796" s="1" t="s">
        <v>72</v>
      </c>
      <c r="B796" s="1" t="s">
        <v>7065</v>
      </c>
      <c r="C796" s="1" t="s">
        <v>74</v>
      </c>
      <c r="D796" s="1" t="s">
        <v>74</v>
      </c>
      <c r="E796" s="1" t="s">
        <v>74</v>
      </c>
      <c r="F796" s="1" t="s">
        <v>7066</v>
      </c>
      <c r="G796" s="1" t="s">
        <v>74</v>
      </c>
      <c r="H796" s="1" t="s">
        <v>74</v>
      </c>
      <c r="I796" s="1" t="s">
        <v>7067</v>
      </c>
      <c r="J796" s="1" t="s">
        <v>3342</v>
      </c>
      <c r="K796" s="1" t="s">
        <v>74</v>
      </c>
      <c r="L796" s="1" t="s">
        <v>74</v>
      </c>
      <c r="M796" s="1" t="s">
        <v>74</v>
      </c>
      <c r="N796" s="1" t="s">
        <v>78</v>
      </c>
      <c r="O796" s="1" t="s">
        <v>74</v>
      </c>
      <c r="P796" s="1" t="s">
        <v>74</v>
      </c>
      <c r="Q796" s="1" t="s">
        <v>74</v>
      </c>
      <c r="R796" s="1" t="s">
        <v>74</v>
      </c>
      <c r="S796" s="1" t="s">
        <v>74</v>
      </c>
      <c r="T796" s="1" t="s">
        <v>7068</v>
      </c>
      <c r="U796" s="1" t="s">
        <v>74</v>
      </c>
      <c r="V796" s="1" t="s">
        <v>7069</v>
      </c>
      <c r="W796" s="1" t="s">
        <v>74</v>
      </c>
      <c r="X796" s="1" t="s">
        <v>74</v>
      </c>
      <c r="Y796" s="1" t="s">
        <v>74</v>
      </c>
      <c r="Z796" s="1" t="s">
        <v>74</v>
      </c>
      <c r="AA796" s="1" t="s">
        <v>74</v>
      </c>
      <c r="AB796" s="1" t="s">
        <v>74</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3345</v>
      </c>
      <c r="AP796" s="1" t="s">
        <v>3346</v>
      </c>
      <c r="AQ796" s="1" t="s">
        <v>74</v>
      </c>
      <c r="AR796" s="1" t="s">
        <v>74</v>
      </c>
      <c r="AS796" s="1" t="s">
        <v>74</v>
      </c>
      <c r="AT796" s="1" t="s">
        <v>2463</v>
      </c>
      <c r="AU796" s="1">
        <v>2025.0</v>
      </c>
      <c r="AV796" s="1">
        <v>55.0</v>
      </c>
      <c r="AW796" s="1">
        <v>10.0</v>
      </c>
      <c r="AX796" s="1" t="s">
        <v>74</v>
      </c>
      <c r="AY796" s="1" t="s">
        <v>74</v>
      </c>
      <c r="AZ796" s="1" t="s">
        <v>74</v>
      </c>
      <c r="BA796" s="1" t="s">
        <v>74</v>
      </c>
      <c r="BB796" s="1" t="s">
        <v>74</v>
      </c>
      <c r="BC796" s="1" t="s">
        <v>74</v>
      </c>
      <c r="BD796" s="1">
        <v>748.0</v>
      </c>
      <c r="BE796" s="1" t="s">
        <v>7070</v>
      </c>
      <c r="BF796" s="2" t="str">
        <f>HYPERLINK("http://dx.doi.org/10.1007/s10489-025-06529-8","http://dx.doi.org/10.1007/s10489-025-06529-8")</f>
        <v>http://dx.doi.org/10.1007/s10489-025-06529-8</v>
      </c>
      <c r="BG796" s="1" t="s">
        <v>74</v>
      </c>
      <c r="BH796" s="1" t="s">
        <v>74</v>
      </c>
      <c r="BI796" s="1" t="s">
        <v>74</v>
      </c>
      <c r="BJ796" s="1" t="s">
        <v>74</v>
      </c>
      <c r="BK796" s="1" t="s">
        <v>74</v>
      </c>
      <c r="BL796" s="1" t="s">
        <v>174</v>
      </c>
      <c r="BM796" s="1" t="s">
        <v>74</v>
      </c>
      <c r="BN796" s="1" t="s">
        <v>74</v>
      </c>
      <c r="BO796" s="1" t="s">
        <v>74</v>
      </c>
      <c r="BP796" s="1" t="s">
        <v>74</v>
      </c>
      <c r="BQ796" s="1" t="s">
        <v>74</v>
      </c>
      <c r="BR796" s="1" t="s">
        <v>74</v>
      </c>
      <c r="BS796" s="1" t="s">
        <v>7071</v>
      </c>
      <c r="BT796" s="1" t="str">
        <f>HYPERLINK("https%3A%2F%2Fwww.webofscience.com%2Fwos%2Fwoscc%2Ffull-record%2FWOS:001512196000019","View Full Record in Web of Science")</f>
        <v>View Full Record in Web of Science</v>
      </c>
    </row>
    <row r="797" ht="12.75" customHeight="1">
      <c r="A797" s="1" t="s">
        <v>72</v>
      </c>
      <c r="B797" s="1" t="s">
        <v>7072</v>
      </c>
      <c r="C797" s="1" t="s">
        <v>74</v>
      </c>
      <c r="D797" s="1" t="s">
        <v>74</v>
      </c>
      <c r="E797" s="1" t="s">
        <v>74</v>
      </c>
      <c r="F797" s="1" t="s">
        <v>7073</v>
      </c>
      <c r="G797" s="1" t="s">
        <v>74</v>
      </c>
      <c r="H797" s="1" t="s">
        <v>74</v>
      </c>
      <c r="I797" s="1" t="s">
        <v>7074</v>
      </c>
      <c r="J797" s="1" t="s">
        <v>4945</v>
      </c>
      <c r="K797" s="1" t="s">
        <v>74</v>
      </c>
      <c r="L797" s="1" t="s">
        <v>74</v>
      </c>
      <c r="M797" s="1" t="s">
        <v>74</v>
      </c>
      <c r="N797" s="1" t="s">
        <v>78</v>
      </c>
      <c r="O797" s="1" t="s">
        <v>74</v>
      </c>
      <c r="P797" s="1" t="s">
        <v>74</v>
      </c>
      <c r="Q797" s="1" t="s">
        <v>74</v>
      </c>
      <c r="R797" s="1" t="s">
        <v>74</v>
      </c>
      <c r="S797" s="1" t="s">
        <v>74</v>
      </c>
      <c r="T797" s="1" t="s">
        <v>7075</v>
      </c>
      <c r="U797" s="1" t="s">
        <v>74</v>
      </c>
      <c r="V797" s="1" t="s">
        <v>7076</v>
      </c>
      <c r="W797" s="1" t="s">
        <v>74</v>
      </c>
      <c r="X797" s="1" t="s">
        <v>74</v>
      </c>
      <c r="Y797" s="1" t="s">
        <v>74</v>
      </c>
      <c r="Z797" s="1" t="s">
        <v>74</v>
      </c>
      <c r="AA797" s="1" t="s">
        <v>74</v>
      </c>
      <c r="AB797" s="1" t="s">
        <v>74</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4948</v>
      </c>
      <c r="AP797" s="1" t="s">
        <v>4949</v>
      </c>
      <c r="AQ797" s="1" t="s">
        <v>74</v>
      </c>
      <c r="AR797" s="1" t="s">
        <v>74</v>
      </c>
      <c r="AS797" s="1" t="s">
        <v>74</v>
      </c>
      <c r="AT797" s="1" t="s">
        <v>225</v>
      </c>
      <c r="AU797" s="1">
        <v>2025.0</v>
      </c>
      <c r="AV797" s="1">
        <v>41.0</v>
      </c>
      <c r="AW797" s="1">
        <v>3.0</v>
      </c>
      <c r="AX797" s="1" t="s">
        <v>74</v>
      </c>
      <c r="AY797" s="1" t="s">
        <v>74</v>
      </c>
      <c r="AZ797" s="1" t="s">
        <v>74</v>
      </c>
      <c r="BA797" s="1" t="s">
        <v>74</v>
      </c>
      <c r="BB797" s="1" t="s">
        <v>74</v>
      </c>
      <c r="BC797" s="1" t="s">
        <v>74</v>
      </c>
      <c r="BD797" s="1" t="s">
        <v>7077</v>
      </c>
      <c r="BE797" s="1" t="s">
        <v>7078</v>
      </c>
      <c r="BF797" s="2" t="str">
        <f>HYPERLINK("http://dx.doi.org/10.1002/sdr.70008","http://dx.doi.org/10.1002/sdr.70008")</f>
        <v>http://dx.doi.org/10.1002/sdr.70008</v>
      </c>
      <c r="BG797" s="1" t="s">
        <v>74</v>
      </c>
      <c r="BH797" s="1" t="s">
        <v>74</v>
      </c>
      <c r="BI797" s="1" t="s">
        <v>74</v>
      </c>
      <c r="BJ797" s="1" t="s">
        <v>74</v>
      </c>
      <c r="BK797" s="1" t="s">
        <v>74</v>
      </c>
      <c r="BL797" s="1" t="s">
        <v>4951</v>
      </c>
      <c r="BM797" s="1" t="s">
        <v>74</v>
      </c>
      <c r="BN797" s="1" t="s">
        <v>74</v>
      </c>
      <c r="BO797" s="1" t="s">
        <v>74</v>
      </c>
      <c r="BP797" s="1" t="s">
        <v>74</v>
      </c>
      <c r="BQ797" s="1" t="s">
        <v>74</v>
      </c>
      <c r="BR797" s="1" t="s">
        <v>74</v>
      </c>
      <c r="BS797" s="1" t="s">
        <v>7079</v>
      </c>
      <c r="BT797" s="1" t="str">
        <f>HYPERLINK("https%3A%2F%2Fwww.webofscience.com%2Fwos%2Fwoscc%2Ffull-record%2FWOS:001560845100002","View Full Record in Web of Science")</f>
        <v>View Full Record in Web of Science</v>
      </c>
    </row>
    <row r="798" ht="12.75" customHeight="1">
      <c r="A798" s="1" t="s">
        <v>72</v>
      </c>
      <c r="B798" s="1" t="s">
        <v>6779</v>
      </c>
      <c r="C798" s="1" t="s">
        <v>74</v>
      </c>
      <c r="D798" s="1" t="s">
        <v>74</v>
      </c>
      <c r="E798" s="1" t="s">
        <v>74</v>
      </c>
      <c r="F798" s="1" t="s">
        <v>6780</v>
      </c>
      <c r="G798" s="1" t="s">
        <v>74</v>
      </c>
      <c r="H798" s="1" t="s">
        <v>74</v>
      </c>
      <c r="I798" s="1" t="s">
        <v>7080</v>
      </c>
      <c r="J798" s="1" t="s">
        <v>2305</v>
      </c>
      <c r="K798" s="1" t="s">
        <v>74</v>
      </c>
      <c r="L798" s="1" t="s">
        <v>74</v>
      </c>
      <c r="M798" s="1" t="s">
        <v>74</v>
      </c>
      <c r="N798" s="1" t="s">
        <v>953</v>
      </c>
      <c r="O798" s="1" t="s">
        <v>74</v>
      </c>
      <c r="P798" s="1" t="s">
        <v>74</v>
      </c>
      <c r="Q798" s="1" t="s">
        <v>74</v>
      </c>
      <c r="R798" s="1" t="s">
        <v>74</v>
      </c>
      <c r="S798" s="1" t="s">
        <v>74</v>
      </c>
      <c r="T798" s="1" t="s">
        <v>7081</v>
      </c>
      <c r="U798" s="1" t="s">
        <v>74</v>
      </c>
      <c r="V798" s="1" t="s">
        <v>7082</v>
      </c>
      <c r="W798" s="1" t="s">
        <v>74</v>
      </c>
      <c r="X798" s="1" t="s">
        <v>74</v>
      </c>
      <c r="Y798" s="1" t="s">
        <v>74</v>
      </c>
      <c r="Z798" s="1" t="s">
        <v>74</v>
      </c>
      <c r="AA798" s="1" t="s">
        <v>74</v>
      </c>
      <c r="AB798" s="1" t="s">
        <v>74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2308</v>
      </c>
      <c r="AP798" s="1" t="s">
        <v>2309</v>
      </c>
      <c r="AQ798" s="1" t="s">
        <v>74</v>
      </c>
      <c r="AR798" s="1" t="s">
        <v>74</v>
      </c>
      <c r="AS798" s="1" t="s">
        <v>74</v>
      </c>
      <c r="AT798" s="1" t="s">
        <v>4079</v>
      </c>
      <c r="AU798" s="1">
        <v>2025.0</v>
      </c>
      <c r="AV798" s="1" t="s">
        <v>74</v>
      </c>
      <c r="AW798" s="1" t="s">
        <v>74</v>
      </c>
      <c r="AX798" s="1" t="s">
        <v>74</v>
      </c>
      <c r="AY798" s="1" t="s">
        <v>74</v>
      </c>
      <c r="AZ798" s="1" t="s">
        <v>74</v>
      </c>
      <c r="BA798" s="1" t="s">
        <v>74</v>
      </c>
      <c r="BB798" s="1" t="s">
        <v>74</v>
      </c>
      <c r="BC798" s="1" t="s">
        <v>74</v>
      </c>
      <c r="BD798" s="1" t="s">
        <v>74</v>
      </c>
      <c r="BE798" s="1" t="s">
        <v>7083</v>
      </c>
      <c r="BF798" s="2" t="str">
        <f>HYPERLINK("http://dx.doi.org/10.1007/s10844-025-00988-8","http://dx.doi.org/10.1007/s10844-025-00988-8")</f>
        <v>http://dx.doi.org/10.1007/s10844-025-00988-8</v>
      </c>
      <c r="BG798" s="1" t="s">
        <v>74</v>
      </c>
      <c r="BH798" s="1" t="s">
        <v>738</v>
      </c>
      <c r="BI798" s="1" t="s">
        <v>74</v>
      </c>
      <c r="BJ798" s="1" t="s">
        <v>74</v>
      </c>
      <c r="BK798" s="1" t="s">
        <v>74</v>
      </c>
      <c r="BL798" s="1" t="s">
        <v>174</v>
      </c>
      <c r="BM798" s="1" t="s">
        <v>74</v>
      </c>
      <c r="BN798" s="1" t="s">
        <v>74</v>
      </c>
      <c r="BO798" s="1" t="s">
        <v>74</v>
      </c>
      <c r="BP798" s="1" t="s">
        <v>74</v>
      </c>
      <c r="BQ798" s="1" t="s">
        <v>74</v>
      </c>
      <c r="BR798" s="1" t="s">
        <v>74</v>
      </c>
      <c r="BS798" s="1" t="s">
        <v>7084</v>
      </c>
      <c r="BT798" s="1" t="str">
        <f>HYPERLINK("https%3A%2F%2Fwww.webofscience.com%2Fwos%2Fwoscc%2Ffull-record%2FWOS:001583066800001","View Full Record in Web of Science")</f>
        <v>View Full Record in Web of Science</v>
      </c>
    </row>
    <row r="799" ht="12.75" customHeight="1">
      <c r="A799" s="1" t="s">
        <v>72</v>
      </c>
      <c r="B799" s="1" t="s">
        <v>7085</v>
      </c>
      <c r="C799" s="1" t="s">
        <v>74</v>
      </c>
      <c r="D799" s="1" t="s">
        <v>74</v>
      </c>
      <c r="E799" s="1" t="s">
        <v>74</v>
      </c>
      <c r="F799" s="1" t="s">
        <v>7086</v>
      </c>
      <c r="G799" s="1" t="s">
        <v>74</v>
      </c>
      <c r="H799" s="1" t="s">
        <v>74</v>
      </c>
      <c r="I799" s="1" t="s">
        <v>7087</v>
      </c>
      <c r="J799" s="1" t="s">
        <v>4431</v>
      </c>
      <c r="K799" s="1" t="s">
        <v>74</v>
      </c>
      <c r="L799" s="1" t="s">
        <v>74</v>
      </c>
      <c r="M799" s="1" t="s">
        <v>74</v>
      </c>
      <c r="N799" s="1" t="s">
        <v>78</v>
      </c>
      <c r="O799" s="1" t="s">
        <v>74</v>
      </c>
      <c r="P799" s="1" t="s">
        <v>74</v>
      </c>
      <c r="Q799" s="1" t="s">
        <v>74</v>
      </c>
      <c r="R799" s="1" t="s">
        <v>74</v>
      </c>
      <c r="S799" s="1" t="s">
        <v>74</v>
      </c>
      <c r="T799" s="1" t="s">
        <v>7088</v>
      </c>
      <c r="U799" s="1" t="s">
        <v>74</v>
      </c>
      <c r="V799" s="1" t="s">
        <v>7089</v>
      </c>
      <c r="W799" s="1" t="s">
        <v>74</v>
      </c>
      <c r="X799" s="1" t="s">
        <v>74</v>
      </c>
      <c r="Y799" s="1" t="s">
        <v>74</v>
      </c>
      <c r="Z799" s="1" t="s">
        <v>74</v>
      </c>
      <c r="AA799" s="1" t="s">
        <v>74</v>
      </c>
      <c r="AB799" s="1" t="s">
        <v>74</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4434</v>
      </c>
      <c r="AP799" s="1" t="s">
        <v>4435</v>
      </c>
      <c r="AQ799" s="1" t="s">
        <v>74</v>
      </c>
      <c r="AR799" s="1" t="s">
        <v>74</v>
      </c>
      <c r="AS799" s="1" t="s">
        <v>74</v>
      </c>
      <c r="AT799" s="1" t="s">
        <v>688</v>
      </c>
      <c r="AU799" s="1">
        <v>2025.0</v>
      </c>
      <c r="AV799" s="1">
        <v>44.0</v>
      </c>
      <c r="AW799" s="1">
        <v>3.0</v>
      </c>
      <c r="AX799" s="1" t="s">
        <v>74</v>
      </c>
      <c r="AY799" s="1" t="s">
        <v>74</v>
      </c>
      <c r="AZ799" s="1" t="s">
        <v>74</v>
      </c>
      <c r="BA799" s="1" t="s">
        <v>74</v>
      </c>
      <c r="BB799" s="1">
        <v>1373.0</v>
      </c>
      <c r="BC799" s="1">
        <v>1385.0</v>
      </c>
      <c r="BD799" s="1" t="s">
        <v>74</v>
      </c>
      <c r="BE799" s="1" t="s">
        <v>7090</v>
      </c>
      <c r="BF799" s="2" t="str">
        <f>HYPERLINK("http://dx.doi.org/10.1109/TMI.2024.3496862","http://dx.doi.org/10.1109/TMI.2024.3496862")</f>
        <v>http://dx.doi.org/10.1109/TMI.2024.3496862</v>
      </c>
      <c r="BG799" s="1" t="s">
        <v>74</v>
      </c>
      <c r="BH799" s="1" t="s">
        <v>74</v>
      </c>
      <c r="BI799" s="1" t="s">
        <v>74</v>
      </c>
      <c r="BJ799" s="1" t="s">
        <v>74</v>
      </c>
      <c r="BK799" s="1" t="s">
        <v>74</v>
      </c>
      <c r="BL799" s="1" t="s">
        <v>4437</v>
      </c>
      <c r="BM799" s="1" t="s">
        <v>74</v>
      </c>
      <c r="BN799" s="1" t="s">
        <v>74</v>
      </c>
      <c r="BO799" s="1" t="s">
        <v>74</v>
      </c>
      <c r="BP799" s="1" t="s">
        <v>74</v>
      </c>
      <c r="BQ799" s="1" t="s">
        <v>74</v>
      </c>
      <c r="BR799" s="1" t="s">
        <v>74</v>
      </c>
      <c r="BS799" s="1" t="s">
        <v>7091</v>
      </c>
      <c r="BT799" s="1" t="str">
        <f>HYPERLINK("https%3A%2F%2Fwww.webofscience.com%2Fwos%2Fwoscc%2Ffull-record%2FWOS:001447560800038","View Full Record in Web of Science")</f>
        <v>View Full Record in Web of Science</v>
      </c>
    </row>
    <row r="800" ht="12.75" customHeight="1">
      <c r="A800" s="1" t="s">
        <v>72</v>
      </c>
      <c r="B800" s="1" t="s">
        <v>7092</v>
      </c>
      <c r="C800" s="1" t="s">
        <v>74</v>
      </c>
      <c r="D800" s="1" t="s">
        <v>74</v>
      </c>
      <c r="E800" s="1" t="s">
        <v>74</v>
      </c>
      <c r="F800" s="1" t="s">
        <v>7093</v>
      </c>
      <c r="G800" s="1" t="s">
        <v>74</v>
      </c>
      <c r="H800" s="1" t="s">
        <v>74</v>
      </c>
      <c r="I800" s="1" t="s">
        <v>7094</v>
      </c>
      <c r="J800" s="1" t="s">
        <v>3497</v>
      </c>
      <c r="K800" s="1" t="s">
        <v>74</v>
      </c>
      <c r="L800" s="1" t="s">
        <v>74</v>
      </c>
      <c r="M800" s="1" t="s">
        <v>74</v>
      </c>
      <c r="N800" s="1" t="s">
        <v>78</v>
      </c>
      <c r="O800" s="1" t="s">
        <v>74</v>
      </c>
      <c r="P800" s="1" t="s">
        <v>74</v>
      </c>
      <c r="Q800" s="1" t="s">
        <v>74</v>
      </c>
      <c r="R800" s="1" t="s">
        <v>74</v>
      </c>
      <c r="S800" s="1" t="s">
        <v>74</v>
      </c>
      <c r="T800" s="1" t="s">
        <v>7095</v>
      </c>
      <c r="U800" s="1" t="s">
        <v>5776</v>
      </c>
      <c r="V800" s="1" t="s">
        <v>7096</v>
      </c>
      <c r="W800" s="1" t="s">
        <v>74</v>
      </c>
      <c r="X800" s="1" t="s">
        <v>74</v>
      </c>
      <c r="Y800" s="1" t="s">
        <v>74</v>
      </c>
      <c r="Z800" s="1" t="s">
        <v>74</v>
      </c>
      <c r="AA800" s="1" t="s">
        <v>74</v>
      </c>
      <c r="AB800" s="1" t="s">
        <v>74</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3500</v>
      </c>
      <c r="AP800" s="1" t="s">
        <v>3501</v>
      </c>
      <c r="AQ800" s="1" t="s">
        <v>74</v>
      </c>
      <c r="AR800" s="1" t="s">
        <v>74</v>
      </c>
      <c r="AS800" s="1" t="s">
        <v>74</v>
      </c>
      <c r="AT800" s="1" t="s">
        <v>84</v>
      </c>
      <c r="AU800" s="1">
        <v>2026.0</v>
      </c>
      <c r="AV800" s="1">
        <v>197.0</v>
      </c>
      <c r="AW800" s="1" t="s">
        <v>74</v>
      </c>
      <c r="AX800" s="1" t="s">
        <v>74</v>
      </c>
      <c r="AY800" s="1" t="s">
        <v>74</v>
      </c>
      <c r="AZ800" s="1" t="s">
        <v>74</v>
      </c>
      <c r="BA800" s="1" t="s">
        <v>74</v>
      </c>
      <c r="BB800" s="1" t="s">
        <v>74</v>
      </c>
      <c r="BC800" s="1" t="s">
        <v>74</v>
      </c>
      <c r="BD800" s="1">
        <v>108415.0</v>
      </c>
      <c r="BE800" s="1" t="s">
        <v>7097</v>
      </c>
      <c r="BF800" s="2" t="str">
        <f>HYPERLINK("http://dx.doi.org/10.1016/j.neunet.2025.108415","http://dx.doi.org/10.1016/j.neunet.2025.108415")</f>
        <v>http://dx.doi.org/10.1016/j.neunet.2025.108415</v>
      </c>
      <c r="BG800" s="1" t="s">
        <v>74</v>
      </c>
      <c r="BH800" s="1" t="s">
        <v>605</v>
      </c>
      <c r="BI800" s="1" t="s">
        <v>74</v>
      </c>
      <c r="BJ800" s="1" t="s">
        <v>74</v>
      </c>
      <c r="BK800" s="1" t="s">
        <v>74</v>
      </c>
      <c r="BL800" s="1" t="s">
        <v>1460</v>
      </c>
      <c r="BM800" s="1" t="s">
        <v>74</v>
      </c>
      <c r="BN800" s="1" t="s">
        <v>74</v>
      </c>
      <c r="BO800" s="1" t="s">
        <v>74</v>
      </c>
      <c r="BP800" s="1" t="s">
        <v>74</v>
      </c>
      <c r="BQ800" s="1" t="s">
        <v>74</v>
      </c>
      <c r="BR800" s="1" t="s">
        <v>74</v>
      </c>
      <c r="BS800" s="1" t="s">
        <v>7098</v>
      </c>
      <c r="BT800" s="1" t="str">
        <f>HYPERLINK("https%3A%2F%2Fwww.webofscience.com%2Fwos%2Fwoscc%2Ffull-record%2FWOS:001649241000001","View Full Record in Web of Science")</f>
        <v>View Full Record in Web of Science</v>
      </c>
    </row>
    <row r="801" ht="12.75" customHeight="1">
      <c r="A801" s="1" t="s">
        <v>72</v>
      </c>
      <c r="B801" s="1" t="s">
        <v>7099</v>
      </c>
      <c r="C801" s="1" t="s">
        <v>74</v>
      </c>
      <c r="D801" s="1" t="s">
        <v>74</v>
      </c>
      <c r="E801" s="1" t="s">
        <v>74</v>
      </c>
      <c r="F801" s="1" t="s">
        <v>7100</v>
      </c>
      <c r="G801" s="1" t="s">
        <v>74</v>
      </c>
      <c r="H801" s="1" t="s">
        <v>74</v>
      </c>
      <c r="I801" s="1" t="s">
        <v>7101</v>
      </c>
      <c r="J801" s="1" t="s">
        <v>1155</v>
      </c>
      <c r="K801" s="1" t="s">
        <v>74</v>
      </c>
      <c r="L801" s="1" t="s">
        <v>74</v>
      </c>
      <c r="M801" s="1" t="s">
        <v>74</v>
      </c>
      <c r="N801" s="1" t="s">
        <v>953</v>
      </c>
      <c r="O801" s="1" t="s">
        <v>74</v>
      </c>
      <c r="P801" s="1" t="s">
        <v>74</v>
      </c>
      <c r="Q801" s="1" t="s">
        <v>74</v>
      </c>
      <c r="R801" s="1" t="s">
        <v>74</v>
      </c>
      <c r="S801" s="1" t="s">
        <v>74</v>
      </c>
      <c r="T801" s="1" t="s">
        <v>7102</v>
      </c>
      <c r="U801" s="1" t="s">
        <v>74</v>
      </c>
      <c r="V801" s="1" t="s">
        <v>7103</v>
      </c>
      <c r="W801" s="1" t="s">
        <v>74</v>
      </c>
      <c r="X801" s="1" t="s">
        <v>74</v>
      </c>
      <c r="Y801" s="1" t="s">
        <v>74</v>
      </c>
      <c r="Z801" s="1" t="s">
        <v>74</v>
      </c>
      <c r="AA801" s="1" t="s">
        <v>74</v>
      </c>
      <c r="AB801" s="1" t="s">
        <v>74</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1158</v>
      </c>
      <c r="AP801" s="1" t="s">
        <v>74</v>
      </c>
      <c r="AQ801" s="1" t="s">
        <v>74</v>
      </c>
      <c r="AR801" s="1" t="s">
        <v>74</v>
      </c>
      <c r="AS801" s="1" t="s">
        <v>74</v>
      </c>
      <c r="AT801" s="1" t="s">
        <v>7104</v>
      </c>
      <c r="AU801" s="1">
        <v>2025.0</v>
      </c>
      <c r="AV801" s="1" t="s">
        <v>74</v>
      </c>
      <c r="AW801" s="1" t="s">
        <v>74</v>
      </c>
      <c r="AX801" s="1" t="s">
        <v>74</v>
      </c>
      <c r="AY801" s="1" t="s">
        <v>74</v>
      </c>
      <c r="AZ801" s="1" t="s">
        <v>74</v>
      </c>
      <c r="BA801" s="1" t="s">
        <v>74</v>
      </c>
      <c r="BB801" s="1" t="s">
        <v>74</v>
      </c>
      <c r="BC801" s="1" t="s">
        <v>74</v>
      </c>
      <c r="BD801" s="1" t="s">
        <v>74</v>
      </c>
      <c r="BE801" s="1" t="s">
        <v>7105</v>
      </c>
      <c r="BF801" s="2" t="str">
        <f>HYPERLINK("http://dx.doi.org/10.1109/TCSS.2025.3605582","http://dx.doi.org/10.1109/TCSS.2025.3605582")</f>
        <v>http://dx.doi.org/10.1109/TCSS.2025.3605582</v>
      </c>
      <c r="BG801" s="1" t="s">
        <v>74</v>
      </c>
      <c r="BH801" s="1" t="s">
        <v>811</v>
      </c>
      <c r="BI801" s="1" t="s">
        <v>74</v>
      </c>
      <c r="BJ801" s="1" t="s">
        <v>74</v>
      </c>
      <c r="BK801" s="1" t="s">
        <v>74</v>
      </c>
      <c r="BL801" s="1" t="s">
        <v>174</v>
      </c>
      <c r="BM801" s="1" t="s">
        <v>74</v>
      </c>
      <c r="BN801" s="1" t="s">
        <v>74</v>
      </c>
      <c r="BO801" s="1" t="s">
        <v>74</v>
      </c>
      <c r="BP801" s="1" t="s">
        <v>74</v>
      </c>
      <c r="BQ801" s="1" t="s">
        <v>74</v>
      </c>
      <c r="BR801" s="1" t="s">
        <v>74</v>
      </c>
      <c r="BS801" s="1" t="s">
        <v>7106</v>
      </c>
      <c r="BT801" s="1" t="str">
        <f>HYPERLINK("https%3A%2F%2Fwww.webofscience.com%2Fwos%2Fwoscc%2Ffull-record%2FWOS:001596954900001","View Full Record in Web of Science")</f>
        <v>View Full Record in Web of Science</v>
      </c>
    </row>
    <row r="802" ht="12.75" customHeight="1">
      <c r="A802" s="1" t="s">
        <v>72</v>
      </c>
      <c r="B802" s="1" t="s">
        <v>7107</v>
      </c>
      <c r="C802" s="1" t="s">
        <v>74</v>
      </c>
      <c r="D802" s="1" t="s">
        <v>74</v>
      </c>
      <c r="E802" s="1" t="s">
        <v>74</v>
      </c>
      <c r="F802" s="1" t="s">
        <v>7108</v>
      </c>
      <c r="G802" s="1" t="s">
        <v>74</v>
      </c>
      <c r="H802" s="1" t="s">
        <v>74</v>
      </c>
      <c r="I802" s="1" t="s">
        <v>7109</v>
      </c>
      <c r="J802" s="1" t="s">
        <v>620</v>
      </c>
      <c r="K802" s="1" t="s">
        <v>74</v>
      </c>
      <c r="L802" s="1" t="s">
        <v>74</v>
      </c>
      <c r="M802" s="1" t="s">
        <v>74</v>
      </c>
      <c r="N802" s="1" t="s">
        <v>78</v>
      </c>
      <c r="O802" s="1" t="s">
        <v>74</v>
      </c>
      <c r="P802" s="1" t="s">
        <v>74</v>
      </c>
      <c r="Q802" s="1" t="s">
        <v>74</v>
      </c>
      <c r="R802" s="1" t="s">
        <v>74</v>
      </c>
      <c r="S802" s="1" t="s">
        <v>74</v>
      </c>
      <c r="T802" s="1" t="s">
        <v>7110</v>
      </c>
      <c r="U802" s="1" t="s">
        <v>7111</v>
      </c>
      <c r="V802" s="1" t="s">
        <v>7112</v>
      </c>
      <c r="W802" s="1" t="s">
        <v>74</v>
      </c>
      <c r="X802" s="1" t="s">
        <v>74</v>
      </c>
      <c r="Y802" s="1" t="s">
        <v>74</v>
      </c>
      <c r="Z802" s="1" t="s">
        <v>74</v>
      </c>
      <c r="AA802" s="1" t="s">
        <v>74</v>
      </c>
      <c r="AB802" s="1" t="s">
        <v>74</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624</v>
      </c>
      <c r="AP802" s="1" t="s">
        <v>625</v>
      </c>
      <c r="AQ802" s="1" t="s">
        <v>74</v>
      </c>
      <c r="AR802" s="1" t="s">
        <v>74</v>
      </c>
      <c r="AS802" s="1" t="s">
        <v>74</v>
      </c>
      <c r="AT802" s="1" t="s">
        <v>736</v>
      </c>
      <c r="AU802" s="1">
        <v>2026.0</v>
      </c>
      <c r="AV802" s="1">
        <v>88.0</v>
      </c>
      <c r="AW802" s="1" t="s">
        <v>74</v>
      </c>
      <c r="AX802" s="1" t="s">
        <v>74</v>
      </c>
      <c r="AY802" s="1" t="s">
        <v>74</v>
      </c>
      <c r="AZ802" s="1" t="s">
        <v>74</v>
      </c>
      <c r="BA802" s="1" t="s">
        <v>74</v>
      </c>
      <c r="BB802" s="1" t="s">
        <v>74</v>
      </c>
      <c r="BC802" s="1" t="s">
        <v>74</v>
      </c>
      <c r="BD802" s="1">
        <v>104539.0</v>
      </c>
      <c r="BE802" s="1" t="s">
        <v>7113</v>
      </c>
      <c r="BF802" s="2" t="str">
        <f>HYPERLINK("http://dx.doi.org/10.1016/j.jretconser.2025.104539","http://dx.doi.org/10.1016/j.jretconser.2025.104539")</f>
        <v>http://dx.doi.org/10.1016/j.jretconser.2025.104539</v>
      </c>
      <c r="BG802" s="1" t="s">
        <v>74</v>
      </c>
      <c r="BH802" s="1" t="s">
        <v>738</v>
      </c>
      <c r="BI802" s="1" t="s">
        <v>74</v>
      </c>
      <c r="BJ802" s="1" t="s">
        <v>74</v>
      </c>
      <c r="BK802" s="1" t="s">
        <v>74</v>
      </c>
      <c r="BL802" s="1" t="s">
        <v>214</v>
      </c>
      <c r="BM802" s="1" t="s">
        <v>74</v>
      </c>
      <c r="BN802" s="1" t="s">
        <v>74</v>
      </c>
      <c r="BO802" s="1" t="s">
        <v>114</v>
      </c>
      <c r="BP802" s="1" t="s">
        <v>74</v>
      </c>
      <c r="BQ802" s="1" t="s">
        <v>74</v>
      </c>
      <c r="BR802" s="1" t="s">
        <v>74</v>
      </c>
      <c r="BS802" s="1" t="s">
        <v>7114</v>
      </c>
      <c r="BT802" s="1" t="str">
        <f>HYPERLINK("https%3A%2F%2Fwww.webofscience.com%2Fwos%2Fwoscc%2Ffull-record%2FWOS:001577735200001","View Full Record in Web of Science")</f>
        <v>View Full Record in Web of Science</v>
      </c>
    </row>
    <row r="803" ht="12.75" customHeight="1">
      <c r="A803" s="1" t="s">
        <v>72</v>
      </c>
      <c r="B803" s="1" t="s">
        <v>7115</v>
      </c>
      <c r="C803" s="1" t="s">
        <v>74</v>
      </c>
      <c r="D803" s="1" t="s">
        <v>74</v>
      </c>
      <c r="E803" s="1" t="s">
        <v>74</v>
      </c>
      <c r="F803" s="1" t="s">
        <v>7116</v>
      </c>
      <c r="G803" s="1" t="s">
        <v>74</v>
      </c>
      <c r="H803" s="1" t="s">
        <v>74</v>
      </c>
      <c r="I803" s="1" t="s">
        <v>7117</v>
      </c>
      <c r="J803" s="1" t="s">
        <v>1512</v>
      </c>
      <c r="K803" s="1" t="s">
        <v>74</v>
      </c>
      <c r="L803" s="1" t="s">
        <v>74</v>
      </c>
      <c r="M803" s="1" t="s">
        <v>74</v>
      </c>
      <c r="N803" s="1" t="s">
        <v>78</v>
      </c>
      <c r="O803" s="1" t="s">
        <v>74</v>
      </c>
      <c r="P803" s="1" t="s">
        <v>74</v>
      </c>
      <c r="Q803" s="1" t="s">
        <v>74</v>
      </c>
      <c r="R803" s="1" t="s">
        <v>74</v>
      </c>
      <c r="S803" s="1" t="s">
        <v>74</v>
      </c>
      <c r="T803" s="1" t="s">
        <v>7118</v>
      </c>
      <c r="U803" s="1" t="s">
        <v>74</v>
      </c>
      <c r="V803" s="1" t="s">
        <v>7119</v>
      </c>
      <c r="W803" s="1" t="s">
        <v>74</v>
      </c>
      <c r="X803" s="1" t="s">
        <v>74</v>
      </c>
      <c r="Y803" s="1" t="s">
        <v>74</v>
      </c>
      <c r="Z803" s="1" t="s">
        <v>74</v>
      </c>
      <c r="AA803" s="1" t="s">
        <v>74</v>
      </c>
      <c r="AB803" s="1" t="s">
        <v>74</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1515</v>
      </c>
      <c r="AP803" s="1" t="s">
        <v>74</v>
      </c>
      <c r="AQ803" s="1" t="s">
        <v>74</v>
      </c>
      <c r="AR803" s="1" t="s">
        <v>74</v>
      </c>
      <c r="AS803" s="1" t="s">
        <v>74</v>
      </c>
      <c r="AT803" s="1" t="s">
        <v>688</v>
      </c>
      <c r="AU803" s="1">
        <v>2026.0</v>
      </c>
      <c r="AV803" s="1">
        <v>29.0</v>
      </c>
      <c r="AW803" s="1" t="s">
        <v>74</v>
      </c>
      <c r="AX803" s="1" t="s">
        <v>74</v>
      </c>
      <c r="AY803" s="1" t="s">
        <v>74</v>
      </c>
      <c r="AZ803" s="1" t="s">
        <v>74</v>
      </c>
      <c r="BA803" s="1" t="s">
        <v>74</v>
      </c>
      <c r="BB803" s="1" t="s">
        <v>74</v>
      </c>
      <c r="BC803" s="1" t="s">
        <v>74</v>
      </c>
      <c r="BD803" s="1">
        <v>100636.0</v>
      </c>
      <c r="BE803" s="1" t="s">
        <v>7120</v>
      </c>
      <c r="BF803" s="2" t="str">
        <f>HYPERLINK("http://dx.doi.org/10.1016/j.array.2025.100636","http://dx.doi.org/10.1016/j.array.2025.100636")</f>
        <v>http://dx.doi.org/10.1016/j.array.2025.100636</v>
      </c>
      <c r="BG803" s="1" t="s">
        <v>74</v>
      </c>
      <c r="BH803" s="1" t="s">
        <v>605</v>
      </c>
      <c r="BI803" s="1" t="s">
        <v>74</v>
      </c>
      <c r="BJ803" s="1" t="s">
        <v>74</v>
      </c>
      <c r="BK803" s="1" t="s">
        <v>74</v>
      </c>
      <c r="BL803" s="1" t="s">
        <v>174</v>
      </c>
      <c r="BM803" s="1" t="s">
        <v>74</v>
      </c>
      <c r="BN803" s="1" t="s">
        <v>74</v>
      </c>
      <c r="BO803" s="1" t="s">
        <v>153</v>
      </c>
      <c r="BP803" s="1" t="s">
        <v>74</v>
      </c>
      <c r="BQ803" s="1" t="s">
        <v>74</v>
      </c>
      <c r="BR803" s="1" t="s">
        <v>74</v>
      </c>
      <c r="BS803" s="1" t="s">
        <v>7121</v>
      </c>
      <c r="BT803" s="1" t="str">
        <f>HYPERLINK("https%3A%2F%2Fwww.webofscience.com%2Fwos%2Fwoscc%2Ffull-record%2FWOS:001638710600001","View Full Record in Web of Science")</f>
        <v>View Full Record in Web of Science</v>
      </c>
    </row>
    <row r="804" ht="12.75" customHeight="1">
      <c r="A804" s="1" t="s">
        <v>72</v>
      </c>
      <c r="B804" s="1" t="s">
        <v>7122</v>
      </c>
      <c r="C804" s="1" t="s">
        <v>74</v>
      </c>
      <c r="D804" s="1" t="s">
        <v>74</v>
      </c>
      <c r="E804" s="1" t="s">
        <v>74</v>
      </c>
      <c r="F804" s="1" t="s">
        <v>7123</v>
      </c>
      <c r="G804" s="1" t="s">
        <v>74</v>
      </c>
      <c r="H804" s="1" t="s">
        <v>74</v>
      </c>
      <c r="I804" s="1" t="s">
        <v>7124</v>
      </c>
      <c r="J804" s="1" t="s">
        <v>1730</v>
      </c>
      <c r="K804" s="1" t="s">
        <v>74</v>
      </c>
      <c r="L804" s="1" t="s">
        <v>74</v>
      </c>
      <c r="M804" s="1" t="s">
        <v>74</v>
      </c>
      <c r="N804" s="1" t="s">
        <v>78</v>
      </c>
      <c r="O804" s="1" t="s">
        <v>74</v>
      </c>
      <c r="P804" s="1" t="s">
        <v>74</v>
      </c>
      <c r="Q804" s="1" t="s">
        <v>74</v>
      </c>
      <c r="R804" s="1" t="s">
        <v>74</v>
      </c>
      <c r="S804" s="1" t="s">
        <v>74</v>
      </c>
      <c r="T804" s="1" t="s">
        <v>7125</v>
      </c>
      <c r="U804" s="1" t="s">
        <v>7126</v>
      </c>
      <c r="V804" s="1" t="s">
        <v>7127</v>
      </c>
      <c r="W804" s="1" t="s">
        <v>74</v>
      </c>
      <c r="X804" s="1" t="s">
        <v>74</v>
      </c>
      <c r="Y804" s="1" t="s">
        <v>74</v>
      </c>
      <c r="Z804" s="1" t="s">
        <v>74</v>
      </c>
      <c r="AA804" s="1" t="s">
        <v>74</v>
      </c>
      <c r="AB804" s="1" t="s">
        <v>74</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1733</v>
      </c>
      <c r="AP804" s="1" t="s">
        <v>74</v>
      </c>
      <c r="AQ804" s="1" t="s">
        <v>74</v>
      </c>
      <c r="AR804" s="1" t="s">
        <v>74</v>
      </c>
      <c r="AS804" s="1" t="s">
        <v>74</v>
      </c>
      <c r="AT804" s="1" t="s">
        <v>7128</v>
      </c>
      <c r="AU804" s="1">
        <v>2025.0</v>
      </c>
      <c r="AV804" s="1">
        <v>20.0</v>
      </c>
      <c r="AW804" s="1">
        <v>4.0</v>
      </c>
      <c r="AX804" s="1" t="s">
        <v>74</v>
      </c>
      <c r="AY804" s="1" t="s">
        <v>74</v>
      </c>
      <c r="AZ804" s="1" t="s">
        <v>74</v>
      </c>
      <c r="BA804" s="1" t="s">
        <v>74</v>
      </c>
      <c r="BB804" s="1" t="s">
        <v>74</v>
      </c>
      <c r="BC804" s="1" t="s">
        <v>74</v>
      </c>
      <c r="BD804" s="1">
        <v>345.0</v>
      </c>
      <c r="BE804" s="1" t="s">
        <v>7129</v>
      </c>
      <c r="BF804" s="2" t="str">
        <f>HYPERLINK("http://dx.doi.org/10.3390/jtaer20040345","http://dx.doi.org/10.3390/jtaer20040345")</f>
        <v>http://dx.doi.org/10.3390/jtaer20040345</v>
      </c>
      <c r="BG804" s="1" t="s">
        <v>74</v>
      </c>
      <c r="BH804" s="1" t="s">
        <v>74</v>
      </c>
      <c r="BI804" s="1" t="s">
        <v>74</v>
      </c>
      <c r="BJ804" s="1" t="s">
        <v>74</v>
      </c>
      <c r="BK804" s="1" t="s">
        <v>74</v>
      </c>
      <c r="BL804" s="1" t="s">
        <v>214</v>
      </c>
      <c r="BM804" s="1" t="s">
        <v>74</v>
      </c>
      <c r="BN804" s="1" t="s">
        <v>74</v>
      </c>
      <c r="BO804" s="1" t="s">
        <v>163</v>
      </c>
      <c r="BP804" s="1" t="s">
        <v>74</v>
      </c>
      <c r="BQ804" s="1" t="s">
        <v>74</v>
      </c>
      <c r="BR804" s="1" t="s">
        <v>74</v>
      </c>
      <c r="BS804" s="1" t="s">
        <v>7130</v>
      </c>
      <c r="BT804" s="1" t="str">
        <f>HYPERLINK("https%3A%2F%2Fwww.webofscience.com%2Fwos%2Fwoscc%2Ffull-record%2FWOS:001646791400001","View Full Record in Web of Science")</f>
        <v>View Full Record in Web of Science</v>
      </c>
    </row>
    <row r="805" ht="12.75" customHeight="1">
      <c r="A805" s="1" t="s">
        <v>72</v>
      </c>
      <c r="B805" s="1" t="s">
        <v>7131</v>
      </c>
      <c r="C805" s="1" t="s">
        <v>74</v>
      </c>
      <c r="D805" s="1" t="s">
        <v>74</v>
      </c>
      <c r="E805" s="1" t="s">
        <v>74</v>
      </c>
      <c r="F805" s="1" t="s">
        <v>7132</v>
      </c>
      <c r="G805" s="1" t="s">
        <v>74</v>
      </c>
      <c r="H805" s="1" t="s">
        <v>74</v>
      </c>
      <c r="I805" s="1" t="s">
        <v>7133</v>
      </c>
      <c r="J805" s="1" t="s">
        <v>147</v>
      </c>
      <c r="K805" s="1" t="s">
        <v>74</v>
      </c>
      <c r="L805" s="1" t="s">
        <v>74</v>
      </c>
      <c r="M805" s="1" t="s">
        <v>74</v>
      </c>
      <c r="N805" s="1" t="s">
        <v>78</v>
      </c>
      <c r="O805" s="1" t="s">
        <v>74</v>
      </c>
      <c r="P805" s="1" t="s">
        <v>74</v>
      </c>
      <c r="Q805" s="1" t="s">
        <v>74</v>
      </c>
      <c r="R805" s="1" t="s">
        <v>74</v>
      </c>
      <c r="S805" s="1" t="s">
        <v>74</v>
      </c>
      <c r="T805" s="1" t="s">
        <v>7134</v>
      </c>
      <c r="U805" s="1" t="s">
        <v>74</v>
      </c>
      <c r="V805" s="1" t="s">
        <v>7135</v>
      </c>
      <c r="W805" s="1" t="s">
        <v>74</v>
      </c>
      <c r="X805" s="1" t="s">
        <v>74</v>
      </c>
      <c r="Y805" s="1" t="s">
        <v>74</v>
      </c>
      <c r="Z805" s="1" t="s">
        <v>74</v>
      </c>
      <c r="AA805" s="1" t="s">
        <v>74</v>
      </c>
      <c r="AB805" s="1" t="s">
        <v>74</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150</v>
      </c>
      <c r="AP805" s="1" t="s">
        <v>74</v>
      </c>
      <c r="AQ805" s="1" t="s">
        <v>74</v>
      </c>
      <c r="AR805" s="1" t="s">
        <v>74</v>
      </c>
      <c r="AS805" s="1" t="s">
        <v>74</v>
      </c>
      <c r="AT805" s="1" t="s">
        <v>74</v>
      </c>
      <c r="AU805" s="1">
        <v>2024.0</v>
      </c>
      <c r="AV805" s="1">
        <v>12.0</v>
      </c>
      <c r="AW805" s="1" t="s">
        <v>74</v>
      </c>
      <c r="AX805" s="1" t="s">
        <v>74</v>
      </c>
      <c r="AY805" s="1" t="s">
        <v>74</v>
      </c>
      <c r="AZ805" s="1" t="s">
        <v>74</v>
      </c>
      <c r="BA805" s="1" t="s">
        <v>74</v>
      </c>
      <c r="BB805" s="1">
        <v>61198.0</v>
      </c>
      <c r="BC805" s="1">
        <v>61210.0</v>
      </c>
      <c r="BD805" s="1" t="s">
        <v>74</v>
      </c>
      <c r="BE805" s="1" t="s">
        <v>7136</v>
      </c>
      <c r="BF805" s="2" t="str">
        <f>HYPERLINK("http://dx.doi.org/10.1109/ACCESS.2024.3378300","http://dx.doi.org/10.1109/ACCESS.2024.3378300")</f>
        <v>http://dx.doi.org/10.1109/ACCESS.2024.3378300</v>
      </c>
      <c r="BG805" s="1" t="s">
        <v>74</v>
      </c>
      <c r="BH805" s="1" t="s">
        <v>74</v>
      </c>
      <c r="BI805" s="1" t="s">
        <v>74</v>
      </c>
      <c r="BJ805" s="1" t="s">
        <v>74</v>
      </c>
      <c r="BK805" s="1" t="s">
        <v>74</v>
      </c>
      <c r="BL805" s="1" t="s">
        <v>152</v>
      </c>
      <c r="BM805" s="1" t="s">
        <v>74</v>
      </c>
      <c r="BN805" s="1" t="s">
        <v>74</v>
      </c>
      <c r="BO805" s="1" t="s">
        <v>153</v>
      </c>
      <c r="BP805" s="1" t="s">
        <v>74</v>
      </c>
      <c r="BQ805" s="1" t="s">
        <v>74</v>
      </c>
      <c r="BR805" s="1" t="s">
        <v>74</v>
      </c>
      <c r="BS805" s="1" t="s">
        <v>7137</v>
      </c>
      <c r="BT805" s="1" t="str">
        <f>HYPERLINK("https%3A%2F%2Fwww.webofscience.com%2Fwos%2Fwoscc%2Ffull-record%2FWOS:001214282400001","View Full Record in Web of Science")</f>
        <v>View Full Record in Web of Science</v>
      </c>
    </row>
    <row r="806" ht="12.75" customHeight="1">
      <c r="A806" s="1" t="s">
        <v>72</v>
      </c>
      <c r="B806" s="1" t="s">
        <v>7138</v>
      </c>
      <c r="C806" s="1" t="s">
        <v>74</v>
      </c>
      <c r="D806" s="1" t="s">
        <v>74</v>
      </c>
      <c r="E806" s="1" t="s">
        <v>74</v>
      </c>
      <c r="F806" s="1" t="s">
        <v>7139</v>
      </c>
      <c r="G806" s="1" t="s">
        <v>74</v>
      </c>
      <c r="H806" s="1" t="s">
        <v>74</v>
      </c>
      <c r="I806" s="1" t="s">
        <v>7140</v>
      </c>
      <c r="J806" s="1" t="s">
        <v>147</v>
      </c>
      <c r="K806" s="1" t="s">
        <v>74</v>
      </c>
      <c r="L806" s="1" t="s">
        <v>74</v>
      </c>
      <c r="M806" s="1" t="s">
        <v>74</v>
      </c>
      <c r="N806" s="1" t="s">
        <v>78</v>
      </c>
      <c r="O806" s="1" t="s">
        <v>74</v>
      </c>
      <c r="P806" s="1" t="s">
        <v>74</v>
      </c>
      <c r="Q806" s="1" t="s">
        <v>74</v>
      </c>
      <c r="R806" s="1" t="s">
        <v>74</v>
      </c>
      <c r="S806" s="1" t="s">
        <v>74</v>
      </c>
      <c r="T806" s="1" t="s">
        <v>7141</v>
      </c>
      <c r="U806" s="1" t="s">
        <v>7142</v>
      </c>
      <c r="V806" s="1" t="s">
        <v>7143</v>
      </c>
      <c r="W806" s="1" t="s">
        <v>74</v>
      </c>
      <c r="X806" s="1" t="s">
        <v>74</v>
      </c>
      <c r="Y806" s="1" t="s">
        <v>74</v>
      </c>
      <c r="Z806" s="1" t="s">
        <v>74</v>
      </c>
      <c r="AA806" s="1" t="s">
        <v>74</v>
      </c>
      <c r="AB806" s="1" t="s">
        <v>74</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150</v>
      </c>
      <c r="AP806" s="1" t="s">
        <v>74</v>
      </c>
      <c r="AQ806" s="1" t="s">
        <v>74</v>
      </c>
      <c r="AR806" s="1" t="s">
        <v>74</v>
      </c>
      <c r="AS806" s="1" t="s">
        <v>74</v>
      </c>
      <c r="AT806" s="1" t="s">
        <v>74</v>
      </c>
      <c r="AU806" s="1">
        <v>2025.0</v>
      </c>
      <c r="AV806" s="1">
        <v>13.0</v>
      </c>
      <c r="AW806" s="1" t="s">
        <v>74</v>
      </c>
      <c r="AX806" s="1" t="s">
        <v>74</v>
      </c>
      <c r="AY806" s="1" t="s">
        <v>74</v>
      </c>
      <c r="AZ806" s="1" t="s">
        <v>74</v>
      </c>
      <c r="BA806" s="1" t="s">
        <v>74</v>
      </c>
      <c r="BB806" s="1">
        <v>180953.0</v>
      </c>
      <c r="BC806" s="1">
        <v>180991.0</v>
      </c>
      <c r="BD806" s="1" t="s">
        <v>74</v>
      </c>
      <c r="BE806" s="1" t="s">
        <v>7144</v>
      </c>
      <c r="BF806" s="2" t="str">
        <f>HYPERLINK("http://dx.doi.org/10.1109/ACCESS.2025.3618987","http://dx.doi.org/10.1109/ACCESS.2025.3618987")</f>
        <v>http://dx.doi.org/10.1109/ACCESS.2025.3618987</v>
      </c>
      <c r="BG806" s="1" t="s">
        <v>74</v>
      </c>
      <c r="BH806" s="1" t="s">
        <v>74</v>
      </c>
      <c r="BI806" s="1" t="s">
        <v>74</v>
      </c>
      <c r="BJ806" s="1" t="s">
        <v>74</v>
      </c>
      <c r="BK806" s="1" t="s">
        <v>74</v>
      </c>
      <c r="BL806" s="1" t="s">
        <v>152</v>
      </c>
      <c r="BM806" s="1" t="s">
        <v>74</v>
      </c>
      <c r="BN806" s="1" t="s">
        <v>74</v>
      </c>
      <c r="BO806" s="1" t="s">
        <v>153</v>
      </c>
      <c r="BP806" s="1" t="s">
        <v>74</v>
      </c>
      <c r="BQ806" s="1" t="s">
        <v>74</v>
      </c>
      <c r="BR806" s="1" t="s">
        <v>74</v>
      </c>
      <c r="BS806" s="1" t="s">
        <v>7145</v>
      </c>
      <c r="BT806" s="1" t="str">
        <f>HYPERLINK("https%3A%2F%2Fwww.webofscience.com%2Fwos%2Fwoscc%2Ffull-record%2FWOS:001605379400002","View Full Record in Web of Science")</f>
        <v>View Full Record in Web of Science</v>
      </c>
    </row>
    <row r="807" ht="12.75" customHeight="1">
      <c r="A807" s="1" t="s">
        <v>72</v>
      </c>
      <c r="B807" s="1" t="s">
        <v>7146</v>
      </c>
      <c r="C807" s="1" t="s">
        <v>74</v>
      </c>
      <c r="D807" s="1" t="s">
        <v>74</v>
      </c>
      <c r="E807" s="1" t="s">
        <v>74</v>
      </c>
      <c r="F807" s="1" t="s">
        <v>7147</v>
      </c>
      <c r="G807" s="1" t="s">
        <v>74</v>
      </c>
      <c r="H807" s="1" t="s">
        <v>74</v>
      </c>
      <c r="I807" s="1" t="s">
        <v>7148</v>
      </c>
      <c r="J807" s="1" t="s">
        <v>675</v>
      </c>
      <c r="K807" s="1" t="s">
        <v>74</v>
      </c>
      <c r="L807" s="1" t="s">
        <v>74</v>
      </c>
      <c r="M807" s="1" t="s">
        <v>74</v>
      </c>
      <c r="N807" s="1" t="s">
        <v>78</v>
      </c>
      <c r="O807" s="1" t="s">
        <v>74</v>
      </c>
      <c r="P807" s="1" t="s">
        <v>74</v>
      </c>
      <c r="Q807" s="1" t="s">
        <v>74</v>
      </c>
      <c r="R807" s="1" t="s">
        <v>74</v>
      </c>
      <c r="S807" s="1" t="s">
        <v>74</v>
      </c>
      <c r="T807" s="1" t="s">
        <v>7149</v>
      </c>
      <c r="U807" s="1" t="s">
        <v>7150</v>
      </c>
      <c r="V807" s="1" t="s">
        <v>7151</v>
      </c>
      <c r="W807" s="1" t="s">
        <v>74</v>
      </c>
      <c r="X807" s="1" t="s">
        <v>74</v>
      </c>
      <c r="Y807" s="1" t="s">
        <v>74</v>
      </c>
      <c r="Z807" s="1" t="s">
        <v>74</v>
      </c>
      <c r="AA807" s="1" t="s">
        <v>74</v>
      </c>
      <c r="AB807" s="1" t="s">
        <v>74</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74</v>
      </c>
      <c r="AP807" s="1" t="s">
        <v>679</v>
      </c>
      <c r="AQ807" s="1" t="s">
        <v>74</v>
      </c>
      <c r="AR807" s="1" t="s">
        <v>74</v>
      </c>
      <c r="AS807" s="1" t="s">
        <v>74</v>
      </c>
      <c r="AT807" s="1" t="s">
        <v>7152</v>
      </c>
      <c r="AU807" s="1">
        <v>2025.0</v>
      </c>
      <c r="AV807" s="1">
        <v>8.0</v>
      </c>
      <c r="AW807" s="1" t="s">
        <v>74</v>
      </c>
      <c r="AX807" s="1" t="s">
        <v>74</v>
      </c>
      <c r="AY807" s="1" t="s">
        <v>74</v>
      </c>
      <c r="AZ807" s="1" t="s">
        <v>74</v>
      </c>
      <c r="BA807" s="1" t="s">
        <v>74</v>
      </c>
      <c r="BB807" s="1" t="s">
        <v>74</v>
      </c>
      <c r="BC807" s="1" t="s">
        <v>74</v>
      </c>
      <c r="BD807" s="1">
        <v>1683322.0</v>
      </c>
      <c r="BE807" s="1" t="s">
        <v>7153</v>
      </c>
      <c r="BF807" s="2" t="str">
        <f>HYPERLINK("http://dx.doi.org/10.3389/frai.2025.1683322","http://dx.doi.org/10.3389/frai.2025.1683322")</f>
        <v>http://dx.doi.org/10.3389/frai.2025.1683322</v>
      </c>
      <c r="BG807" s="1" t="s">
        <v>74</v>
      </c>
      <c r="BH807" s="1" t="s">
        <v>74</v>
      </c>
      <c r="BI807" s="1" t="s">
        <v>74</v>
      </c>
      <c r="BJ807" s="1" t="s">
        <v>74</v>
      </c>
      <c r="BK807" s="1" t="s">
        <v>74</v>
      </c>
      <c r="BL807" s="1" t="s">
        <v>174</v>
      </c>
      <c r="BM807" s="1" t="s">
        <v>74</v>
      </c>
      <c r="BN807" s="1" t="s">
        <v>74</v>
      </c>
      <c r="BO807" s="1" t="s">
        <v>153</v>
      </c>
      <c r="BP807" s="1" t="s">
        <v>74</v>
      </c>
      <c r="BQ807" s="1" t="s">
        <v>74</v>
      </c>
      <c r="BR807" s="1" t="s">
        <v>74</v>
      </c>
      <c r="BS807" s="1" t="s">
        <v>7154</v>
      </c>
      <c r="BT807" s="1" t="str">
        <f>HYPERLINK("https%3A%2F%2Fwww.webofscience.com%2Fwos%2Fwoscc%2Ffull-record%2FWOS:001644718100001","View Full Record in Web of Science")</f>
        <v>View Full Record in Web of Science</v>
      </c>
    </row>
    <row r="808" ht="12.75" customHeight="1">
      <c r="A808" s="1" t="s">
        <v>72</v>
      </c>
      <c r="B808" s="1" t="s">
        <v>7155</v>
      </c>
      <c r="C808" s="1" t="s">
        <v>74</v>
      </c>
      <c r="D808" s="1" t="s">
        <v>74</v>
      </c>
      <c r="E808" s="1" t="s">
        <v>74</v>
      </c>
      <c r="F808" s="1" t="s">
        <v>7156</v>
      </c>
      <c r="G808" s="1" t="s">
        <v>74</v>
      </c>
      <c r="H808" s="1" t="s">
        <v>74</v>
      </c>
      <c r="I808" s="1" t="s">
        <v>7157</v>
      </c>
      <c r="J808" s="1" t="s">
        <v>239</v>
      </c>
      <c r="K808" s="1" t="s">
        <v>74</v>
      </c>
      <c r="L808" s="1" t="s">
        <v>74</v>
      </c>
      <c r="M808" s="1" t="s">
        <v>74</v>
      </c>
      <c r="N808" s="1" t="s">
        <v>78</v>
      </c>
      <c r="O808" s="1" t="s">
        <v>74</v>
      </c>
      <c r="P808" s="1" t="s">
        <v>74</v>
      </c>
      <c r="Q808" s="1" t="s">
        <v>74</v>
      </c>
      <c r="R808" s="1" t="s">
        <v>74</v>
      </c>
      <c r="S808" s="1" t="s">
        <v>74</v>
      </c>
      <c r="T808" s="1" t="s">
        <v>7158</v>
      </c>
      <c r="U808" s="1" t="s">
        <v>74</v>
      </c>
      <c r="V808" s="1" t="s">
        <v>7159</v>
      </c>
      <c r="W808" s="1" t="s">
        <v>74</v>
      </c>
      <c r="X808" s="1" t="s">
        <v>74</v>
      </c>
      <c r="Y808" s="1" t="s">
        <v>74</v>
      </c>
      <c r="Z808" s="1" t="s">
        <v>74</v>
      </c>
      <c r="AA808" s="1" t="s">
        <v>74</v>
      </c>
      <c r="AB808" s="1" t="s">
        <v>74</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242</v>
      </c>
      <c r="AP808" s="1" t="s">
        <v>74</v>
      </c>
      <c r="AQ808" s="1" t="s">
        <v>74</v>
      </c>
      <c r="AR808" s="1" t="s">
        <v>74</v>
      </c>
      <c r="AS808" s="1" t="s">
        <v>74</v>
      </c>
      <c r="AT808" s="1" t="s">
        <v>7160</v>
      </c>
      <c r="AU808" s="1">
        <v>2025.0</v>
      </c>
      <c r="AV808" s="1">
        <v>14.0</v>
      </c>
      <c r="AW808" s="1">
        <v>9.0</v>
      </c>
      <c r="AX808" s="1" t="s">
        <v>74</v>
      </c>
      <c r="AY808" s="1" t="s">
        <v>74</v>
      </c>
      <c r="AZ808" s="1" t="s">
        <v>74</v>
      </c>
      <c r="BA808" s="1" t="s">
        <v>74</v>
      </c>
      <c r="BB808" s="1" t="s">
        <v>74</v>
      </c>
      <c r="BC808" s="1" t="s">
        <v>74</v>
      </c>
      <c r="BD808" s="1">
        <v>1762.0</v>
      </c>
      <c r="BE808" s="1" t="s">
        <v>7161</v>
      </c>
      <c r="BF808" s="2" t="str">
        <f>HYPERLINK("http://dx.doi.org/10.3390/electronics14091762","http://dx.doi.org/10.3390/electronics14091762")</f>
        <v>http://dx.doi.org/10.3390/electronics14091762</v>
      </c>
      <c r="BG808" s="1" t="s">
        <v>74</v>
      </c>
      <c r="BH808" s="1" t="s">
        <v>74</v>
      </c>
      <c r="BI808" s="1" t="s">
        <v>74</v>
      </c>
      <c r="BJ808" s="1" t="s">
        <v>74</v>
      </c>
      <c r="BK808" s="1" t="s">
        <v>74</v>
      </c>
      <c r="BL808" s="1" t="s">
        <v>244</v>
      </c>
      <c r="BM808" s="1" t="s">
        <v>74</v>
      </c>
      <c r="BN808" s="1" t="s">
        <v>74</v>
      </c>
      <c r="BO808" s="1" t="s">
        <v>163</v>
      </c>
      <c r="BP808" s="1" t="s">
        <v>74</v>
      </c>
      <c r="BQ808" s="1" t="s">
        <v>74</v>
      </c>
      <c r="BR808" s="1" t="s">
        <v>74</v>
      </c>
      <c r="BS808" s="1" t="s">
        <v>7162</v>
      </c>
      <c r="BT808" s="1" t="str">
        <f>HYPERLINK("https%3A%2F%2Fwww.webofscience.com%2Fwos%2Fwoscc%2Ffull-record%2FWOS:001486222300001","View Full Record in Web of Science")</f>
        <v>View Full Record in Web of Science</v>
      </c>
    </row>
    <row r="809" ht="12.75" customHeight="1">
      <c r="A809" s="1" t="s">
        <v>72</v>
      </c>
      <c r="B809" s="1" t="s">
        <v>7163</v>
      </c>
      <c r="C809" s="1" t="s">
        <v>74</v>
      </c>
      <c r="D809" s="1" t="s">
        <v>74</v>
      </c>
      <c r="E809" s="1" t="s">
        <v>74</v>
      </c>
      <c r="F809" s="1" t="s">
        <v>7164</v>
      </c>
      <c r="G809" s="1" t="s">
        <v>74</v>
      </c>
      <c r="H809" s="1" t="s">
        <v>74</v>
      </c>
      <c r="I809" s="1" t="s">
        <v>7165</v>
      </c>
      <c r="J809" s="1" t="s">
        <v>7166</v>
      </c>
      <c r="K809" s="1" t="s">
        <v>74</v>
      </c>
      <c r="L809" s="1" t="s">
        <v>74</v>
      </c>
      <c r="M809" s="1" t="s">
        <v>74</v>
      </c>
      <c r="N809" s="1" t="s">
        <v>953</v>
      </c>
      <c r="O809" s="1" t="s">
        <v>74</v>
      </c>
      <c r="P809" s="1" t="s">
        <v>74</v>
      </c>
      <c r="Q809" s="1" t="s">
        <v>74</v>
      </c>
      <c r="R809" s="1" t="s">
        <v>74</v>
      </c>
      <c r="S809" s="1" t="s">
        <v>74</v>
      </c>
      <c r="T809" s="1" t="s">
        <v>7167</v>
      </c>
      <c r="U809" s="1" t="s">
        <v>74</v>
      </c>
      <c r="V809" s="1" t="s">
        <v>7168</v>
      </c>
      <c r="W809" s="1" t="s">
        <v>74</v>
      </c>
      <c r="X809" s="1" t="s">
        <v>74</v>
      </c>
      <c r="Y809" s="1" t="s">
        <v>74</v>
      </c>
      <c r="Z809" s="1" t="s">
        <v>74</v>
      </c>
      <c r="AA809" s="1" t="s">
        <v>74</v>
      </c>
      <c r="AB809" s="1" t="s">
        <v>74</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7169</v>
      </c>
      <c r="AP809" s="1" t="s">
        <v>7170</v>
      </c>
      <c r="AQ809" s="1" t="s">
        <v>74</v>
      </c>
      <c r="AR809" s="1" t="s">
        <v>74</v>
      </c>
      <c r="AS809" s="1" t="s">
        <v>74</v>
      </c>
      <c r="AT809" s="1" t="s">
        <v>7171</v>
      </c>
      <c r="AU809" s="1">
        <v>2025.0</v>
      </c>
      <c r="AV809" s="1" t="s">
        <v>74</v>
      </c>
      <c r="AW809" s="1" t="s">
        <v>74</v>
      </c>
      <c r="AX809" s="1" t="s">
        <v>74</v>
      </c>
      <c r="AY809" s="1" t="s">
        <v>74</v>
      </c>
      <c r="AZ809" s="1" t="s">
        <v>74</v>
      </c>
      <c r="BA809" s="1" t="s">
        <v>74</v>
      </c>
      <c r="BB809" s="1" t="s">
        <v>74</v>
      </c>
      <c r="BC809" s="1" t="s">
        <v>74</v>
      </c>
      <c r="BD809" s="1" t="s">
        <v>74</v>
      </c>
      <c r="BE809" s="1" t="s">
        <v>7172</v>
      </c>
      <c r="BF809" s="2" t="str">
        <f>HYPERLINK("http://dx.doi.org/10.1109/MWC.2025.3600789","http://dx.doi.org/10.1109/MWC.2025.3600789")</f>
        <v>http://dx.doi.org/10.1109/MWC.2025.3600789</v>
      </c>
      <c r="BG809" s="1" t="s">
        <v>74</v>
      </c>
      <c r="BH809" s="1" t="s">
        <v>811</v>
      </c>
      <c r="BI809" s="1" t="s">
        <v>74</v>
      </c>
      <c r="BJ809" s="1" t="s">
        <v>74</v>
      </c>
      <c r="BK809" s="1" t="s">
        <v>74</v>
      </c>
      <c r="BL809" s="1" t="s">
        <v>152</v>
      </c>
      <c r="BM809" s="1" t="s">
        <v>74</v>
      </c>
      <c r="BN809" s="1" t="s">
        <v>74</v>
      </c>
      <c r="BO809" s="1" t="s">
        <v>74</v>
      </c>
      <c r="BP809" s="1" t="s">
        <v>74</v>
      </c>
      <c r="BQ809" s="1" t="s">
        <v>74</v>
      </c>
      <c r="BR809" s="1" t="s">
        <v>74</v>
      </c>
      <c r="BS809" s="1" t="s">
        <v>7173</v>
      </c>
      <c r="BT809" s="1" t="str">
        <f>HYPERLINK("https%3A%2F%2Fwww.webofscience.com%2Fwos%2Fwoscc%2Ffull-record%2FWOS:001596957000001","View Full Record in Web of Science")</f>
        <v>View Full Record in Web of Science</v>
      </c>
    </row>
    <row r="810" ht="12.75" customHeight="1">
      <c r="A810" s="1" t="s">
        <v>72</v>
      </c>
      <c r="B810" s="1" t="s">
        <v>7174</v>
      </c>
      <c r="C810" s="1" t="s">
        <v>74</v>
      </c>
      <c r="D810" s="1" t="s">
        <v>74</v>
      </c>
      <c r="E810" s="1" t="s">
        <v>74</v>
      </c>
      <c r="F810" s="1" t="s">
        <v>7175</v>
      </c>
      <c r="G810" s="1" t="s">
        <v>74</v>
      </c>
      <c r="H810" s="1" t="s">
        <v>74</v>
      </c>
      <c r="I810" s="1" t="s">
        <v>7176</v>
      </c>
      <c r="J810" s="1" t="s">
        <v>1656</v>
      </c>
      <c r="K810" s="1" t="s">
        <v>74</v>
      </c>
      <c r="L810" s="1" t="s">
        <v>74</v>
      </c>
      <c r="M810" s="1" t="s">
        <v>74</v>
      </c>
      <c r="N810" s="1" t="s">
        <v>78</v>
      </c>
      <c r="O810" s="1" t="s">
        <v>74</v>
      </c>
      <c r="P810" s="1" t="s">
        <v>74</v>
      </c>
      <c r="Q810" s="1" t="s">
        <v>74</v>
      </c>
      <c r="R810" s="1" t="s">
        <v>74</v>
      </c>
      <c r="S810" s="1" t="s">
        <v>74</v>
      </c>
      <c r="T810" s="1" t="s">
        <v>7177</v>
      </c>
      <c r="U810" s="1" t="s">
        <v>7178</v>
      </c>
      <c r="V810" s="1" t="s">
        <v>7179</v>
      </c>
      <c r="W810" s="1" t="s">
        <v>74</v>
      </c>
      <c r="X810" s="1" t="s">
        <v>74</v>
      </c>
      <c r="Y810" s="1" t="s">
        <v>74</v>
      </c>
      <c r="Z810" s="1" t="s">
        <v>74</v>
      </c>
      <c r="AA810" s="1" t="s">
        <v>74</v>
      </c>
      <c r="AB810" s="1" t="s">
        <v>74</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1659</v>
      </c>
      <c r="AP810" s="1" t="s">
        <v>1660</v>
      </c>
      <c r="AQ810" s="1" t="s">
        <v>74</v>
      </c>
      <c r="AR810" s="1" t="s">
        <v>74</v>
      </c>
      <c r="AS810" s="1" t="s">
        <v>74</v>
      </c>
      <c r="AT810" s="1" t="s">
        <v>688</v>
      </c>
      <c r="AU810" s="1">
        <v>2026.0</v>
      </c>
      <c r="AV810" s="1">
        <v>162.0</v>
      </c>
      <c r="AW810" s="1" t="s">
        <v>74</v>
      </c>
      <c r="AX810" s="1" t="s">
        <v>74</v>
      </c>
      <c r="AY810" s="1" t="s">
        <v>74</v>
      </c>
      <c r="AZ810" s="1" t="s">
        <v>74</v>
      </c>
      <c r="BA810" s="1" t="s">
        <v>74</v>
      </c>
      <c r="BB810" s="1" t="s">
        <v>74</v>
      </c>
      <c r="BC810" s="1" t="s">
        <v>74</v>
      </c>
      <c r="BD810" s="1">
        <v>102535.0</v>
      </c>
      <c r="BE810" s="1" t="s">
        <v>7180</v>
      </c>
      <c r="BF810" s="2" t="str">
        <f>HYPERLINK("http://dx.doi.org/10.1016/j.datak.2025.102535","http://dx.doi.org/10.1016/j.datak.2025.102535")</f>
        <v>http://dx.doi.org/10.1016/j.datak.2025.102535</v>
      </c>
      <c r="BG810" s="1" t="s">
        <v>74</v>
      </c>
      <c r="BH810" s="1" t="s">
        <v>255</v>
      </c>
      <c r="BI810" s="1" t="s">
        <v>74</v>
      </c>
      <c r="BJ810" s="1" t="s">
        <v>74</v>
      </c>
      <c r="BK810" s="1" t="s">
        <v>74</v>
      </c>
      <c r="BL810" s="1" t="s">
        <v>174</v>
      </c>
      <c r="BM810" s="1" t="s">
        <v>74</v>
      </c>
      <c r="BN810" s="1" t="s">
        <v>74</v>
      </c>
      <c r="BO810" s="1" t="s">
        <v>576</v>
      </c>
      <c r="BP810" s="1" t="s">
        <v>74</v>
      </c>
      <c r="BQ810" s="1" t="s">
        <v>74</v>
      </c>
      <c r="BR810" s="1" t="s">
        <v>74</v>
      </c>
      <c r="BS810" s="1" t="s">
        <v>7181</v>
      </c>
      <c r="BT810" s="1" t="str">
        <f>HYPERLINK("https%3A%2F%2Fwww.webofscience.com%2Fwos%2Fwoscc%2Ffull-record%2FWOS:001631168900001","View Full Record in Web of Science")</f>
        <v>View Full Record in Web of Science</v>
      </c>
    </row>
    <row r="811" ht="12.75" customHeight="1">
      <c r="A811" s="1" t="s">
        <v>72</v>
      </c>
      <c r="B811" s="1" t="s">
        <v>7182</v>
      </c>
      <c r="C811" s="1" t="s">
        <v>74</v>
      </c>
      <c r="D811" s="1" t="s">
        <v>74</v>
      </c>
      <c r="E811" s="1" t="s">
        <v>74</v>
      </c>
      <c r="F811" s="1" t="s">
        <v>7183</v>
      </c>
      <c r="G811" s="1" t="s">
        <v>74</v>
      </c>
      <c r="H811" s="1" t="s">
        <v>74</v>
      </c>
      <c r="I811" s="1" t="s">
        <v>7184</v>
      </c>
      <c r="J811" s="1" t="s">
        <v>7185</v>
      </c>
      <c r="K811" s="1" t="s">
        <v>74</v>
      </c>
      <c r="L811" s="1" t="s">
        <v>74</v>
      </c>
      <c r="M811" s="1" t="s">
        <v>74</v>
      </c>
      <c r="N811" s="1" t="s">
        <v>78</v>
      </c>
      <c r="O811" s="1" t="s">
        <v>74</v>
      </c>
      <c r="P811" s="1" t="s">
        <v>74</v>
      </c>
      <c r="Q811" s="1" t="s">
        <v>74</v>
      </c>
      <c r="R811" s="1" t="s">
        <v>74</v>
      </c>
      <c r="S811" s="1" t="s">
        <v>74</v>
      </c>
      <c r="T811" s="1" t="s">
        <v>7186</v>
      </c>
      <c r="U811" s="1" t="s">
        <v>74</v>
      </c>
      <c r="V811" s="1" t="s">
        <v>7187</v>
      </c>
      <c r="W811" s="1" t="s">
        <v>74</v>
      </c>
      <c r="X811" s="1" t="s">
        <v>74</v>
      </c>
      <c r="Y811" s="1" t="s">
        <v>74</v>
      </c>
      <c r="Z811" s="1" t="s">
        <v>74</v>
      </c>
      <c r="AA811" s="1" t="s">
        <v>74</v>
      </c>
      <c r="AB811" s="1" t="s">
        <v>74</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7188</v>
      </c>
      <c r="AP811" s="1" t="s">
        <v>7189</v>
      </c>
      <c r="AQ811" s="1" t="s">
        <v>74</v>
      </c>
      <c r="AR811" s="1" t="s">
        <v>74</v>
      </c>
      <c r="AS811" s="1" t="s">
        <v>74</v>
      </c>
      <c r="AT811" s="1" t="s">
        <v>139</v>
      </c>
      <c r="AU811" s="1">
        <v>2026.0</v>
      </c>
      <c r="AV811" s="1">
        <v>120.0</v>
      </c>
      <c r="AW811" s="1" t="s">
        <v>74</v>
      </c>
      <c r="AX811" s="1">
        <v>1.0</v>
      </c>
      <c r="AY811" s="1" t="s">
        <v>74</v>
      </c>
      <c r="AZ811" s="1" t="s">
        <v>74</v>
      </c>
      <c r="BA811" s="1" t="s">
        <v>74</v>
      </c>
      <c r="BB811" s="1" t="s">
        <v>74</v>
      </c>
      <c r="BC811" s="1" t="s">
        <v>74</v>
      </c>
      <c r="BD811" s="1">
        <v>108611.0</v>
      </c>
      <c r="BE811" s="1" t="s">
        <v>7190</v>
      </c>
      <c r="BF811" s="2" t="str">
        <f>HYPERLINK("http://dx.doi.org/10.1016/j.compbiolchem.2025.108611","http://dx.doi.org/10.1016/j.compbiolchem.2025.108611")</f>
        <v>http://dx.doi.org/10.1016/j.compbiolchem.2025.108611</v>
      </c>
      <c r="BG811" s="1" t="s">
        <v>74</v>
      </c>
      <c r="BH811" s="1" t="s">
        <v>276</v>
      </c>
      <c r="BI811" s="1" t="s">
        <v>74</v>
      </c>
      <c r="BJ811" s="1" t="s">
        <v>74</v>
      </c>
      <c r="BK811" s="1" t="s">
        <v>74</v>
      </c>
      <c r="BL811" s="1" t="s">
        <v>7191</v>
      </c>
      <c r="BM811" s="1" t="s">
        <v>74</v>
      </c>
      <c r="BN811" s="1" t="s">
        <v>74</v>
      </c>
      <c r="BO811" s="1" t="s">
        <v>74</v>
      </c>
      <c r="BP811" s="1" t="s">
        <v>74</v>
      </c>
      <c r="BQ811" s="1" t="s">
        <v>74</v>
      </c>
      <c r="BR811" s="1" t="s">
        <v>74</v>
      </c>
      <c r="BS811" s="1" t="s">
        <v>7192</v>
      </c>
      <c r="BT811" s="1" t="str">
        <f>HYPERLINK("https%3A%2F%2Fwww.webofscience.com%2Fwos%2Fwoscc%2Ffull-record%2FWOS:001579196000002","View Full Record in Web of Science")</f>
        <v>View Full Record in Web of Science</v>
      </c>
    </row>
    <row r="812" ht="12.75" customHeight="1">
      <c r="A812" s="1" t="s">
        <v>72</v>
      </c>
      <c r="B812" s="1" t="s">
        <v>7193</v>
      </c>
      <c r="C812" s="1" t="s">
        <v>74</v>
      </c>
      <c r="D812" s="1" t="s">
        <v>74</v>
      </c>
      <c r="E812" s="1" t="s">
        <v>74</v>
      </c>
      <c r="F812" s="1" t="s">
        <v>7194</v>
      </c>
      <c r="G812" s="1" t="s">
        <v>74</v>
      </c>
      <c r="H812" s="1" t="s">
        <v>74</v>
      </c>
      <c r="I812" s="1" t="s">
        <v>7195</v>
      </c>
      <c r="J812" s="1" t="s">
        <v>1230</v>
      </c>
      <c r="K812" s="1" t="s">
        <v>74</v>
      </c>
      <c r="L812" s="1" t="s">
        <v>74</v>
      </c>
      <c r="M812" s="1" t="s">
        <v>74</v>
      </c>
      <c r="N812" s="1" t="s">
        <v>78</v>
      </c>
      <c r="O812" s="1" t="s">
        <v>74</v>
      </c>
      <c r="P812" s="1" t="s">
        <v>74</v>
      </c>
      <c r="Q812" s="1" t="s">
        <v>74</v>
      </c>
      <c r="R812" s="1" t="s">
        <v>74</v>
      </c>
      <c r="S812" s="1" t="s">
        <v>74</v>
      </c>
      <c r="T812" s="1" t="s">
        <v>7196</v>
      </c>
      <c r="U812" s="1" t="s">
        <v>74</v>
      </c>
      <c r="V812" s="1" t="s">
        <v>7197</v>
      </c>
      <c r="W812" s="1" t="s">
        <v>74</v>
      </c>
      <c r="X812" s="1" t="s">
        <v>74</v>
      </c>
      <c r="Y812" s="1" t="s">
        <v>74</v>
      </c>
      <c r="Z812" s="1" t="s">
        <v>74</v>
      </c>
      <c r="AA812" s="1" t="s">
        <v>74</v>
      </c>
      <c r="AB812" s="1" t="s">
        <v>74</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1233</v>
      </c>
      <c r="AP812" s="1" t="s">
        <v>1234</v>
      </c>
      <c r="AQ812" s="1" t="s">
        <v>74</v>
      </c>
      <c r="AR812" s="1" t="s">
        <v>74</v>
      </c>
      <c r="AS812" s="1" t="s">
        <v>74</v>
      </c>
      <c r="AT812" s="1" t="s">
        <v>4262</v>
      </c>
      <c r="AU812" s="1">
        <v>2025.0</v>
      </c>
      <c r="AV812" s="1">
        <v>294.0</v>
      </c>
      <c r="AW812" s="1" t="s">
        <v>74</v>
      </c>
      <c r="AX812" s="1" t="s">
        <v>74</v>
      </c>
      <c r="AY812" s="1" t="s">
        <v>74</v>
      </c>
      <c r="AZ812" s="1" t="s">
        <v>74</v>
      </c>
      <c r="BA812" s="1" t="s">
        <v>74</v>
      </c>
      <c r="BB812" s="1" t="s">
        <v>74</v>
      </c>
      <c r="BC812" s="1" t="s">
        <v>74</v>
      </c>
      <c r="BD812" s="1">
        <v>128736.0</v>
      </c>
      <c r="BE812" s="1" t="s">
        <v>7198</v>
      </c>
      <c r="BF812" s="2" t="str">
        <f>HYPERLINK("http://dx.doi.org/10.1016/j.eswa.2025.128736","http://dx.doi.org/10.1016/j.eswa.2025.128736")</f>
        <v>http://dx.doi.org/10.1016/j.eswa.2025.128736</v>
      </c>
      <c r="BG812" s="1" t="s">
        <v>74</v>
      </c>
      <c r="BH812" s="1" t="s">
        <v>112</v>
      </c>
      <c r="BI812" s="1" t="s">
        <v>74</v>
      </c>
      <c r="BJ812" s="1" t="s">
        <v>74</v>
      </c>
      <c r="BK812" s="1" t="s">
        <v>74</v>
      </c>
      <c r="BL812" s="1" t="s">
        <v>1237</v>
      </c>
      <c r="BM812" s="1" t="s">
        <v>74</v>
      </c>
      <c r="BN812" s="1" t="s">
        <v>74</v>
      </c>
      <c r="BO812" s="1" t="s">
        <v>74</v>
      </c>
      <c r="BP812" s="1" t="s">
        <v>74</v>
      </c>
      <c r="BQ812" s="1" t="s">
        <v>74</v>
      </c>
      <c r="BR812" s="1" t="s">
        <v>74</v>
      </c>
      <c r="BS812" s="1" t="s">
        <v>7199</v>
      </c>
      <c r="BT812" s="1" t="str">
        <f>HYPERLINK("https%3A%2F%2Fwww.webofscience.com%2Fwos%2Fwoscc%2Ffull-record%2FWOS:001530664200001","View Full Record in Web of Science")</f>
        <v>View Full Record in Web of Science</v>
      </c>
    </row>
    <row r="813" ht="12.75" customHeight="1">
      <c r="A813" s="1" t="s">
        <v>72</v>
      </c>
      <c r="B813" s="1" t="s">
        <v>7200</v>
      </c>
      <c r="C813" s="1" t="s">
        <v>74</v>
      </c>
      <c r="D813" s="1" t="s">
        <v>74</v>
      </c>
      <c r="E813" s="1" t="s">
        <v>74</v>
      </c>
      <c r="F813" s="1" t="s">
        <v>7201</v>
      </c>
      <c r="G813" s="1" t="s">
        <v>74</v>
      </c>
      <c r="H813" s="1" t="s">
        <v>74</v>
      </c>
      <c r="I813" s="1" t="s">
        <v>7202</v>
      </c>
      <c r="J813" s="1" t="s">
        <v>2868</v>
      </c>
      <c r="K813" s="1" t="s">
        <v>74</v>
      </c>
      <c r="L813" s="1" t="s">
        <v>74</v>
      </c>
      <c r="M813" s="1" t="s">
        <v>74</v>
      </c>
      <c r="N813" s="1" t="s">
        <v>78</v>
      </c>
      <c r="O813" s="1" t="s">
        <v>74</v>
      </c>
      <c r="P813" s="1" t="s">
        <v>74</v>
      </c>
      <c r="Q813" s="1" t="s">
        <v>74</v>
      </c>
      <c r="R813" s="1" t="s">
        <v>74</v>
      </c>
      <c r="S813" s="1" t="s">
        <v>74</v>
      </c>
      <c r="T813" s="1" t="s">
        <v>7203</v>
      </c>
      <c r="U813" s="1" t="s">
        <v>74</v>
      </c>
      <c r="V813" s="1" t="s">
        <v>7204</v>
      </c>
      <c r="W813" s="1" t="s">
        <v>74</v>
      </c>
      <c r="X813" s="1" t="s">
        <v>74</v>
      </c>
      <c r="Y813" s="1" t="s">
        <v>74</v>
      </c>
      <c r="Z813" s="1" t="s">
        <v>74</v>
      </c>
      <c r="AA813" s="1" t="s">
        <v>74</v>
      </c>
      <c r="AB813" s="1" t="s">
        <v>74</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2871</v>
      </c>
      <c r="AP813" s="1" t="s">
        <v>2872</v>
      </c>
      <c r="AQ813" s="1" t="s">
        <v>74</v>
      </c>
      <c r="AR813" s="1" t="s">
        <v>74</v>
      </c>
      <c r="AS813" s="1" t="s">
        <v>74</v>
      </c>
      <c r="AT813" s="1" t="s">
        <v>84</v>
      </c>
      <c r="AU813" s="1">
        <v>2025.0</v>
      </c>
      <c r="AV813" s="1">
        <v>62.0</v>
      </c>
      <c r="AW813" s="1">
        <v>3.0</v>
      </c>
      <c r="AX813" s="1" t="s">
        <v>74</v>
      </c>
      <c r="AY813" s="1" t="s">
        <v>74</v>
      </c>
      <c r="AZ813" s="1" t="s">
        <v>74</v>
      </c>
      <c r="BA813" s="1" t="s">
        <v>74</v>
      </c>
      <c r="BB813" s="1" t="s">
        <v>74</v>
      </c>
      <c r="BC813" s="1" t="s">
        <v>74</v>
      </c>
      <c r="BD813" s="1">
        <v>103978.0</v>
      </c>
      <c r="BE813" s="1" t="s">
        <v>7205</v>
      </c>
      <c r="BF813" s="2" t="str">
        <f>HYPERLINK("http://dx.doi.org/10.1016/j.ipm.2024.103978","http://dx.doi.org/10.1016/j.ipm.2024.103978")</f>
        <v>http://dx.doi.org/10.1016/j.ipm.2024.103978</v>
      </c>
      <c r="BG813" s="1" t="s">
        <v>74</v>
      </c>
      <c r="BH813" s="1" t="s">
        <v>1080</v>
      </c>
      <c r="BI813" s="1" t="s">
        <v>74</v>
      </c>
      <c r="BJ813" s="1" t="s">
        <v>74</v>
      </c>
      <c r="BK813" s="1" t="s">
        <v>74</v>
      </c>
      <c r="BL813" s="1" t="s">
        <v>2874</v>
      </c>
      <c r="BM813" s="1" t="s">
        <v>74</v>
      </c>
      <c r="BN813" s="1" t="s">
        <v>74</v>
      </c>
      <c r="BO813" s="1" t="s">
        <v>74</v>
      </c>
      <c r="BP813" s="1" t="s">
        <v>74</v>
      </c>
      <c r="BQ813" s="1" t="s">
        <v>74</v>
      </c>
      <c r="BR813" s="1" t="s">
        <v>74</v>
      </c>
      <c r="BS813" s="1" t="s">
        <v>7206</v>
      </c>
      <c r="BT813" s="1" t="str">
        <f>HYPERLINK("https%3A%2F%2Fwww.webofscience.com%2Fwos%2Fwoscc%2Ffull-record%2FWOS:001391959300001","View Full Record in Web of Science")</f>
        <v>View Full Record in Web of Science</v>
      </c>
    </row>
    <row r="814" ht="12.75" customHeight="1">
      <c r="A814" s="1" t="s">
        <v>72</v>
      </c>
      <c r="B814" s="1" t="s">
        <v>7207</v>
      </c>
      <c r="C814" s="1" t="s">
        <v>74</v>
      </c>
      <c r="D814" s="1" t="s">
        <v>74</v>
      </c>
      <c r="E814" s="1" t="s">
        <v>74</v>
      </c>
      <c r="F814" s="1" t="s">
        <v>7208</v>
      </c>
      <c r="G814" s="1" t="s">
        <v>74</v>
      </c>
      <c r="H814" s="1" t="s">
        <v>74</v>
      </c>
      <c r="I814" s="1" t="s">
        <v>7209</v>
      </c>
      <c r="J814" s="1" t="s">
        <v>653</v>
      </c>
      <c r="K814" s="1" t="s">
        <v>74</v>
      </c>
      <c r="L814" s="1" t="s">
        <v>74</v>
      </c>
      <c r="M814" s="1" t="s">
        <v>74</v>
      </c>
      <c r="N814" s="1" t="s">
        <v>78</v>
      </c>
      <c r="O814" s="1" t="s">
        <v>74</v>
      </c>
      <c r="P814" s="1" t="s">
        <v>74</v>
      </c>
      <c r="Q814" s="1" t="s">
        <v>74</v>
      </c>
      <c r="R814" s="1" t="s">
        <v>74</v>
      </c>
      <c r="S814" s="1" t="s">
        <v>74</v>
      </c>
      <c r="T814" s="1" t="s">
        <v>7210</v>
      </c>
      <c r="U814" s="1" t="s">
        <v>74</v>
      </c>
      <c r="V814" s="1" t="s">
        <v>7211</v>
      </c>
      <c r="W814" s="1" t="s">
        <v>74</v>
      </c>
      <c r="X814" s="1" t="s">
        <v>74</v>
      </c>
      <c r="Y814" s="1" t="s">
        <v>74</v>
      </c>
      <c r="Z814" s="1" t="s">
        <v>74</v>
      </c>
      <c r="AA814" s="1" t="s">
        <v>74</v>
      </c>
      <c r="AB814" s="1" t="s">
        <v>74</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74</v>
      </c>
      <c r="AP814" s="1" t="s">
        <v>656</v>
      </c>
      <c r="AQ814" s="1" t="s">
        <v>74</v>
      </c>
      <c r="AR814" s="1" t="s">
        <v>74</v>
      </c>
      <c r="AS814" s="1" t="s">
        <v>74</v>
      </c>
      <c r="AT814" s="1" t="s">
        <v>7212</v>
      </c>
      <c r="AU814" s="1">
        <v>2025.0</v>
      </c>
      <c r="AV814" s="1">
        <v>11.0</v>
      </c>
      <c r="AW814" s="1" t="s">
        <v>74</v>
      </c>
      <c r="AX814" s="1" t="s">
        <v>74</v>
      </c>
      <c r="AY814" s="1" t="s">
        <v>74</v>
      </c>
      <c r="AZ814" s="1" t="s">
        <v>74</v>
      </c>
      <c r="BA814" s="1" t="s">
        <v>74</v>
      </c>
      <c r="BB814" s="1" t="s">
        <v>74</v>
      </c>
      <c r="BC814" s="1" t="s">
        <v>74</v>
      </c>
      <c r="BD814" s="1" t="s">
        <v>7213</v>
      </c>
      <c r="BE814" s="1" t="s">
        <v>7214</v>
      </c>
      <c r="BF814" s="2" t="str">
        <f>HYPERLINK("http://dx.doi.org/10.7717/peerj-cs.2662","http://dx.doi.org/10.7717/peerj-cs.2662")</f>
        <v>http://dx.doi.org/10.7717/peerj-cs.2662</v>
      </c>
      <c r="BG814" s="1" t="s">
        <v>74</v>
      </c>
      <c r="BH814" s="1" t="s">
        <v>74</v>
      </c>
      <c r="BI814" s="1" t="s">
        <v>74</v>
      </c>
      <c r="BJ814" s="1" t="s">
        <v>74</v>
      </c>
      <c r="BK814" s="1" t="s">
        <v>74</v>
      </c>
      <c r="BL814" s="1" t="s">
        <v>174</v>
      </c>
      <c r="BM814" s="1" t="s">
        <v>74</v>
      </c>
      <c r="BN814" s="1" t="s">
        <v>74</v>
      </c>
      <c r="BO814" s="1" t="s">
        <v>153</v>
      </c>
      <c r="BP814" s="1" t="s">
        <v>74</v>
      </c>
      <c r="BQ814" s="1" t="s">
        <v>74</v>
      </c>
      <c r="BR814" s="1" t="s">
        <v>74</v>
      </c>
      <c r="BS814" s="1" t="s">
        <v>7215</v>
      </c>
      <c r="BT814" s="1" t="str">
        <f>HYPERLINK("https%3A%2F%2Fwww.webofscience.com%2Fwos%2Fwoscc%2Ffull-record%2FWOS:001480000500001","View Full Record in Web of Science")</f>
        <v>View Full Record in Web of Science</v>
      </c>
    </row>
    <row r="815" ht="12.75" customHeight="1">
      <c r="A815" s="1" t="s">
        <v>72</v>
      </c>
      <c r="B815" s="1" t="s">
        <v>7216</v>
      </c>
      <c r="C815" s="1" t="s">
        <v>74</v>
      </c>
      <c r="D815" s="1" t="s">
        <v>74</v>
      </c>
      <c r="E815" s="1" t="s">
        <v>74</v>
      </c>
      <c r="F815" s="1" t="s">
        <v>7217</v>
      </c>
      <c r="G815" s="1" t="s">
        <v>74</v>
      </c>
      <c r="H815" s="1" t="s">
        <v>74</v>
      </c>
      <c r="I815" s="1" t="s">
        <v>7218</v>
      </c>
      <c r="J815" s="1" t="s">
        <v>147</v>
      </c>
      <c r="K815" s="1" t="s">
        <v>74</v>
      </c>
      <c r="L815" s="1" t="s">
        <v>74</v>
      </c>
      <c r="M815" s="1" t="s">
        <v>74</v>
      </c>
      <c r="N815" s="1" t="s">
        <v>78</v>
      </c>
      <c r="O815" s="1" t="s">
        <v>74</v>
      </c>
      <c r="P815" s="1" t="s">
        <v>74</v>
      </c>
      <c r="Q815" s="1" t="s">
        <v>74</v>
      </c>
      <c r="R815" s="1" t="s">
        <v>74</v>
      </c>
      <c r="S815" s="1" t="s">
        <v>74</v>
      </c>
      <c r="T815" s="1" t="s">
        <v>7219</v>
      </c>
      <c r="U815" s="1" t="s">
        <v>74</v>
      </c>
      <c r="V815" s="1" t="s">
        <v>7220</v>
      </c>
      <c r="W815" s="1" t="s">
        <v>74</v>
      </c>
      <c r="X815" s="1" t="s">
        <v>74</v>
      </c>
      <c r="Y815" s="1" t="s">
        <v>74</v>
      </c>
      <c r="Z815" s="1" t="s">
        <v>74</v>
      </c>
      <c r="AA815" s="1" t="s">
        <v>74</v>
      </c>
      <c r="AB815" s="1" t="s">
        <v>74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150</v>
      </c>
      <c r="AP815" s="1" t="s">
        <v>74</v>
      </c>
      <c r="AQ815" s="1" t="s">
        <v>74</v>
      </c>
      <c r="AR815" s="1" t="s">
        <v>74</v>
      </c>
      <c r="AS815" s="1" t="s">
        <v>74</v>
      </c>
      <c r="AT815" s="1" t="s">
        <v>74</v>
      </c>
      <c r="AU815" s="1">
        <v>2024.0</v>
      </c>
      <c r="AV815" s="1">
        <v>12.0</v>
      </c>
      <c r="AW815" s="1" t="s">
        <v>74</v>
      </c>
      <c r="AX815" s="1" t="s">
        <v>74</v>
      </c>
      <c r="AY815" s="1" t="s">
        <v>74</v>
      </c>
      <c r="AZ815" s="1" t="s">
        <v>74</v>
      </c>
      <c r="BA815" s="1" t="s">
        <v>74</v>
      </c>
      <c r="BB815" s="1">
        <v>103473.0</v>
      </c>
      <c r="BC815" s="1">
        <v>103487.0</v>
      </c>
      <c r="BD815" s="1" t="s">
        <v>74</v>
      </c>
      <c r="BE815" s="1" t="s">
        <v>7221</v>
      </c>
      <c r="BF815" s="2" t="str">
        <f>HYPERLINK("http://dx.doi.org/10.1109/ACCESS.2024.3428918","http://dx.doi.org/10.1109/ACCESS.2024.3428918")</f>
        <v>http://dx.doi.org/10.1109/ACCESS.2024.3428918</v>
      </c>
      <c r="BG815" s="1" t="s">
        <v>74</v>
      </c>
      <c r="BH815" s="1" t="s">
        <v>74</v>
      </c>
      <c r="BI815" s="1" t="s">
        <v>74</v>
      </c>
      <c r="BJ815" s="1" t="s">
        <v>74</v>
      </c>
      <c r="BK815" s="1" t="s">
        <v>74</v>
      </c>
      <c r="BL815" s="1" t="s">
        <v>152</v>
      </c>
      <c r="BM815" s="1" t="s">
        <v>74</v>
      </c>
      <c r="BN815" s="1" t="s">
        <v>74</v>
      </c>
      <c r="BO815" s="1" t="s">
        <v>153</v>
      </c>
      <c r="BP815" s="1" t="s">
        <v>74</v>
      </c>
      <c r="BQ815" s="1" t="s">
        <v>74</v>
      </c>
      <c r="BR815" s="1" t="s">
        <v>74</v>
      </c>
      <c r="BS815" s="1" t="s">
        <v>7222</v>
      </c>
      <c r="BT815" s="1" t="str">
        <f>HYPERLINK("https%3A%2F%2Fwww.webofscience.com%2Fwos%2Fwoscc%2Ffull-record%2FWOS:001286673400001","View Full Record in Web of Science")</f>
        <v>View Full Record in Web of Science</v>
      </c>
    </row>
    <row r="816" ht="12.75" customHeight="1">
      <c r="A816" s="1" t="s">
        <v>72</v>
      </c>
      <c r="B816" s="1" t="s">
        <v>7223</v>
      </c>
      <c r="C816" s="1" t="s">
        <v>74</v>
      </c>
      <c r="D816" s="1" t="s">
        <v>74</v>
      </c>
      <c r="E816" s="1" t="s">
        <v>74</v>
      </c>
      <c r="F816" s="1" t="s">
        <v>7224</v>
      </c>
      <c r="G816" s="1" t="s">
        <v>74</v>
      </c>
      <c r="H816" s="1" t="s">
        <v>74</v>
      </c>
      <c r="I816" s="1" t="s">
        <v>7225</v>
      </c>
      <c r="J816" s="1" t="s">
        <v>7166</v>
      </c>
      <c r="K816" s="1" t="s">
        <v>74</v>
      </c>
      <c r="L816" s="1" t="s">
        <v>74</v>
      </c>
      <c r="M816" s="1" t="s">
        <v>74</v>
      </c>
      <c r="N816" s="1" t="s">
        <v>953</v>
      </c>
      <c r="O816" s="1" t="s">
        <v>74</v>
      </c>
      <c r="P816" s="1" t="s">
        <v>74</v>
      </c>
      <c r="Q816" s="1" t="s">
        <v>74</v>
      </c>
      <c r="R816" s="1" t="s">
        <v>74</v>
      </c>
      <c r="S816" s="1" t="s">
        <v>74</v>
      </c>
      <c r="T816" s="1" t="s">
        <v>7226</v>
      </c>
      <c r="U816" s="1" t="s">
        <v>74</v>
      </c>
      <c r="V816" s="1" t="s">
        <v>7227</v>
      </c>
      <c r="W816" s="1" t="s">
        <v>74</v>
      </c>
      <c r="X816" s="1" t="s">
        <v>74</v>
      </c>
      <c r="Y816" s="1" t="s">
        <v>74</v>
      </c>
      <c r="Z816" s="1" t="s">
        <v>74</v>
      </c>
      <c r="AA816" s="1" t="s">
        <v>74</v>
      </c>
      <c r="AB816" s="1" t="s">
        <v>74</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7169</v>
      </c>
      <c r="AP816" s="1" t="s">
        <v>7170</v>
      </c>
      <c r="AQ816" s="1" t="s">
        <v>74</v>
      </c>
      <c r="AR816" s="1" t="s">
        <v>74</v>
      </c>
      <c r="AS816" s="1" t="s">
        <v>74</v>
      </c>
      <c r="AT816" s="1" t="s">
        <v>7228</v>
      </c>
      <c r="AU816" s="1">
        <v>2025.0</v>
      </c>
      <c r="AV816" s="1" t="s">
        <v>74</v>
      </c>
      <c r="AW816" s="1" t="s">
        <v>74</v>
      </c>
      <c r="AX816" s="1" t="s">
        <v>74</v>
      </c>
      <c r="AY816" s="1" t="s">
        <v>74</v>
      </c>
      <c r="AZ816" s="1" t="s">
        <v>74</v>
      </c>
      <c r="BA816" s="1" t="s">
        <v>74</v>
      </c>
      <c r="BB816" s="1" t="s">
        <v>74</v>
      </c>
      <c r="BC816" s="1" t="s">
        <v>74</v>
      </c>
      <c r="BD816" s="1" t="s">
        <v>74</v>
      </c>
      <c r="BE816" s="1" t="s">
        <v>7229</v>
      </c>
      <c r="BF816" s="2" t="str">
        <f>HYPERLINK("http://dx.doi.org/10.1109/MWC.2025.3613680","http://dx.doi.org/10.1109/MWC.2025.3613680")</f>
        <v>http://dx.doi.org/10.1109/MWC.2025.3613680</v>
      </c>
      <c r="BG816" s="1" t="s">
        <v>74</v>
      </c>
      <c r="BH816" s="1" t="s">
        <v>255</v>
      </c>
      <c r="BI816" s="1" t="s">
        <v>74</v>
      </c>
      <c r="BJ816" s="1" t="s">
        <v>74</v>
      </c>
      <c r="BK816" s="1" t="s">
        <v>74</v>
      </c>
      <c r="BL816" s="1" t="s">
        <v>152</v>
      </c>
      <c r="BM816" s="1" t="s">
        <v>74</v>
      </c>
      <c r="BN816" s="1" t="s">
        <v>74</v>
      </c>
      <c r="BO816" s="1" t="s">
        <v>127</v>
      </c>
      <c r="BP816" s="1" t="s">
        <v>74</v>
      </c>
      <c r="BQ816" s="1" t="s">
        <v>74</v>
      </c>
      <c r="BR816" s="1" t="s">
        <v>74</v>
      </c>
      <c r="BS816" s="1" t="s">
        <v>7230</v>
      </c>
      <c r="BT816" s="1" t="str">
        <f>HYPERLINK("https%3A%2F%2Fwww.webofscience.com%2Fwos%2Fwoscc%2Ffull-record%2FWOS:001627916200001","View Full Record in Web of Science")</f>
        <v>View Full Record in Web of Science</v>
      </c>
    </row>
    <row r="817" ht="12.75" customHeight="1">
      <c r="A817" s="1" t="s">
        <v>72</v>
      </c>
      <c r="B817" s="1" t="s">
        <v>7231</v>
      </c>
      <c r="C817" s="1" t="s">
        <v>74</v>
      </c>
      <c r="D817" s="1" t="s">
        <v>74</v>
      </c>
      <c r="E817" s="1" t="s">
        <v>74</v>
      </c>
      <c r="F817" s="1" t="s">
        <v>7232</v>
      </c>
      <c r="G817" s="1" t="s">
        <v>74</v>
      </c>
      <c r="H817" s="1" t="s">
        <v>74</v>
      </c>
      <c r="I817" s="1" t="s">
        <v>7233</v>
      </c>
      <c r="J817" s="1" t="s">
        <v>1272</v>
      </c>
      <c r="K817" s="1" t="s">
        <v>74</v>
      </c>
      <c r="L817" s="1" t="s">
        <v>74</v>
      </c>
      <c r="M817" s="1" t="s">
        <v>74</v>
      </c>
      <c r="N817" s="1" t="s">
        <v>78</v>
      </c>
      <c r="O817" s="1" t="s">
        <v>74</v>
      </c>
      <c r="P817" s="1" t="s">
        <v>74</v>
      </c>
      <c r="Q817" s="1" t="s">
        <v>74</v>
      </c>
      <c r="R817" s="1" t="s">
        <v>74</v>
      </c>
      <c r="S817" s="1" t="s">
        <v>74</v>
      </c>
      <c r="T817" s="1" t="s">
        <v>7234</v>
      </c>
      <c r="U817" s="1" t="s">
        <v>74</v>
      </c>
      <c r="V817" s="1" t="s">
        <v>7235</v>
      </c>
      <c r="W817" s="1" t="s">
        <v>74</v>
      </c>
      <c r="X817" s="1" t="s">
        <v>74</v>
      </c>
      <c r="Y817" s="1" t="s">
        <v>74</v>
      </c>
      <c r="Z817" s="1" t="s">
        <v>74</v>
      </c>
      <c r="AA817" s="1" t="s">
        <v>74</v>
      </c>
      <c r="AB817" s="1" t="s">
        <v>74</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1276</v>
      </c>
      <c r="AP817" s="1" t="s">
        <v>1277</v>
      </c>
      <c r="AQ817" s="1" t="s">
        <v>74</v>
      </c>
      <c r="AR817" s="1" t="s">
        <v>74</v>
      </c>
      <c r="AS817" s="1" t="s">
        <v>74</v>
      </c>
      <c r="AT817" s="1" t="s">
        <v>7236</v>
      </c>
      <c r="AU817" s="1">
        <v>2025.0</v>
      </c>
      <c r="AV817" s="1">
        <v>81.0</v>
      </c>
      <c r="AW817" s="1">
        <v>10.0</v>
      </c>
      <c r="AX817" s="1" t="s">
        <v>74</v>
      </c>
      <c r="AY817" s="1" t="s">
        <v>74</v>
      </c>
      <c r="AZ817" s="1" t="s">
        <v>74</v>
      </c>
      <c r="BA817" s="1" t="s">
        <v>74</v>
      </c>
      <c r="BB817" s="1" t="s">
        <v>74</v>
      </c>
      <c r="BC817" s="1" t="s">
        <v>74</v>
      </c>
      <c r="BD817" s="1">
        <v>1134.0</v>
      </c>
      <c r="BE817" s="1" t="s">
        <v>7237</v>
      </c>
      <c r="BF817" s="2" t="str">
        <f>HYPERLINK("http://dx.doi.org/10.1007/s11227-025-07636-6","http://dx.doi.org/10.1007/s11227-025-07636-6")</f>
        <v>http://dx.doi.org/10.1007/s11227-025-07636-6</v>
      </c>
      <c r="BG817" s="1" t="s">
        <v>74</v>
      </c>
      <c r="BH817" s="1" t="s">
        <v>74</v>
      </c>
      <c r="BI817" s="1" t="s">
        <v>74</v>
      </c>
      <c r="BJ817" s="1" t="s">
        <v>74</v>
      </c>
      <c r="BK817" s="1" t="s">
        <v>74</v>
      </c>
      <c r="BL817" s="1" t="s">
        <v>98</v>
      </c>
      <c r="BM817" s="1" t="s">
        <v>74</v>
      </c>
      <c r="BN817" s="1" t="s">
        <v>74</v>
      </c>
      <c r="BO817" s="1" t="s">
        <v>74</v>
      </c>
      <c r="BP817" s="1" t="s">
        <v>74</v>
      </c>
      <c r="BQ817" s="1" t="s">
        <v>74</v>
      </c>
      <c r="BR817" s="1" t="s">
        <v>74</v>
      </c>
      <c r="BS817" s="1" t="s">
        <v>7238</v>
      </c>
      <c r="BT817" s="1" t="str">
        <f>HYPERLINK("https%3A%2F%2Fwww.webofscience.com%2Fwos%2Fwoscc%2Ffull-record%2FWOS:001526977800003","View Full Record in Web of Science")</f>
        <v>View Full Record in Web of Science</v>
      </c>
    </row>
    <row r="818" ht="12.75" customHeight="1">
      <c r="A818" s="1" t="s">
        <v>72</v>
      </c>
      <c r="B818" s="1" t="s">
        <v>7239</v>
      </c>
      <c r="C818" s="1" t="s">
        <v>74</v>
      </c>
      <c r="D818" s="1" t="s">
        <v>74</v>
      </c>
      <c r="E818" s="1" t="s">
        <v>74</v>
      </c>
      <c r="F818" s="1" t="s">
        <v>7240</v>
      </c>
      <c r="G818" s="1" t="s">
        <v>74</v>
      </c>
      <c r="H818" s="1" t="s">
        <v>74</v>
      </c>
      <c r="I818" s="1" t="s">
        <v>7241</v>
      </c>
      <c r="J818" s="1" t="s">
        <v>7242</v>
      </c>
      <c r="K818" s="1" t="s">
        <v>74</v>
      </c>
      <c r="L818" s="1" t="s">
        <v>74</v>
      </c>
      <c r="M818" s="1" t="s">
        <v>74</v>
      </c>
      <c r="N818" s="1" t="s">
        <v>78</v>
      </c>
      <c r="O818" s="1" t="s">
        <v>74</v>
      </c>
      <c r="P818" s="1" t="s">
        <v>74</v>
      </c>
      <c r="Q818" s="1" t="s">
        <v>74</v>
      </c>
      <c r="R818" s="1" t="s">
        <v>74</v>
      </c>
      <c r="S818" s="1" t="s">
        <v>74</v>
      </c>
      <c r="T818" s="1" t="s">
        <v>7243</v>
      </c>
      <c r="U818" s="1" t="s">
        <v>74</v>
      </c>
      <c r="V818" s="1" t="s">
        <v>7244</v>
      </c>
      <c r="W818" s="1" t="s">
        <v>74</v>
      </c>
      <c r="X818" s="1" t="s">
        <v>74</v>
      </c>
      <c r="Y818" s="1" t="s">
        <v>74</v>
      </c>
      <c r="Z818" s="1" t="s">
        <v>74</v>
      </c>
      <c r="AA818" s="1" t="s">
        <v>74</v>
      </c>
      <c r="AB818" s="1" t="s">
        <v>74</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7245</v>
      </c>
      <c r="AP818" s="1" t="s">
        <v>7246</v>
      </c>
      <c r="AQ818" s="1" t="s">
        <v>74</v>
      </c>
      <c r="AR818" s="1" t="s">
        <v>74</v>
      </c>
      <c r="AS818" s="1" t="s">
        <v>74</v>
      </c>
      <c r="AT818" s="1" t="s">
        <v>7247</v>
      </c>
      <c r="AU818" s="1">
        <v>2025.0</v>
      </c>
      <c r="AV818" s="1">
        <v>26.0</v>
      </c>
      <c r="AW818" s="1">
        <v>5.0</v>
      </c>
      <c r="AX818" s="1" t="s">
        <v>74</v>
      </c>
      <c r="AY818" s="1" t="s">
        <v>74</v>
      </c>
      <c r="AZ818" s="1" t="s">
        <v>707</v>
      </c>
      <c r="BA818" s="1" t="s">
        <v>74</v>
      </c>
      <c r="BB818" s="1">
        <v>831.0</v>
      </c>
      <c r="BC818" s="1">
        <v>847.0</v>
      </c>
      <c r="BD818" s="1" t="s">
        <v>74</v>
      </c>
      <c r="BE818" s="1" t="s">
        <v>7248</v>
      </c>
      <c r="BF818" s="2" t="str">
        <f>HYPERLINK("http://dx.doi.org/10.1108/YC-10-2024-2277","http://dx.doi.org/10.1108/YC-10-2024-2277")</f>
        <v>http://dx.doi.org/10.1108/YC-10-2024-2277</v>
      </c>
      <c r="BG818" s="1" t="s">
        <v>74</v>
      </c>
      <c r="BH818" s="1" t="s">
        <v>1150</v>
      </c>
      <c r="BI818" s="1" t="s">
        <v>74</v>
      </c>
      <c r="BJ818" s="1" t="s">
        <v>74</v>
      </c>
      <c r="BK818" s="1" t="s">
        <v>74</v>
      </c>
      <c r="BL818" s="1" t="s">
        <v>214</v>
      </c>
      <c r="BM818" s="1" t="s">
        <v>74</v>
      </c>
      <c r="BN818" s="1" t="s">
        <v>74</v>
      </c>
      <c r="BO818" s="1" t="s">
        <v>74</v>
      </c>
      <c r="BP818" s="1" t="s">
        <v>74</v>
      </c>
      <c r="BQ818" s="1" t="s">
        <v>74</v>
      </c>
      <c r="BR818" s="1" t="s">
        <v>74</v>
      </c>
      <c r="BS818" s="1" t="s">
        <v>7249</v>
      </c>
      <c r="BT818" s="1" t="str">
        <f>HYPERLINK("https%3A%2F%2Fwww.webofscience.com%2Fwos%2Fwoscc%2Ffull-record%2FWOS:001495086300001","View Full Record in Web of Science")</f>
        <v>View Full Record in Web of Science</v>
      </c>
    </row>
    <row r="819" ht="12.75" customHeight="1">
      <c r="A819" s="1" t="s">
        <v>72</v>
      </c>
      <c r="B819" s="1" t="s">
        <v>7250</v>
      </c>
      <c r="C819" s="1" t="s">
        <v>74</v>
      </c>
      <c r="D819" s="1" t="s">
        <v>74</v>
      </c>
      <c r="E819" s="1" t="s">
        <v>74</v>
      </c>
      <c r="F819" s="1" t="s">
        <v>7251</v>
      </c>
      <c r="G819" s="1" t="s">
        <v>74</v>
      </c>
      <c r="H819" s="1" t="s">
        <v>74</v>
      </c>
      <c r="I819" s="1" t="s">
        <v>7252</v>
      </c>
      <c r="J819" s="1" t="s">
        <v>2961</v>
      </c>
      <c r="K819" s="1" t="s">
        <v>74</v>
      </c>
      <c r="L819" s="1" t="s">
        <v>74</v>
      </c>
      <c r="M819" s="1" t="s">
        <v>74</v>
      </c>
      <c r="N819" s="1" t="s">
        <v>78</v>
      </c>
      <c r="O819" s="1" t="s">
        <v>74</v>
      </c>
      <c r="P819" s="1" t="s">
        <v>74</v>
      </c>
      <c r="Q819" s="1" t="s">
        <v>74</v>
      </c>
      <c r="R819" s="1" t="s">
        <v>74</v>
      </c>
      <c r="S819" s="1" t="s">
        <v>74</v>
      </c>
      <c r="T819" s="1" t="s">
        <v>7253</v>
      </c>
      <c r="U819" s="1" t="s">
        <v>74</v>
      </c>
      <c r="V819" s="1" t="s">
        <v>7254</v>
      </c>
      <c r="W819" s="1" t="s">
        <v>74</v>
      </c>
      <c r="X819" s="1" t="s">
        <v>74</v>
      </c>
      <c r="Y819" s="1" t="s">
        <v>74</v>
      </c>
      <c r="Z819" s="1" t="s">
        <v>74</v>
      </c>
      <c r="AA819" s="1" t="s">
        <v>74</v>
      </c>
      <c r="AB819" s="1" t="s">
        <v>74</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2964</v>
      </c>
      <c r="AP819" s="1" t="s">
        <v>2965</v>
      </c>
      <c r="AQ819" s="1" t="s">
        <v>74</v>
      </c>
      <c r="AR819" s="1" t="s">
        <v>74</v>
      </c>
      <c r="AS819" s="1" t="s">
        <v>74</v>
      </c>
      <c r="AT819" s="1" t="s">
        <v>262</v>
      </c>
      <c r="AU819" s="1">
        <v>2025.0</v>
      </c>
      <c r="AV819" s="1">
        <v>8.0</v>
      </c>
      <c r="AW819" s="1">
        <v>5.0</v>
      </c>
      <c r="AX819" s="1" t="s">
        <v>74</v>
      </c>
      <c r="AY819" s="1" t="s">
        <v>74</v>
      </c>
      <c r="AZ819" s="1" t="s">
        <v>74</v>
      </c>
      <c r="BA819" s="1" t="s">
        <v>74</v>
      </c>
      <c r="BB819" s="1">
        <v>72.0</v>
      </c>
      <c r="BC819" s="1">
        <v>79.0</v>
      </c>
      <c r="BD819" s="1" t="s">
        <v>74</v>
      </c>
      <c r="BE819" s="1" t="s">
        <v>7255</v>
      </c>
      <c r="BF819" s="2" t="str">
        <f>HYPERLINK("http://dx.doi.org/10.1109/MIOT.2025.3575887","http://dx.doi.org/10.1109/MIOT.2025.3575887")</f>
        <v>http://dx.doi.org/10.1109/MIOT.2025.3575887</v>
      </c>
      <c r="BG819" s="1" t="s">
        <v>74</v>
      </c>
      <c r="BH819" s="1" t="s">
        <v>74</v>
      </c>
      <c r="BI819" s="1" t="s">
        <v>74</v>
      </c>
      <c r="BJ819" s="1" t="s">
        <v>74</v>
      </c>
      <c r="BK819" s="1" t="s">
        <v>74</v>
      </c>
      <c r="BL819" s="1" t="s">
        <v>152</v>
      </c>
      <c r="BM819" s="1" t="s">
        <v>74</v>
      </c>
      <c r="BN819" s="1" t="s">
        <v>74</v>
      </c>
      <c r="BO819" s="1" t="s">
        <v>74</v>
      </c>
      <c r="BP819" s="1" t="s">
        <v>74</v>
      </c>
      <c r="BQ819" s="1" t="s">
        <v>74</v>
      </c>
      <c r="BR819" s="1" t="s">
        <v>74</v>
      </c>
      <c r="BS819" s="1" t="s">
        <v>7256</v>
      </c>
      <c r="BT819" s="1" t="str">
        <f>HYPERLINK("https%3A%2F%2Fwww.webofscience.com%2Fwos%2Fwoscc%2Ffull-record%2FWOS:001635054300008","View Full Record in Web of Science")</f>
        <v>View Full Record in Web of Science</v>
      </c>
    </row>
    <row r="820" ht="12.75" customHeight="1">
      <c r="A820" s="1" t="s">
        <v>72</v>
      </c>
      <c r="B820" s="1" t="s">
        <v>7257</v>
      </c>
      <c r="C820" s="1" t="s">
        <v>74</v>
      </c>
      <c r="D820" s="1" t="s">
        <v>74</v>
      </c>
      <c r="E820" s="1" t="s">
        <v>74</v>
      </c>
      <c r="F820" s="1" t="s">
        <v>7258</v>
      </c>
      <c r="G820" s="1" t="s">
        <v>74</v>
      </c>
      <c r="H820" s="1" t="s">
        <v>74</v>
      </c>
      <c r="I820" s="1" t="s">
        <v>7259</v>
      </c>
      <c r="J820" s="1" t="s">
        <v>103</v>
      </c>
      <c r="K820" s="1" t="s">
        <v>74</v>
      </c>
      <c r="L820" s="1" t="s">
        <v>74</v>
      </c>
      <c r="M820" s="1" t="s">
        <v>74</v>
      </c>
      <c r="N820" s="1" t="s">
        <v>78</v>
      </c>
      <c r="O820" s="1" t="s">
        <v>74</v>
      </c>
      <c r="P820" s="1" t="s">
        <v>74</v>
      </c>
      <c r="Q820" s="1" t="s">
        <v>74</v>
      </c>
      <c r="R820" s="1" t="s">
        <v>74</v>
      </c>
      <c r="S820" s="1" t="s">
        <v>74</v>
      </c>
      <c r="T820" s="1" t="s">
        <v>7260</v>
      </c>
      <c r="U820" s="1" t="s">
        <v>74</v>
      </c>
      <c r="V820" s="1" t="s">
        <v>7261</v>
      </c>
      <c r="W820" s="1" t="s">
        <v>74</v>
      </c>
      <c r="X820" s="1" t="s">
        <v>74</v>
      </c>
      <c r="Y820" s="1" t="s">
        <v>74</v>
      </c>
      <c r="Z820" s="1" t="s">
        <v>74</v>
      </c>
      <c r="AA820" s="1" t="s">
        <v>74</v>
      </c>
      <c r="AB820" s="1" t="s">
        <v>74</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107</v>
      </c>
      <c r="AP820" s="1" t="s">
        <v>108</v>
      </c>
      <c r="AQ820" s="1" t="s">
        <v>74</v>
      </c>
      <c r="AR820" s="1" t="s">
        <v>74</v>
      </c>
      <c r="AS820" s="1" t="s">
        <v>74</v>
      </c>
      <c r="AT820" s="1" t="s">
        <v>335</v>
      </c>
      <c r="AU820" s="1">
        <v>2024.0</v>
      </c>
      <c r="AV820" s="1">
        <v>132.0</v>
      </c>
      <c r="AW820" s="1" t="s">
        <v>74</v>
      </c>
      <c r="AX820" s="1" t="s">
        <v>74</v>
      </c>
      <c r="AY820" s="1" t="s">
        <v>74</v>
      </c>
      <c r="AZ820" s="1" t="s">
        <v>74</v>
      </c>
      <c r="BA820" s="1" t="s">
        <v>74</v>
      </c>
      <c r="BB820" s="1" t="s">
        <v>74</v>
      </c>
      <c r="BC820" s="1" t="s">
        <v>74</v>
      </c>
      <c r="BD820" s="1">
        <v>107907.0</v>
      </c>
      <c r="BE820" s="1" t="s">
        <v>7262</v>
      </c>
      <c r="BF820" s="2" t="str">
        <f>HYPERLINK("http://dx.doi.org/10.1016/j.engappai.2024.107907","http://dx.doi.org/10.1016/j.engappai.2024.107907")</f>
        <v>http://dx.doi.org/10.1016/j.engappai.2024.107907</v>
      </c>
      <c r="BG820" s="1" t="s">
        <v>74</v>
      </c>
      <c r="BH820" s="1" t="s">
        <v>937</v>
      </c>
      <c r="BI820" s="1" t="s">
        <v>74</v>
      </c>
      <c r="BJ820" s="1" t="s">
        <v>74</v>
      </c>
      <c r="BK820" s="1" t="s">
        <v>74</v>
      </c>
      <c r="BL820" s="1" t="s">
        <v>113</v>
      </c>
      <c r="BM820" s="1" t="s">
        <v>74</v>
      </c>
      <c r="BN820" s="1" t="s">
        <v>74</v>
      </c>
      <c r="BO820" s="1" t="s">
        <v>74</v>
      </c>
      <c r="BP820" s="1" t="s">
        <v>74</v>
      </c>
      <c r="BQ820" s="1" t="s">
        <v>74</v>
      </c>
      <c r="BR820" s="1" t="s">
        <v>74</v>
      </c>
      <c r="BS820" s="1" t="s">
        <v>7263</v>
      </c>
      <c r="BT820" s="1" t="str">
        <f>HYPERLINK("https%3A%2F%2Fwww.webofscience.com%2Fwos%2Fwoscc%2Ffull-record%2FWOS:001164920100001","View Full Record in Web of Science")</f>
        <v>View Full Record in Web of Science</v>
      </c>
    </row>
    <row r="821" ht="12.75" customHeight="1">
      <c r="A821" s="1" t="s">
        <v>72</v>
      </c>
      <c r="B821" s="1" t="s">
        <v>7264</v>
      </c>
      <c r="C821" s="1" t="s">
        <v>74</v>
      </c>
      <c r="D821" s="1" t="s">
        <v>74</v>
      </c>
      <c r="E821" s="1" t="s">
        <v>74</v>
      </c>
      <c r="F821" s="1" t="s">
        <v>7265</v>
      </c>
      <c r="G821" s="1" t="s">
        <v>74</v>
      </c>
      <c r="H821" s="1" t="s">
        <v>74</v>
      </c>
      <c r="I821" s="1" t="s">
        <v>7266</v>
      </c>
      <c r="J821" s="1" t="s">
        <v>2655</v>
      </c>
      <c r="K821" s="1" t="s">
        <v>74</v>
      </c>
      <c r="L821" s="1" t="s">
        <v>74</v>
      </c>
      <c r="M821" s="1" t="s">
        <v>74</v>
      </c>
      <c r="N821" s="1" t="s">
        <v>78</v>
      </c>
      <c r="O821" s="1" t="s">
        <v>74</v>
      </c>
      <c r="P821" s="1" t="s">
        <v>74</v>
      </c>
      <c r="Q821" s="1" t="s">
        <v>74</v>
      </c>
      <c r="R821" s="1" t="s">
        <v>74</v>
      </c>
      <c r="S821" s="1" t="s">
        <v>74</v>
      </c>
      <c r="T821" s="1" t="s">
        <v>7267</v>
      </c>
      <c r="U821" s="1" t="s">
        <v>7268</v>
      </c>
      <c r="V821" s="1" t="s">
        <v>7269</v>
      </c>
      <c r="W821" s="1" t="s">
        <v>74</v>
      </c>
      <c r="X821" s="1" t="s">
        <v>74</v>
      </c>
      <c r="Y821" s="1" t="s">
        <v>74</v>
      </c>
      <c r="Z821" s="1" t="s">
        <v>74</v>
      </c>
      <c r="AA821" s="1" t="s">
        <v>74</v>
      </c>
      <c r="AB821" s="1" t="s">
        <v>74</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2659</v>
      </c>
      <c r="AP821" s="1" t="s">
        <v>2660</v>
      </c>
      <c r="AQ821" s="1" t="s">
        <v>74</v>
      </c>
      <c r="AR821" s="1" t="s">
        <v>74</v>
      </c>
      <c r="AS821" s="1" t="s">
        <v>74</v>
      </c>
      <c r="AT821" s="1" t="s">
        <v>464</v>
      </c>
      <c r="AU821" s="1">
        <v>2024.0</v>
      </c>
      <c r="AV821" s="1">
        <v>188.0</v>
      </c>
      <c r="AW821" s="1" t="s">
        <v>74</v>
      </c>
      <c r="AX821" s="1" t="s">
        <v>74</v>
      </c>
      <c r="AY821" s="1" t="s">
        <v>74</v>
      </c>
      <c r="AZ821" s="1" t="s">
        <v>74</v>
      </c>
      <c r="BA821" s="1" t="s">
        <v>74</v>
      </c>
      <c r="BB821" s="1" t="s">
        <v>74</v>
      </c>
      <c r="BC821" s="1" t="s">
        <v>74</v>
      </c>
      <c r="BD821" s="1">
        <v>105501.0</v>
      </c>
      <c r="BE821" s="1" t="s">
        <v>7270</v>
      </c>
      <c r="BF821" s="2" t="str">
        <f>HYPERLINK("http://dx.doi.org/10.1016/j.ijmedinf.2024.105501","http://dx.doi.org/10.1016/j.ijmedinf.2024.105501")</f>
        <v>http://dx.doi.org/10.1016/j.ijmedinf.2024.105501</v>
      </c>
      <c r="BG821" s="1" t="s">
        <v>74</v>
      </c>
      <c r="BH821" s="1" t="s">
        <v>466</v>
      </c>
      <c r="BI821" s="1" t="s">
        <v>74</v>
      </c>
      <c r="BJ821" s="1" t="s">
        <v>74</v>
      </c>
      <c r="BK821" s="1" t="s">
        <v>74</v>
      </c>
      <c r="BL821" s="1" t="s">
        <v>1171</v>
      </c>
      <c r="BM821" s="1" t="s">
        <v>74</v>
      </c>
      <c r="BN821" s="1" t="s">
        <v>74</v>
      </c>
      <c r="BO821" s="1" t="s">
        <v>114</v>
      </c>
      <c r="BP821" s="1" t="s">
        <v>74</v>
      </c>
      <c r="BQ821" s="1" t="s">
        <v>74</v>
      </c>
      <c r="BR821" s="1" t="s">
        <v>74</v>
      </c>
      <c r="BS821" s="1" t="s">
        <v>7271</v>
      </c>
      <c r="BT821" s="1" t="str">
        <f>HYPERLINK("https%3A%2F%2Fwww.webofscience.com%2Fwos%2Fwoscc%2Ffull-record%2FWOS:001247894300001","View Full Record in Web of Science")</f>
        <v>View Full Record in Web of Science</v>
      </c>
    </row>
    <row r="822" ht="12.75" customHeight="1">
      <c r="A822" s="1" t="s">
        <v>72</v>
      </c>
      <c r="B822" s="1" t="s">
        <v>7272</v>
      </c>
      <c r="C822" s="1" t="s">
        <v>74</v>
      </c>
      <c r="D822" s="1" t="s">
        <v>74</v>
      </c>
      <c r="E822" s="1" t="s">
        <v>74</v>
      </c>
      <c r="F822" s="1" t="s">
        <v>7273</v>
      </c>
      <c r="G822" s="1" t="s">
        <v>74</v>
      </c>
      <c r="H822" s="1" t="s">
        <v>74</v>
      </c>
      <c r="I822" s="1" t="s">
        <v>7274</v>
      </c>
      <c r="J822" s="1" t="s">
        <v>431</v>
      </c>
      <c r="K822" s="1" t="s">
        <v>74</v>
      </c>
      <c r="L822" s="1" t="s">
        <v>74</v>
      </c>
      <c r="M822" s="1" t="s">
        <v>74</v>
      </c>
      <c r="N822" s="1" t="s">
        <v>78</v>
      </c>
      <c r="O822" s="1" t="s">
        <v>74</v>
      </c>
      <c r="P822" s="1" t="s">
        <v>74</v>
      </c>
      <c r="Q822" s="1" t="s">
        <v>74</v>
      </c>
      <c r="R822" s="1" t="s">
        <v>74</v>
      </c>
      <c r="S822" s="1" t="s">
        <v>74</v>
      </c>
      <c r="T822" s="1" t="s">
        <v>7275</v>
      </c>
      <c r="U822" s="1" t="s">
        <v>74</v>
      </c>
      <c r="V822" s="1" t="s">
        <v>7276</v>
      </c>
      <c r="W822" s="1" t="s">
        <v>74</v>
      </c>
      <c r="X822" s="1" t="s">
        <v>74</v>
      </c>
      <c r="Y822" s="1" t="s">
        <v>74</v>
      </c>
      <c r="Z822" s="1" t="s">
        <v>74</v>
      </c>
      <c r="AA822" s="1" t="s">
        <v>74</v>
      </c>
      <c r="AB822" s="1" t="s">
        <v>74</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74</v>
      </c>
      <c r="AP822" s="1" t="s">
        <v>434</v>
      </c>
      <c r="AQ822" s="1" t="s">
        <v>74</v>
      </c>
      <c r="AR822" s="1" t="s">
        <v>74</v>
      </c>
      <c r="AS822" s="1" t="s">
        <v>74</v>
      </c>
      <c r="AT822" s="1" t="s">
        <v>7277</v>
      </c>
      <c r="AU822" s="1">
        <v>2025.0</v>
      </c>
      <c r="AV822" s="1">
        <v>7.0</v>
      </c>
      <c r="AW822" s="1" t="s">
        <v>74</v>
      </c>
      <c r="AX822" s="1" t="s">
        <v>74</v>
      </c>
      <c r="AY822" s="1" t="s">
        <v>74</v>
      </c>
      <c r="AZ822" s="1" t="s">
        <v>74</v>
      </c>
      <c r="BA822" s="1" t="s">
        <v>74</v>
      </c>
      <c r="BB822" s="1" t="s">
        <v>74</v>
      </c>
      <c r="BC822" s="1" t="s">
        <v>74</v>
      </c>
      <c r="BD822" s="1">
        <v>1683495.0</v>
      </c>
      <c r="BE822" s="1" t="s">
        <v>7278</v>
      </c>
      <c r="BF822" s="2" t="str">
        <f>HYPERLINK("http://dx.doi.org/10.3389/fcomp.2025.1683495","http://dx.doi.org/10.3389/fcomp.2025.1683495")</f>
        <v>http://dx.doi.org/10.3389/fcomp.2025.1683495</v>
      </c>
      <c r="BG822" s="1" t="s">
        <v>74</v>
      </c>
      <c r="BH822" s="1" t="s">
        <v>74</v>
      </c>
      <c r="BI822" s="1" t="s">
        <v>74</v>
      </c>
      <c r="BJ822" s="1" t="s">
        <v>74</v>
      </c>
      <c r="BK822" s="1" t="s">
        <v>74</v>
      </c>
      <c r="BL822" s="1" t="s">
        <v>174</v>
      </c>
      <c r="BM822" s="1" t="s">
        <v>74</v>
      </c>
      <c r="BN822" s="1" t="s">
        <v>74</v>
      </c>
      <c r="BO822" s="1" t="s">
        <v>163</v>
      </c>
      <c r="BP822" s="1" t="s">
        <v>74</v>
      </c>
      <c r="BQ822" s="1" t="s">
        <v>74</v>
      </c>
      <c r="BR822" s="1" t="s">
        <v>74</v>
      </c>
      <c r="BS822" s="1" t="s">
        <v>7279</v>
      </c>
      <c r="BT822" s="1" t="str">
        <f>HYPERLINK("https%3A%2F%2Fwww.webofscience.com%2Fwos%2Fwoscc%2Ffull-record%2FWOS:001621863300001","View Full Record in Web of Science")</f>
        <v>View Full Record in Web of Science</v>
      </c>
    </row>
    <row r="823" ht="12.75" customHeight="1">
      <c r="A823" s="1" t="s">
        <v>72</v>
      </c>
      <c r="B823" s="1" t="s">
        <v>7280</v>
      </c>
      <c r="C823" s="1" t="s">
        <v>74</v>
      </c>
      <c r="D823" s="1" t="s">
        <v>74</v>
      </c>
      <c r="E823" s="1" t="s">
        <v>74</v>
      </c>
      <c r="F823" s="1" t="s">
        <v>7281</v>
      </c>
      <c r="G823" s="1" t="s">
        <v>74</v>
      </c>
      <c r="H823" s="1" t="s">
        <v>74</v>
      </c>
      <c r="I823" s="1" t="s">
        <v>7282</v>
      </c>
      <c r="J823" s="1" t="s">
        <v>985</v>
      </c>
      <c r="K823" s="1" t="s">
        <v>74</v>
      </c>
      <c r="L823" s="1" t="s">
        <v>74</v>
      </c>
      <c r="M823" s="1" t="s">
        <v>74</v>
      </c>
      <c r="N823" s="1" t="s">
        <v>78</v>
      </c>
      <c r="O823" s="1" t="s">
        <v>74</v>
      </c>
      <c r="P823" s="1" t="s">
        <v>74</v>
      </c>
      <c r="Q823" s="1" t="s">
        <v>74</v>
      </c>
      <c r="R823" s="1" t="s">
        <v>74</v>
      </c>
      <c r="S823" s="1" t="s">
        <v>74</v>
      </c>
      <c r="T823" s="1" t="s">
        <v>7283</v>
      </c>
      <c r="U823" s="1" t="s">
        <v>74</v>
      </c>
      <c r="V823" s="1" t="s">
        <v>7284</v>
      </c>
      <c r="W823" s="1" t="s">
        <v>74</v>
      </c>
      <c r="X823" s="1" t="s">
        <v>74</v>
      </c>
      <c r="Y823" s="1" t="s">
        <v>74</v>
      </c>
      <c r="Z823" s="1" t="s">
        <v>74</v>
      </c>
      <c r="AA823" s="1" t="s">
        <v>74</v>
      </c>
      <c r="AB823" s="1" t="s">
        <v>74</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988</v>
      </c>
      <c r="AP823" s="1" t="s">
        <v>989</v>
      </c>
      <c r="AQ823" s="1" t="s">
        <v>74</v>
      </c>
      <c r="AR823" s="1" t="s">
        <v>74</v>
      </c>
      <c r="AS823" s="1" t="s">
        <v>74</v>
      </c>
      <c r="AT823" s="1" t="s">
        <v>262</v>
      </c>
      <c r="AU823" s="1">
        <v>2022.0</v>
      </c>
      <c r="AV823" s="1">
        <v>13.0</v>
      </c>
      <c r="AW823" s="1">
        <v>9.0</v>
      </c>
      <c r="AX823" s="1" t="s">
        <v>74</v>
      </c>
      <c r="AY823" s="1" t="s">
        <v>74</v>
      </c>
      <c r="AZ823" s="1" t="s">
        <v>74</v>
      </c>
      <c r="BA823" s="1" t="s">
        <v>74</v>
      </c>
      <c r="BB823" s="1">
        <v>748.0</v>
      </c>
      <c r="BC823" s="1">
        <v>754.0</v>
      </c>
      <c r="BD823" s="1" t="s">
        <v>74</v>
      </c>
      <c r="BE823" s="1" t="s">
        <v>74</v>
      </c>
      <c r="BF823" s="1" t="s">
        <v>74</v>
      </c>
      <c r="BG823" s="1" t="s">
        <v>74</v>
      </c>
      <c r="BH823" s="1" t="s">
        <v>74</v>
      </c>
      <c r="BI823" s="1" t="s">
        <v>74</v>
      </c>
      <c r="BJ823" s="1" t="s">
        <v>74</v>
      </c>
      <c r="BK823" s="1" t="s">
        <v>74</v>
      </c>
      <c r="BL823" s="1" t="s">
        <v>174</v>
      </c>
      <c r="BM823" s="1" t="s">
        <v>74</v>
      </c>
      <c r="BN823" s="1" t="s">
        <v>74</v>
      </c>
      <c r="BO823" s="1" t="s">
        <v>74</v>
      </c>
      <c r="BP823" s="1" t="s">
        <v>74</v>
      </c>
      <c r="BQ823" s="1" t="s">
        <v>74</v>
      </c>
      <c r="BR823" s="1" t="s">
        <v>74</v>
      </c>
      <c r="BS823" s="1" t="s">
        <v>7285</v>
      </c>
      <c r="BT823" s="1" t="str">
        <f>HYPERLINK("https%3A%2F%2Fwww.webofscience.com%2Fwos%2Fwoscc%2Ffull-record%2FWOS:000869118800001","View Full Record in Web of Science")</f>
        <v>View Full Record in Web of Science</v>
      </c>
    </row>
    <row r="824" ht="12.75" customHeight="1">
      <c r="A824" s="1" t="s">
        <v>72</v>
      </c>
      <c r="B824" s="1" t="s">
        <v>7286</v>
      </c>
      <c r="C824" s="1" t="s">
        <v>74</v>
      </c>
      <c r="D824" s="1" t="s">
        <v>74</v>
      </c>
      <c r="E824" s="1" t="s">
        <v>74</v>
      </c>
      <c r="F824" s="1" t="s">
        <v>7287</v>
      </c>
      <c r="G824" s="1" t="s">
        <v>74</v>
      </c>
      <c r="H824" s="1" t="s">
        <v>74</v>
      </c>
      <c r="I824" s="1" t="s">
        <v>7288</v>
      </c>
      <c r="J824" s="1" t="s">
        <v>7289</v>
      </c>
      <c r="K824" s="1" t="s">
        <v>74</v>
      </c>
      <c r="L824" s="1" t="s">
        <v>74</v>
      </c>
      <c r="M824" s="1" t="s">
        <v>74</v>
      </c>
      <c r="N824" s="1" t="s">
        <v>953</v>
      </c>
      <c r="O824" s="1" t="s">
        <v>74</v>
      </c>
      <c r="P824" s="1" t="s">
        <v>74</v>
      </c>
      <c r="Q824" s="1" t="s">
        <v>74</v>
      </c>
      <c r="R824" s="1" t="s">
        <v>74</v>
      </c>
      <c r="S824" s="1" t="s">
        <v>74</v>
      </c>
      <c r="T824" s="1" t="s">
        <v>7290</v>
      </c>
      <c r="U824" s="1" t="s">
        <v>7291</v>
      </c>
      <c r="V824" s="1" t="s">
        <v>7292</v>
      </c>
      <c r="W824" s="1" t="s">
        <v>74</v>
      </c>
      <c r="X824" s="1" t="s">
        <v>74</v>
      </c>
      <c r="Y824" s="1" t="s">
        <v>74</v>
      </c>
      <c r="Z824" s="1" t="s">
        <v>74</v>
      </c>
      <c r="AA824" s="1" t="s">
        <v>74</v>
      </c>
      <c r="AB824" s="1" t="s">
        <v>74</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7293</v>
      </c>
      <c r="AP824" s="1" t="s">
        <v>7294</v>
      </c>
      <c r="AQ824" s="1" t="s">
        <v>74</v>
      </c>
      <c r="AR824" s="1" t="s">
        <v>74</v>
      </c>
      <c r="AS824" s="1" t="s">
        <v>74</v>
      </c>
      <c r="AT824" s="1" t="s">
        <v>7295</v>
      </c>
      <c r="AU824" s="1">
        <v>2025.0</v>
      </c>
      <c r="AV824" s="1" t="s">
        <v>74</v>
      </c>
      <c r="AW824" s="1" t="s">
        <v>74</v>
      </c>
      <c r="AX824" s="1" t="s">
        <v>74</v>
      </c>
      <c r="AY824" s="1" t="s">
        <v>74</v>
      </c>
      <c r="AZ824" s="1" t="s">
        <v>74</v>
      </c>
      <c r="BA824" s="1" t="s">
        <v>74</v>
      </c>
      <c r="BB824" s="1" t="s">
        <v>74</v>
      </c>
      <c r="BC824" s="1" t="s">
        <v>74</v>
      </c>
      <c r="BD824" s="1" t="s">
        <v>74</v>
      </c>
      <c r="BE824" s="1" t="s">
        <v>7296</v>
      </c>
      <c r="BF824" s="2" t="str">
        <f>HYPERLINK("http://dx.doi.org/10.1007/s10551-025-06216-1","http://dx.doi.org/10.1007/s10551-025-06216-1")</f>
        <v>http://dx.doi.org/10.1007/s10551-025-06216-1</v>
      </c>
      <c r="BG824" s="1" t="s">
        <v>74</v>
      </c>
      <c r="BH824" s="1" t="s">
        <v>255</v>
      </c>
      <c r="BI824" s="1" t="s">
        <v>74</v>
      </c>
      <c r="BJ824" s="1" t="s">
        <v>74</v>
      </c>
      <c r="BK824" s="1" t="s">
        <v>74</v>
      </c>
      <c r="BL824" s="1" t="s">
        <v>6835</v>
      </c>
      <c r="BM824" s="1" t="s">
        <v>74</v>
      </c>
      <c r="BN824" s="1" t="s">
        <v>74</v>
      </c>
      <c r="BO824" s="1" t="s">
        <v>74</v>
      </c>
      <c r="BP824" s="1" t="s">
        <v>74</v>
      </c>
      <c r="BQ824" s="1" t="s">
        <v>74</v>
      </c>
      <c r="BR824" s="1" t="s">
        <v>74</v>
      </c>
      <c r="BS824" s="1" t="s">
        <v>7297</v>
      </c>
      <c r="BT824" s="1" t="str">
        <f>HYPERLINK("https%3A%2F%2Fwww.webofscience.com%2Fwos%2Fwoscc%2Ffull-record%2FWOS:001624726800001","View Full Record in Web of Science")</f>
        <v>View Full Record in Web of Science</v>
      </c>
    </row>
    <row r="825" ht="12.75" customHeight="1">
      <c r="A825" s="1" t="s">
        <v>72</v>
      </c>
      <c r="B825" s="1" t="s">
        <v>7298</v>
      </c>
      <c r="C825" s="1" t="s">
        <v>74</v>
      </c>
      <c r="D825" s="1" t="s">
        <v>74</v>
      </c>
      <c r="E825" s="1" t="s">
        <v>74</v>
      </c>
      <c r="F825" s="1" t="s">
        <v>7299</v>
      </c>
      <c r="G825" s="1" t="s">
        <v>74</v>
      </c>
      <c r="H825" s="1" t="s">
        <v>74</v>
      </c>
      <c r="I825" s="1" t="s">
        <v>7300</v>
      </c>
      <c r="J825" s="1" t="s">
        <v>2868</v>
      </c>
      <c r="K825" s="1" t="s">
        <v>74</v>
      </c>
      <c r="L825" s="1" t="s">
        <v>74</v>
      </c>
      <c r="M825" s="1" t="s">
        <v>74</v>
      </c>
      <c r="N825" s="1" t="s">
        <v>78</v>
      </c>
      <c r="O825" s="1" t="s">
        <v>74</v>
      </c>
      <c r="P825" s="1" t="s">
        <v>74</v>
      </c>
      <c r="Q825" s="1" t="s">
        <v>74</v>
      </c>
      <c r="R825" s="1" t="s">
        <v>74</v>
      </c>
      <c r="S825" s="1" t="s">
        <v>74</v>
      </c>
      <c r="T825" s="1" t="s">
        <v>7301</v>
      </c>
      <c r="U825" s="1" t="s">
        <v>7302</v>
      </c>
      <c r="V825" s="1" t="s">
        <v>7303</v>
      </c>
      <c r="W825" s="1" t="s">
        <v>74</v>
      </c>
      <c r="X825" s="1" t="s">
        <v>74</v>
      </c>
      <c r="Y825" s="1" t="s">
        <v>74</v>
      </c>
      <c r="Z825" s="1" t="s">
        <v>74</v>
      </c>
      <c r="AA825" s="1" t="s">
        <v>74</v>
      </c>
      <c r="AB825" s="1" t="s">
        <v>74</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2871</v>
      </c>
      <c r="AP825" s="1" t="s">
        <v>2872</v>
      </c>
      <c r="AQ825" s="1" t="s">
        <v>74</v>
      </c>
      <c r="AR825" s="1" t="s">
        <v>74</v>
      </c>
      <c r="AS825" s="1" t="s">
        <v>74</v>
      </c>
      <c r="AT825" s="1" t="s">
        <v>688</v>
      </c>
      <c r="AU825" s="1">
        <v>2026.0</v>
      </c>
      <c r="AV825" s="1">
        <v>63.0</v>
      </c>
      <c r="AW825" s="1">
        <v>2.0</v>
      </c>
      <c r="AX825" s="1" t="s">
        <v>110</v>
      </c>
      <c r="AY825" s="1" t="s">
        <v>74</v>
      </c>
      <c r="AZ825" s="1" t="s">
        <v>74</v>
      </c>
      <c r="BA825" s="1" t="s">
        <v>74</v>
      </c>
      <c r="BB825" s="1" t="s">
        <v>74</v>
      </c>
      <c r="BC825" s="1" t="s">
        <v>74</v>
      </c>
      <c r="BD825" s="1">
        <v>104466.0</v>
      </c>
      <c r="BE825" s="1" t="s">
        <v>7304</v>
      </c>
      <c r="BF825" s="2" t="str">
        <f>HYPERLINK("http://dx.doi.org/10.1016/j.ipm.2025.104466","http://dx.doi.org/10.1016/j.ipm.2025.104466")</f>
        <v>http://dx.doi.org/10.1016/j.ipm.2025.104466</v>
      </c>
      <c r="BG825" s="1" t="s">
        <v>74</v>
      </c>
      <c r="BH825" s="1" t="s">
        <v>255</v>
      </c>
      <c r="BI825" s="1" t="s">
        <v>74</v>
      </c>
      <c r="BJ825" s="1" t="s">
        <v>74</v>
      </c>
      <c r="BK825" s="1" t="s">
        <v>74</v>
      </c>
      <c r="BL825" s="1" t="s">
        <v>2874</v>
      </c>
      <c r="BM825" s="1" t="s">
        <v>74</v>
      </c>
      <c r="BN825" s="1" t="s">
        <v>74</v>
      </c>
      <c r="BO825" s="1" t="s">
        <v>74</v>
      </c>
      <c r="BP825" s="1" t="s">
        <v>74</v>
      </c>
      <c r="BQ825" s="1" t="s">
        <v>74</v>
      </c>
      <c r="BR825" s="1" t="s">
        <v>74</v>
      </c>
      <c r="BS825" s="1" t="s">
        <v>7305</v>
      </c>
      <c r="BT825" s="1" t="str">
        <f>HYPERLINK("https%3A%2F%2Fwww.webofscience.com%2Fwos%2Fwoscc%2Ffull-record%2FWOS:001613649700002","View Full Record in Web of Science")</f>
        <v>View Full Record in Web of Science</v>
      </c>
    </row>
    <row r="826" ht="12.75" customHeight="1">
      <c r="A826" s="1" t="s">
        <v>72</v>
      </c>
      <c r="B826" s="1" t="s">
        <v>7306</v>
      </c>
      <c r="C826" s="1" t="s">
        <v>74</v>
      </c>
      <c r="D826" s="1" t="s">
        <v>74</v>
      </c>
      <c r="E826" s="1" t="s">
        <v>74</v>
      </c>
      <c r="F826" s="1" t="s">
        <v>7307</v>
      </c>
      <c r="G826" s="1" t="s">
        <v>74</v>
      </c>
      <c r="H826" s="1" t="s">
        <v>74</v>
      </c>
      <c r="I826" s="1" t="s">
        <v>7308</v>
      </c>
      <c r="J826" s="1" t="s">
        <v>2868</v>
      </c>
      <c r="K826" s="1" t="s">
        <v>74</v>
      </c>
      <c r="L826" s="1" t="s">
        <v>74</v>
      </c>
      <c r="M826" s="1" t="s">
        <v>74</v>
      </c>
      <c r="N826" s="1" t="s">
        <v>78</v>
      </c>
      <c r="O826" s="1" t="s">
        <v>74</v>
      </c>
      <c r="P826" s="1" t="s">
        <v>74</v>
      </c>
      <c r="Q826" s="1" t="s">
        <v>74</v>
      </c>
      <c r="R826" s="1" t="s">
        <v>74</v>
      </c>
      <c r="S826" s="1" t="s">
        <v>74</v>
      </c>
      <c r="T826" s="1" t="s">
        <v>7309</v>
      </c>
      <c r="U826" s="1" t="s">
        <v>7310</v>
      </c>
      <c r="V826" s="1" t="s">
        <v>7311</v>
      </c>
      <c r="W826" s="1" t="s">
        <v>74</v>
      </c>
      <c r="X826" s="1" t="s">
        <v>74</v>
      </c>
      <c r="Y826" s="1" t="s">
        <v>74</v>
      </c>
      <c r="Z826" s="1" t="s">
        <v>74</v>
      </c>
      <c r="AA826" s="1" t="s">
        <v>74</v>
      </c>
      <c r="AB826" s="1" t="s">
        <v>74</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2871</v>
      </c>
      <c r="AP826" s="1" t="s">
        <v>2872</v>
      </c>
      <c r="AQ826" s="1" t="s">
        <v>74</v>
      </c>
      <c r="AR826" s="1" t="s">
        <v>74</v>
      </c>
      <c r="AS826" s="1" t="s">
        <v>74</v>
      </c>
      <c r="AT826" s="1" t="s">
        <v>172</v>
      </c>
      <c r="AU826" s="1">
        <v>2025.0</v>
      </c>
      <c r="AV826" s="1">
        <v>62.0</v>
      </c>
      <c r="AW826" s="1">
        <v>6.0</v>
      </c>
      <c r="AX826" s="1" t="s">
        <v>74</v>
      </c>
      <c r="AY826" s="1" t="s">
        <v>74</v>
      </c>
      <c r="AZ826" s="1" t="s">
        <v>74</v>
      </c>
      <c r="BA826" s="1" t="s">
        <v>74</v>
      </c>
      <c r="BB826" s="1" t="s">
        <v>74</v>
      </c>
      <c r="BC826" s="1" t="s">
        <v>74</v>
      </c>
      <c r="BD826" s="1">
        <v>104223.0</v>
      </c>
      <c r="BE826" s="1" t="s">
        <v>7312</v>
      </c>
      <c r="BF826" s="2" t="str">
        <f>HYPERLINK("http://dx.doi.org/10.1016/j.ipm.2025.104223","http://dx.doi.org/10.1016/j.ipm.2025.104223")</f>
        <v>http://dx.doi.org/10.1016/j.ipm.2025.104223</v>
      </c>
      <c r="BG826" s="1" t="s">
        <v>74</v>
      </c>
      <c r="BH826" s="1" t="s">
        <v>112</v>
      </c>
      <c r="BI826" s="1" t="s">
        <v>74</v>
      </c>
      <c r="BJ826" s="1" t="s">
        <v>74</v>
      </c>
      <c r="BK826" s="1" t="s">
        <v>74</v>
      </c>
      <c r="BL826" s="1" t="s">
        <v>2874</v>
      </c>
      <c r="BM826" s="1" t="s">
        <v>74</v>
      </c>
      <c r="BN826" s="1" t="s">
        <v>74</v>
      </c>
      <c r="BO826" s="1" t="s">
        <v>114</v>
      </c>
      <c r="BP826" s="1" t="s">
        <v>74</v>
      </c>
      <c r="BQ826" s="1" t="s">
        <v>74</v>
      </c>
      <c r="BR826" s="1" t="s">
        <v>74</v>
      </c>
      <c r="BS826" s="1" t="s">
        <v>7313</v>
      </c>
      <c r="BT826" s="1" t="str">
        <f>HYPERLINK("https%3A%2F%2Fwww.webofscience.com%2Fwos%2Fwoscc%2Ffull-record%2FWOS:001513349000002","View Full Record in Web of Science")</f>
        <v>View Full Record in Web of Science</v>
      </c>
    </row>
    <row r="827" ht="12.75" customHeight="1">
      <c r="A827" s="1" t="s">
        <v>72</v>
      </c>
      <c r="B827" s="1" t="s">
        <v>7314</v>
      </c>
      <c r="C827" s="1" t="s">
        <v>74</v>
      </c>
      <c r="D827" s="1" t="s">
        <v>74</v>
      </c>
      <c r="E827" s="1" t="s">
        <v>74</v>
      </c>
      <c r="F827" s="1" t="s">
        <v>7315</v>
      </c>
      <c r="G827" s="1" t="s">
        <v>74</v>
      </c>
      <c r="H827" s="1" t="s">
        <v>74</v>
      </c>
      <c r="I827" s="1" t="s">
        <v>7316</v>
      </c>
      <c r="J827" s="1" t="s">
        <v>2378</v>
      </c>
      <c r="K827" s="1" t="s">
        <v>74</v>
      </c>
      <c r="L827" s="1" t="s">
        <v>74</v>
      </c>
      <c r="M827" s="1" t="s">
        <v>74</v>
      </c>
      <c r="N827" s="1" t="s">
        <v>78</v>
      </c>
      <c r="O827" s="1" t="s">
        <v>74</v>
      </c>
      <c r="P827" s="1" t="s">
        <v>74</v>
      </c>
      <c r="Q827" s="1" t="s">
        <v>74</v>
      </c>
      <c r="R827" s="1" t="s">
        <v>74</v>
      </c>
      <c r="S827" s="1" t="s">
        <v>74</v>
      </c>
      <c r="T827" s="1" t="s">
        <v>7317</v>
      </c>
      <c r="U827" s="1" t="s">
        <v>7318</v>
      </c>
      <c r="V827" s="1" t="s">
        <v>7319</v>
      </c>
      <c r="W827" s="1" t="s">
        <v>74</v>
      </c>
      <c r="X827" s="1" t="s">
        <v>74</v>
      </c>
      <c r="Y827" s="1" t="s">
        <v>74</v>
      </c>
      <c r="Z827" s="1" t="s">
        <v>74</v>
      </c>
      <c r="AA827" s="1" t="s">
        <v>74</v>
      </c>
      <c r="AB827" s="1" t="s">
        <v>74</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2382</v>
      </c>
      <c r="AP827" s="1" t="s">
        <v>2383</v>
      </c>
      <c r="AQ827" s="1" t="s">
        <v>74</v>
      </c>
      <c r="AR827" s="1" t="s">
        <v>74</v>
      </c>
      <c r="AS827" s="1" t="s">
        <v>74</v>
      </c>
      <c r="AT827" s="1" t="s">
        <v>1378</v>
      </c>
      <c r="AU827" s="1">
        <v>2025.0</v>
      </c>
      <c r="AV827" s="1">
        <v>37.0</v>
      </c>
      <c r="AW827" s="1">
        <v>8.0</v>
      </c>
      <c r="AX827" s="1" t="s">
        <v>74</v>
      </c>
      <c r="AY827" s="1" t="s">
        <v>74</v>
      </c>
      <c r="AZ827" s="1" t="s">
        <v>74</v>
      </c>
      <c r="BA827" s="1" t="s">
        <v>74</v>
      </c>
      <c r="BB827" s="1" t="s">
        <v>74</v>
      </c>
      <c r="BC827" s="1" t="s">
        <v>74</v>
      </c>
      <c r="BD827" s="1">
        <v>252.0</v>
      </c>
      <c r="BE827" s="1" t="s">
        <v>7320</v>
      </c>
      <c r="BF827" s="2" t="str">
        <f>HYPERLINK("http://dx.doi.org/10.1007/s44443-025-00267-0","http://dx.doi.org/10.1007/s44443-025-00267-0")</f>
        <v>http://dx.doi.org/10.1007/s44443-025-00267-0</v>
      </c>
      <c r="BG827" s="1" t="s">
        <v>74</v>
      </c>
      <c r="BH827" s="1" t="s">
        <v>74</v>
      </c>
      <c r="BI827" s="1" t="s">
        <v>74</v>
      </c>
      <c r="BJ827" s="1" t="s">
        <v>74</v>
      </c>
      <c r="BK827" s="1" t="s">
        <v>74</v>
      </c>
      <c r="BL827" s="1" t="s">
        <v>174</v>
      </c>
      <c r="BM827" s="1" t="s">
        <v>74</v>
      </c>
      <c r="BN827" s="1" t="s">
        <v>74</v>
      </c>
      <c r="BO827" s="1" t="s">
        <v>163</v>
      </c>
      <c r="BP827" s="1" t="s">
        <v>74</v>
      </c>
      <c r="BQ827" s="1" t="s">
        <v>74</v>
      </c>
      <c r="BR827" s="1" t="s">
        <v>74</v>
      </c>
      <c r="BS827" s="1" t="s">
        <v>7321</v>
      </c>
      <c r="BT827" s="1" t="str">
        <f>HYPERLINK("https%3A%2F%2Fwww.webofscience.com%2Fwos%2Fwoscc%2Ffull-record%2FWOS:001593172200002","View Full Record in Web of Science")</f>
        <v>View Full Record in Web of Science</v>
      </c>
    </row>
    <row r="828" ht="12.75" customHeight="1">
      <c r="A828" s="1" t="s">
        <v>72</v>
      </c>
      <c r="B828" s="1" t="s">
        <v>7322</v>
      </c>
      <c r="C828" s="1" t="s">
        <v>74</v>
      </c>
      <c r="D828" s="1" t="s">
        <v>74</v>
      </c>
      <c r="E828" s="1" t="s">
        <v>74</v>
      </c>
      <c r="F828" s="1" t="s">
        <v>7323</v>
      </c>
      <c r="G828" s="1" t="s">
        <v>74</v>
      </c>
      <c r="H828" s="1" t="s">
        <v>74</v>
      </c>
      <c r="I828" s="1" t="s">
        <v>7324</v>
      </c>
      <c r="J828" s="1" t="s">
        <v>7325</v>
      </c>
      <c r="K828" s="1" t="s">
        <v>74</v>
      </c>
      <c r="L828" s="1" t="s">
        <v>74</v>
      </c>
      <c r="M828" s="1" t="s">
        <v>74</v>
      </c>
      <c r="N828" s="1" t="s">
        <v>78</v>
      </c>
      <c r="O828" s="1" t="s">
        <v>74</v>
      </c>
      <c r="P828" s="1" t="s">
        <v>74</v>
      </c>
      <c r="Q828" s="1" t="s">
        <v>74</v>
      </c>
      <c r="R828" s="1" t="s">
        <v>74</v>
      </c>
      <c r="S828" s="1" t="s">
        <v>74</v>
      </c>
      <c r="T828" s="1" t="s">
        <v>7326</v>
      </c>
      <c r="U828" s="1" t="s">
        <v>7327</v>
      </c>
      <c r="V828" s="1" t="s">
        <v>7328</v>
      </c>
      <c r="W828" s="1" t="s">
        <v>74</v>
      </c>
      <c r="X828" s="1" t="s">
        <v>74</v>
      </c>
      <c r="Y828" s="1" t="s">
        <v>74</v>
      </c>
      <c r="Z828" s="1" t="s">
        <v>74</v>
      </c>
      <c r="AA828" s="1" t="s">
        <v>74</v>
      </c>
      <c r="AB828" s="1" t="s">
        <v>74</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7329</v>
      </c>
      <c r="AP828" s="1" t="s">
        <v>74</v>
      </c>
      <c r="AQ828" s="1" t="s">
        <v>74</v>
      </c>
      <c r="AR828" s="1" t="s">
        <v>74</v>
      </c>
      <c r="AS828" s="1" t="s">
        <v>74</v>
      </c>
      <c r="AT828" s="1" t="s">
        <v>7330</v>
      </c>
      <c r="AU828" s="1">
        <v>2024.0</v>
      </c>
      <c r="AV828" s="1">
        <v>18.0</v>
      </c>
      <c r="AW828" s="1" t="s">
        <v>74</v>
      </c>
      <c r="AX828" s="1" t="s">
        <v>74</v>
      </c>
      <c r="AY828" s="1" t="s">
        <v>74</v>
      </c>
      <c r="AZ828" s="1" t="s">
        <v>74</v>
      </c>
      <c r="BA828" s="1" t="s">
        <v>74</v>
      </c>
      <c r="BB828" s="1" t="s">
        <v>74</v>
      </c>
      <c r="BC828" s="1" t="s">
        <v>74</v>
      </c>
      <c r="BD828" s="1">
        <v>1396359.0</v>
      </c>
      <c r="BE828" s="1" t="s">
        <v>7331</v>
      </c>
      <c r="BF828" s="2" t="str">
        <f>HYPERLINK("http://dx.doi.org/10.3389/fnbot.2024.1396359","http://dx.doi.org/10.3389/fnbot.2024.1396359")</f>
        <v>http://dx.doi.org/10.3389/fnbot.2024.1396359</v>
      </c>
      <c r="BG828" s="1" t="s">
        <v>74</v>
      </c>
      <c r="BH828" s="1" t="s">
        <v>74</v>
      </c>
      <c r="BI828" s="1" t="s">
        <v>74</v>
      </c>
      <c r="BJ828" s="1" t="s">
        <v>74</v>
      </c>
      <c r="BK828" s="1" t="s">
        <v>74</v>
      </c>
      <c r="BL828" s="1" t="s">
        <v>2815</v>
      </c>
      <c r="BM828" s="1" t="s">
        <v>74</v>
      </c>
      <c r="BN828" s="1" t="s">
        <v>74</v>
      </c>
      <c r="BO828" s="1" t="s">
        <v>153</v>
      </c>
      <c r="BP828" s="1" t="s">
        <v>74</v>
      </c>
      <c r="BQ828" s="1" t="s">
        <v>74</v>
      </c>
      <c r="BR828" s="1" t="s">
        <v>74</v>
      </c>
      <c r="BS828" s="1" t="s">
        <v>7332</v>
      </c>
      <c r="BT828" s="1" t="str">
        <f>HYPERLINK("https%3A%2F%2Fwww.webofscience.com%2Fwos%2Fwoscc%2Ffull-record%2FWOS:001338395800001","View Full Record in Web of Science")</f>
        <v>View Full Record in Web of Science</v>
      </c>
    </row>
    <row r="829" ht="12.75" customHeight="1">
      <c r="A829" s="1" t="s">
        <v>72</v>
      </c>
      <c r="B829" s="1" t="s">
        <v>7333</v>
      </c>
      <c r="C829" s="1" t="s">
        <v>74</v>
      </c>
      <c r="D829" s="1" t="s">
        <v>74</v>
      </c>
      <c r="E829" s="1" t="s">
        <v>74</v>
      </c>
      <c r="F829" s="1" t="s">
        <v>7334</v>
      </c>
      <c r="G829" s="1" t="s">
        <v>74</v>
      </c>
      <c r="H829" s="1" t="s">
        <v>74</v>
      </c>
      <c r="I829" s="1" t="s">
        <v>7335</v>
      </c>
      <c r="J829" s="1" t="s">
        <v>1580</v>
      </c>
      <c r="K829" s="1" t="s">
        <v>74</v>
      </c>
      <c r="L829" s="1" t="s">
        <v>74</v>
      </c>
      <c r="M829" s="1" t="s">
        <v>74</v>
      </c>
      <c r="N829" s="1" t="s">
        <v>78</v>
      </c>
      <c r="O829" s="1" t="s">
        <v>74</v>
      </c>
      <c r="P829" s="1" t="s">
        <v>74</v>
      </c>
      <c r="Q829" s="1" t="s">
        <v>74</v>
      </c>
      <c r="R829" s="1" t="s">
        <v>74</v>
      </c>
      <c r="S829" s="1" t="s">
        <v>74</v>
      </c>
      <c r="T829" s="1" t="s">
        <v>7336</v>
      </c>
      <c r="U829" s="1" t="s">
        <v>7337</v>
      </c>
      <c r="V829" s="1" t="s">
        <v>7338</v>
      </c>
      <c r="W829" s="1" t="s">
        <v>74</v>
      </c>
      <c r="X829" s="1" t="s">
        <v>74</v>
      </c>
      <c r="Y829" s="1" t="s">
        <v>74</v>
      </c>
      <c r="Z829" s="1" t="s">
        <v>74</v>
      </c>
      <c r="AA829" s="1" t="s">
        <v>74</v>
      </c>
      <c r="AB829" s="1" t="s">
        <v>74</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1583</v>
      </c>
      <c r="AP829" s="1" t="s">
        <v>1584</v>
      </c>
      <c r="AQ829" s="1" t="s">
        <v>74</v>
      </c>
      <c r="AR829" s="1" t="s">
        <v>74</v>
      </c>
      <c r="AS829" s="1" t="s">
        <v>74</v>
      </c>
      <c r="AT829" s="1" t="s">
        <v>688</v>
      </c>
      <c r="AU829" s="1">
        <v>2025.0</v>
      </c>
      <c r="AV829" s="1">
        <v>171.0</v>
      </c>
      <c r="AW829" s="1" t="s">
        <v>74</v>
      </c>
      <c r="AX829" s="1" t="s">
        <v>74</v>
      </c>
      <c r="AY829" s="1" t="s">
        <v>74</v>
      </c>
      <c r="AZ829" s="1" t="s">
        <v>74</v>
      </c>
      <c r="BA829" s="1" t="s">
        <v>74</v>
      </c>
      <c r="BB829" s="1" t="s">
        <v>74</v>
      </c>
      <c r="BC829" s="1" t="s">
        <v>74</v>
      </c>
      <c r="BD829" s="1">
        <v>112743.0</v>
      </c>
      <c r="BE829" s="1" t="s">
        <v>7339</v>
      </c>
      <c r="BF829" s="2" t="str">
        <f>HYPERLINK("http://dx.doi.org/10.1016/j.asoc.2025.112743","http://dx.doi.org/10.1016/j.asoc.2025.112743")</f>
        <v>http://dx.doi.org/10.1016/j.asoc.2025.112743</v>
      </c>
      <c r="BG829" s="1" t="s">
        <v>74</v>
      </c>
      <c r="BH829" s="1" t="s">
        <v>141</v>
      </c>
      <c r="BI829" s="1" t="s">
        <v>74</v>
      </c>
      <c r="BJ829" s="1" t="s">
        <v>74</v>
      </c>
      <c r="BK829" s="1" t="s">
        <v>74</v>
      </c>
      <c r="BL829" s="1" t="s">
        <v>174</v>
      </c>
      <c r="BM829" s="1" t="s">
        <v>74</v>
      </c>
      <c r="BN829" s="1" t="s">
        <v>74</v>
      </c>
      <c r="BO829" s="1" t="s">
        <v>114</v>
      </c>
      <c r="BP829" s="1" t="s">
        <v>74</v>
      </c>
      <c r="BQ829" s="1" t="s">
        <v>74</v>
      </c>
      <c r="BR829" s="1" t="s">
        <v>74</v>
      </c>
      <c r="BS829" s="1" t="s">
        <v>7340</v>
      </c>
      <c r="BT829" s="1" t="str">
        <f>HYPERLINK("https%3A%2F%2Fwww.webofscience.com%2Fwos%2Fwoscc%2Ffull-record%2FWOS:001408112500001","View Full Record in Web of Science")</f>
        <v>View Full Record in Web of Science</v>
      </c>
    </row>
    <row r="830" ht="12.75" customHeight="1">
      <c r="A830" s="1" t="s">
        <v>72</v>
      </c>
      <c r="B830" s="1" t="s">
        <v>7341</v>
      </c>
      <c r="C830" s="1" t="s">
        <v>74</v>
      </c>
      <c r="D830" s="1" t="s">
        <v>74</v>
      </c>
      <c r="E830" s="1" t="s">
        <v>74</v>
      </c>
      <c r="F830" s="1" t="s">
        <v>7342</v>
      </c>
      <c r="G830" s="1" t="s">
        <v>74</v>
      </c>
      <c r="H830" s="1" t="s">
        <v>74</v>
      </c>
      <c r="I830" s="1" t="s">
        <v>7343</v>
      </c>
      <c r="J830" s="1" t="s">
        <v>1822</v>
      </c>
      <c r="K830" s="1" t="s">
        <v>74</v>
      </c>
      <c r="L830" s="1" t="s">
        <v>74</v>
      </c>
      <c r="M830" s="1" t="s">
        <v>74</v>
      </c>
      <c r="N830" s="1" t="s">
        <v>78</v>
      </c>
      <c r="O830" s="1" t="s">
        <v>74</v>
      </c>
      <c r="P830" s="1" t="s">
        <v>74</v>
      </c>
      <c r="Q830" s="1" t="s">
        <v>74</v>
      </c>
      <c r="R830" s="1" t="s">
        <v>74</v>
      </c>
      <c r="S830" s="1" t="s">
        <v>74</v>
      </c>
      <c r="T830" s="1" t="s">
        <v>7344</v>
      </c>
      <c r="U830" s="1" t="s">
        <v>74</v>
      </c>
      <c r="V830" s="1" t="s">
        <v>7345</v>
      </c>
      <c r="W830" s="1" t="s">
        <v>74</v>
      </c>
      <c r="X830" s="1" t="s">
        <v>74</v>
      </c>
      <c r="Y830" s="1" t="s">
        <v>74</v>
      </c>
      <c r="Z830" s="1" t="s">
        <v>74</v>
      </c>
      <c r="AA830" s="1" t="s">
        <v>74</v>
      </c>
      <c r="AB830" s="1" t="s">
        <v>74</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74</v>
      </c>
      <c r="AP830" s="1" t="s">
        <v>1825</v>
      </c>
      <c r="AQ830" s="1" t="s">
        <v>74</v>
      </c>
      <c r="AR830" s="1" t="s">
        <v>74</v>
      </c>
      <c r="AS830" s="1" t="s">
        <v>74</v>
      </c>
      <c r="AT830" s="1" t="s">
        <v>74</v>
      </c>
      <c r="AU830" s="1">
        <v>2026.0</v>
      </c>
      <c r="AV830" s="1">
        <v>7.0</v>
      </c>
      <c r="AW830" s="1" t="s">
        <v>74</v>
      </c>
      <c r="AX830" s="1" t="s">
        <v>74</v>
      </c>
      <c r="AY830" s="1" t="s">
        <v>74</v>
      </c>
      <c r="AZ830" s="1" t="s">
        <v>74</v>
      </c>
      <c r="BA830" s="1" t="s">
        <v>74</v>
      </c>
      <c r="BB830" s="1">
        <v>16.0</v>
      </c>
      <c r="BC830" s="1">
        <v>28.0</v>
      </c>
      <c r="BD830" s="1" t="s">
        <v>74</v>
      </c>
      <c r="BE830" s="1" t="s">
        <v>7346</v>
      </c>
      <c r="BF830" s="2" t="str">
        <f>HYPERLINK("http://dx.doi.org/10.1109/OJITS.2025.3640002","http://dx.doi.org/10.1109/OJITS.2025.3640002")</f>
        <v>http://dx.doi.org/10.1109/OJITS.2025.3640002</v>
      </c>
      <c r="BG830" s="1" t="s">
        <v>74</v>
      </c>
      <c r="BH830" s="1" t="s">
        <v>74</v>
      </c>
      <c r="BI830" s="1" t="s">
        <v>74</v>
      </c>
      <c r="BJ830" s="1" t="s">
        <v>74</v>
      </c>
      <c r="BK830" s="1" t="s">
        <v>74</v>
      </c>
      <c r="BL830" s="1" t="s">
        <v>426</v>
      </c>
      <c r="BM830" s="1" t="s">
        <v>74</v>
      </c>
      <c r="BN830" s="1" t="s">
        <v>74</v>
      </c>
      <c r="BO830" s="1" t="s">
        <v>163</v>
      </c>
      <c r="BP830" s="1" t="s">
        <v>74</v>
      </c>
      <c r="BQ830" s="1" t="s">
        <v>74</v>
      </c>
      <c r="BR830" s="1" t="s">
        <v>74</v>
      </c>
      <c r="BS830" s="1" t="s">
        <v>7347</v>
      </c>
      <c r="BT830" s="1" t="str">
        <f>HYPERLINK("https%3A%2F%2Fwww.webofscience.com%2Fwos%2Fwoscc%2Ffull-record%2FWOS:001641458900001","View Full Record in Web of Science")</f>
        <v>View Full Record in Web of Science</v>
      </c>
    </row>
    <row r="831" ht="12.75" customHeight="1">
      <c r="A831" s="1" t="s">
        <v>72</v>
      </c>
      <c r="B831" s="1" t="s">
        <v>7348</v>
      </c>
      <c r="C831" s="1" t="s">
        <v>74</v>
      </c>
      <c r="D831" s="1" t="s">
        <v>74</v>
      </c>
      <c r="E831" s="1" t="s">
        <v>74</v>
      </c>
      <c r="F831" s="1" t="s">
        <v>7349</v>
      </c>
      <c r="G831" s="1" t="s">
        <v>74</v>
      </c>
      <c r="H831" s="1" t="s">
        <v>74</v>
      </c>
      <c r="I831" s="1" t="s">
        <v>7350</v>
      </c>
      <c r="J831" s="1" t="s">
        <v>1021</v>
      </c>
      <c r="K831" s="1" t="s">
        <v>74</v>
      </c>
      <c r="L831" s="1" t="s">
        <v>74</v>
      </c>
      <c r="M831" s="1" t="s">
        <v>74</v>
      </c>
      <c r="N831" s="1" t="s">
        <v>78</v>
      </c>
      <c r="O831" s="1" t="s">
        <v>74</v>
      </c>
      <c r="P831" s="1" t="s">
        <v>74</v>
      </c>
      <c r="Q831" s="1" t="s">
        <v>74</v>
      </c>
      <c r="R831" s="1" t="s">
        <v>74</v>
      </c>
      <c r="S831" s="1" t="s">
        <v>74</v>
      </c>
      <c r="T831" s="1" t="s">
        <v>7351</v>
      </c>
      <c r="U831" s="1" t="s">
        <v>74</v>
      </c>
      <c r="V831" s="1" t="s">
        <v>7352</v>
      </c>
      <c r="W831" s="1" t="s">
        <v>74</v>
      </c>
      <c r="X831" s="1" t="s">
        <v>74</v>
      </c>
      <c r="Y831" s="1" t="s">
        <v>74</v>
      </c>
      <c r="Z831" s="1" t="s">
        <v>74</v>
      </c>
      <c r="AA831" s="1" t="s">
        <v>74</v>
      </c>
      <c r="AB831" s="1" t="s">
        <v>74</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1025</v>
      </c>
      <c r="AP831" s="1" t="s">
        <v>1026</v>
      </c>
      <c r="AQ831" s="1" t="s">
        <v>74</v>
      </c>
      <c r="AR831" s="1" t="s">
        <v>74</v>
      </c>
      <c r="AS831" s="1" t="s">
        <v>74</v>
      </c>
      <c r="AT831" s="1" t="s">
        <v>225</v>
      </c>
      <c r="AU831" s="1">
        <v>2025.0</v>
      </c>
      <c r="AV831" s="1">
        <v>42.0</v>
      </c>
      <c r="AW831" s="1">
        <v>7.0</v>
      </c>
      <c r="AX831" s="1" t="s">
        <v>74</v>
      </c>
      <c r="AY831" s="1" t="s">
        <v>74</v>
      </c>
      <c r="AZ831" s="1" t="s">
        <v>74</v>
      </c>
      <c r="BA831" s="1" t="s">
        <v>74</v>
      </c>
      <c r="BB831" s="1" t="s">
        <v>74</v>
      </c>
      <c r="BC831" s="1" t="s">
        <v>74</v>
      </c>
      <c r="BD831" s="1" t="s">
        <v>7353</v>
      </c>
      <c r="BE831" s="1" t="s">
        <v>7354</v>
      </c>
      <c r="BF831" s="2" t="str">
        <f>HYPERLINK("http://dx.doi.org/10.1111/exsy.70072","http://dx.doi.org/10.1111/exsy.70072")</f>
        <v>http://dx.doi.org/10.1111/exsy.70072</v>
      </c>
      <c r="BG831" s="1" t="s">
        <v>74</v>
      </c>
      <c r="BH831" s="1" t="s">
        <v>74</v>
      </c>
      <c r="BI831" s="1" t="s">
        <v>74</v>
      </c>
      <c r="BJ831" s="1" t="s">
        <v>74</v>
      </c>
      <c r="BK831" s="1" t="s">
        <v>74</v>
      </c>
      <c r="BL831" s="1" t="s">
        <v>174</v>
      </c>
      <c r="BM831" s="1" t="s">
        <v>74</v>
      </c>
      <c r="BN831" s="1" t="s">
        <v>74</v>
      </c>
      <c r="BO831" s="1" t="s">
        <v>576</v>
      </c>
      <c r="BP831" s="1" t="s">
        <v>74</v>
      </c>
      <c r="BQ831" s="1" t="s">
        <v>74</v>
      </c>
      <c r="BR831" s="1" t="s">
        <v>74</v>
      </c>
      <c r="BS831" s="1" t="s">
        <v>7355</v>
      </c>
      <c r="BT831" s="1" t="str">
        <f>HYPERLINK("https%3A%2F%2Fwww.webofscience.com%2Fwos%2Fwoscc%2Ffull-record%2FWOS:001509983800002","View Full Record in Web of Science")</f>
        <v>View Full Record in Web of Science</v>
      </c>
    </row>
    <row r="832" ht="12.75" customHeight="1">
      <c r="A832" s="1" t="s">
        <v>72</v>
      </c>
      <c r="B832" s="1" t="s">
        <v>7356</v>
      </c>
      <c r="C832" s="1" t="s">
        <v>74</v>
      </c>
      <c r="D832" s="1" t="s">
        <v>74</v>
      </c>
      <c r="E832" s="1" t="s">
        <v>74</v>
      </c>
      <c r="F832" s="1" t="s">
        <v>7357</v>
      </c>
      <c r="G832" s="1" t="s">
        <v>74</v>
      </c>
      <c r="H832" s="1" t="s">
        <v>74</v>
      </c>
      <c r="I832" s="1" t="s">
        <v>7358</v>
      </c>
      <c r="J832" s="1" t="s">
        <v>588</v>
      </c>
      <c r="K832" s="1" t="s">
        <v>74</v>
      </c>
      <c r="L832" s="1" t="s">
        <v>74</v>
      </c>
      <c r="M832" s="1" t="s">
        <v>74</v>
      </c>
      <c r="N832" s="1" t="s">
        <v>78</v>
      </c>
      <c r="O832" s="1" t="s">
        <v>74</v>
      </c>
      <c r="P832" s="1" t="s">
        <v>74</v>
      </c>
      <c r="Q832" s="1" t="s">
        <v>74</v>
      </c>
      <c r="R832" s="1" t="s">
        <v>74</v>
      </c>
      <c r="S832" s="1" t="s">
        <v>74</v>
      </c>
      <c r="T832" s="1" t="s">
        <v>74</v>
      </c>
      <c r="U832" s="1" t="s">
        <v>7359</v>
      </c>
      <c r="V832" s="1" t="s">
        <v>7360</v>
      </c>
      <c r="W832" s="1" t="s">
        <v>74</v>
      </c>
      <c r="X832" s="1" t="s">
        <v>74</v>
      </c>
      <c r="Y832" s="1" t="s">
        <v>74</v>
      </c>
      <c r="Z832" s="1" t="s">
        <v>74</v>
      </c>
      <c r="AA832" s="1" t="s">
        <v>74</v>
      </c>
      <c r="AB832" s="1" t="s">
        <v>74</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592</v>
      </c>
      <c r="AP832" s="1" t="s">
        <v>593</v>
      </c>
      <c r="AQ832" s="1" t="s">
        <v>74</v>
      </c>
      <c r="AR832" s="1" t="s">
        <v>74</v>
      </c>
      <c r="AS832" s="1" t="s">
        <v>74</v>
      </c>
      <c r="AT832" s="1" t="s">
        <v>274</v>
      </c>
      <c r="AU832" s="1">
        <v>2025.0</v>
      </c>
      <c r="AV832" s="1">
        <v>41.0</v>
      </c>
      <c r="AW832" s="1">
        <v>21.0</v>
      </c>
      <c r="AX832" s="1" t="s">
        <v>74</v>
      </c>
      <c r="AY832" s="1" t="s">
        <v>74</v>
      </c>
      <c r="AZ832" s="1" t="s">
        <v>74</v>
      </c>
      <c r="BA832" s="1" t="s">
        <v>74</v>
      </c>
      <c r="BB832" s="1">
        <v>13747.0</v>
      </c>
      <c r="BC832" s="1">
        <v>13770.0</v>
      </c>
      <c r="BD832" s="1" t="s">
        <v>74</v>
      </c>
      <c r="BE832" s="1" t="s">
        <v>7361</v>
      </c>
      <c r="BF832" s="2" t="str">
        <f>HYPERLINK("http://dx.doi.org/10.1080/10447318.2025.2476710","http://dx.doi.org/10.1080/10447318.2025.2476710")</f>
        <v>http://dx.doi.org/10.1080/10447318.2025.2476710</v>
      </c>
      <c r="BG832" s="1" t="s">
        <v>74</v>
      </c>
      <c r="BH832" s="1" t="s">
        <v>347</v>
      </c>
      <c r="BI832" s="1" t="s">
        <v>74</v>
      </c>
      <c r="BJ832" s="1" t="s">
        <v>74</v>
      </c>
      <c r="BK832" s="1" t="s">
        <v>74</v>
      </c>
      <c r="BL832" s="1" t="s">
        <v>98</v>
      </c>
      <c r="BM832" s="1" t="s">
        <v>74</v>
      </c>
      <c r="BN832" s="1" t="s">
        <v>74</v>
      </c>
      <c r="BO832" s="1" t="s">
        <v>383</v>
      </c>
      <c r="BP832" s="1" t="s">
        <v>74</v>
      </c>
      <c r="BQ832" s="1" t="s">
        <v>74</v>
      </c>
      <c r="BR832" s="1" t="s">
        <v>74</v>
      </c>
      <c r="BS832" s="1" t="s">
        <v>7362</v>
      </c>
      <c r="BT832" s="1" t="str">
        <f>HYPERLINK("https%3A%2F%2Fwww.webofscience.com%2Fwos%2Fwoscc%2Ffull-record%2FWOS:001451044000001","View Full Record in Web of Science")</f>
        <v>View Full Record in Web of Science</v>
      </c>
    </row>
    <row r="833" ht="12.75" customHeight="1">
      <c r="A833" s="1" t="s">
        <v>72</v>
      </c>
      <c r="B833" s="1" t="s">
        <v>7363</v>
      </c>
      <c r="C833" s="1" t="s">
        <v>74</v>
      </c>
      <c r="D833" s="1" t="s">
        <v>74</v>
      </c>
      <c r="E833" s="1" t="s">
        <v>74</v>
      </c>
      <c r="F833" s="1" t="s">
        <v>7364</v>
      </c>
      <c r="G833" s="1" t="s">
        <v>74</v>
      </c>
      <c r="H833" s="1" t="s">
        <v>74</v>
      </c>
      <c r="I833" s="1" t="s">
        <v>7365</v>
      </c>
      <c r="J833" s="1" t="s">
        <v>1531</v>
      </c>
      <c r="K833" s="1" t="s">
        <v>74</v>
      </c>
      <c r="L833" s="1" t="s">
        <v>74</v>
      </c>
      <c r="M833" s="1" t="s">
        <v>74</v>
      </c>
      <c r="N833" s="1" t="s">
        <v>78</v>
      </c>
      <c r="O833" s="1" t="s">
        <v>74</v>
      </c>
      <c r="P833" s="1" t="s">
        <v>74</v>
      </c>
      <c r="Q833" s="1" t="s">
        <v>74</v>
      </c>
      <c r="R833" s="1" t="s">
        <v>74</v>
      </c>
      <c r="S833" s="1" t="s">
        <v>74</v>
      </c>
      <c r="T833" s="1" t="s">
        <v>7366</v>
      </c>
      <c r="U833" s="1" t="s">
        <v>74</v>
      </c>
      <c r="V833" s="1" t="s">
        <v>7367</v>
      </c>
      <c r="W833" s="1" t="s">
        <v>74</v>
      </c>
      <c r="X833" s="1" t="s">
        <v>74</v>
      </c>
      <c r="Y833" s="1" t="s">
        <v>74</v>
      </c>
      <c r="Z833" s="1" t="s">
        <v>74</v>
      </c>
      <c r="AA833" s="1" t="s">
        <v>74</v>
      </c>
      <c r="AB833" s="1" t="s">
        <v>74</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1534</v>
      </c>
      <c r="AP833" s="1" t="s">
        <v>74</v>
      </c>
      <c r="AQ833" s="1" t="s">
        <v>74</v>
      </c>
      <c r="AR833" s="1" t="s">
        <v>74</v>
      </c>
      <c r="AS833" s="1" t="s">
        <v>74</v>
      </c>
      <c r="AT833" s="1" t="s">
        <v>74</v>
      </c>
      <c r="AU833" s="1">
        <v>2023.0</v>
      </c>
      <c r="AV833" s="1">
        <v>14.0</v>
      </c>
      <c r="AW833" s="1">
        <v>6.0</v>
      </c>
      <c r="AX833" s="1" t="s">
        <v>74</v>
      </c>
      <c r="AY833" s="1" t="s">
        <v>74</v>
      </c>
      <c r="AZ833" s="1" t="s">
        <v>74</v>
      </c>
      <c r="BA833" s="1" t="s">
        <v>74</v>
      </c>
      <c r="BB833" s="1">
        <v>1382.0</v>
      </c>
      <c r="BC833" s="1">
        <v>1389.0</v>
      </c>
      <c r="BD833" s="1" t="s">
        <v>74</v>
      </c>
      <c r="BE833" s="1" t="s">
        <v>7368</v>
      </c>
      <c r="BF833" s="2" t="str">
        <f>HYPERLINK("http://dx.doi.org/10.12720/jait.14.6.1382-1389","http://dx.doi.org/10.12720/jait.14.6.1382-1389")</f>
        <v>http://dx.doi.org/10.12720/jait.14.6.1382-1389</v>
      </c>
      <c r="BG833" s="1" t="s">
        <v>74</v>
      </c>
      <c r="BH833" s="1" t="s">
        <v>74</v>
      </c>
      <c r="BI833" s="1" t="s">
        <v>74</v>
      </c>
      <c r="BJ833" s="1" t="s">
        <v>74</v>
      </c>
      <c r="BK833" s="1" t="s">
        <v>74</v>
      </c>
      <c r="BL833" s="1" t="s">
        <v>174</v>
      </c>
      <c r="BM833" s="1" t="s">
        <v>74</v>
      </c>
      <c r="BN833" s="1" t="s">
        <v>74</v>
      </c>
      <c r="BO833" s="1" t="s">
        <v>163</v>
      </c>
      <c r="BP833" s="1" t="s">
        <v>74</v>
      </c>
      <c r="BQ833" s="1" t="s">
        <v>74</v>
      </c>
      <c r="BR833" s="1" t="s">
        <v>74</v>
      </c>
      <c r="BS833" s="1" t="s">
        <v>7369</v>
      </c>
      <c r="BT833" s="1" t="str">
        <f>HYPERLINK("https%3A%2F%2Fwww.webofscience.com%2Fwos%2Fwoscc%2Ffull-record%2FWOS:001167619100017","View Full Record in Web of Science")</f>
        <v>View Full Record in Web of Science</v>
      </c>
    </row>
    <row r="834" ht="12.75" customHeight="1">
      <c r="A834" s="1" t="s">
        <v>72</v>
      </c>
      <c r="B834" s="1" t="s">
        <v>7370</v>
      </c>
      <c r="C834" s="1" t="s">
        <v>74</v>
      </c>
      <c r="D834" s="1" t="s">
        <v>74</v>
      </c>
      <c r="E834" s="1" t="s">
        <v>74</v>
      </c>
      <c r="F834" s="1" t="s">
        <v>7371</v>
      </c>
      <c r="G834" s="1" t="s">
        <v>74</v>
      </c>
      <c r="H834" s="1" t="s">
        <v>74</v>
      </c>
      <c r="I834" s="1" t="s">
        <v>7372</v>
      </c>
      <c r="J834" s="1" t="s">
        <v>519</v>
      </c>
      <c r="K834" s="1" t="s">
        <v>74</v>
      </c>
      <c r="L834" s="1" t="s">
        <v>74</v>
      </c>
      <c r="M834" s="1" t="s">
        <v>74</v>
      </c>
      <c r="N834" s="1" t="s">
        <v>78</v>
      </c>
      <c r="O834" s="1" t="s">
        <v>74</v>
      </c>
      <c r="P834" s="1" t="s">
        <v>74</v>
      </c>
      <c r="Q834" s="1" t="s">
        <v>74</v>
      </c>
      <c r="R834" s="1" t="s">
        <v>74</v>
      </c>
      <c r="S834" s="1" t="s">
        <v>74</v>
      </c>
      <c r="T834" s="1" t="s">
        <v>7373</v>
      </c>
      <c r="U834" s="1" t="s">
        <v>5729</v>
      </c>
      <c r="V834" s="1" t="s">
        <v>7374</v>
      </c>
      <c r="W834" s="1" t="s">
        <v>74</v>
      </c>
      <c r="X834" s="1" t="s">
        <v>74</v>
      </c>
      <c r="Y834" s="1" t="s">
        <v>74</v>
      </c>
      <c r="Z834" s="1" t="s">
        <v>74</v>
      </c>
      <c r="AA834" s="1" t="s">
        <v>74</v>
      </c>
      <c r="AB834" s="1" t="s">
        <v>74</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523</v>
      </c>
      <c r="AP834" s="1" t="s">
        <v>524</v>
      </c>
      <c r="AQ834" s="1" t="s">
        <v>74</v>
      </c>
      <c r="AR834" s="1" t="s">
        <v>74</v>
      </c>
      <c r="AS834" s="1" t="s">
        <v>74</v>
      </c>
      <c r="AT834" s="1" t="s">
        <v>688</v>
      </c>
      <c r="AU834" s="1">
        <v>2026.0</v>
      </c>
      <c r="AV834" s="1">
        <v>127.0</v>
      </c>
      <c r="AW834" s="1" t="s">
        <v>74</v>
      </c>
      <c r="AX834" s="1" t="s">
        <v>1409</v>
      </c>
      <c r="AY834" s="1" t="s">
        <v>74</v>
      </c>
      <c r="AZ834" s="1" t="s">
        <v>74</v>
      </c>
      <c r="BA834" s="1" t="s">
        <v>74</v>
      </c>
      <c r="BB834" s="1" t="s">
        <v>74</v>
      </c>
      <c r="BC834" s="1" t="s">
        <v>74</v>
      </c>
      <c r="BD834" s="1">
        <v>103743.0</v>
      </c>
      <c r="BE834" s="1" t="s">
        <v>7375</v>
      </c>
      <c r="BF834" s="2" t="str">
        <f>HYPERLINK("http://dx.doi.org/10.1016/j.inffus.2025.103743","http://dx.doi.org/10.1016/j.inffus.2025.103743")</f>
        <v>http://dx.doi.org/10.1016/j.inffus.2025.103743</v>
      </c>
      <c r="BG834" s="1" t="s">
        <v>74</v>
      </c>
      <c r="BH834" s="1" t="s">
        <v>738</v>
      </c>
      <c r="BI834" s="1" t="s">
        <v>74</v>
      </c>
      <c r="BJ834" s="1" t="s">
        <v>74</v>
      </c>
      <c r="BK834" s="1" t="s">
        <v>74</v>
      </c>
      <c r="BL834" s="1" t="s">
        <v>174</v>
      </c>
      <c r="BM834" s="1" t="s">
        <v>74</v>
      </c>
      <c r="BN834" s="1" t="s">
        <v>74</v>
      </c>
      <c r="BO834" s="1" t="s">
        <v>74</v>
      </c>
      <c r="BP834" s="1" t="s">
        <v>74</v>
      </c>
      <c r="BQ834" s="1" t="s">
        <v>74</v>
      </c>
      <c r="BR834" s="1" t="s">
        <v>74</v>
      </c>
      <c r="BS834" s="1" t="s">
        <v>7376</v>
      </c>
      <c r="BT834" s="1" t="str">
        <f>HYPERLINK("https%3A%2F%2Fwww.webofscience.com%2Fwos%2Fwoscc%2Ffull-record%2FWOS:001582066300001","View Full Record in Web of Science")</f>
        <v>View Full Record in Web of Science</v>
      </c>
    </row>
    <row r="835" ht="12.75" customHeight="1">
      <c r="A835" s="1" t="s">
        <v>72</v>
      </c>
      <c r="B835" s="1" t="s">
        <v>7377</v>
      </c>
      <c r="C835" s="1" t="s">
        <v>74</v>
      </c>
      <c r="D835" s="1" t="s">
        <v>74</v>
      </c>
      <c r="E835" s="1" t="s">
        <v>74</v>
      </c>
      <c r="F835" s="1" t="s">
        <v>7378</v>
      </c>
      <c r="G835" s="1" t="s">
        <v>74</v>
      </c>
      <c r="H835" s="1" t="s">
        <v>74</v>
      </c>
      <c r="I835" s="1" t="s">
        <v>7379</v>
      </c>
      <c r="J835" s="1" t="s">
        <v>1580</v>
      </c>
      <c r="K835" s="1" t="s">
        <v>74</v>
      </c>
      <c r="L835" s="1" t="s">
        <v>74</v>
      </c>
      <c r="M835" s="1" t="s">
        <v>74</v>
      </c>
      <c r="N835" s="1" t="s">
        <v>78</v>
      </c>
      <c r="O835" s="1" t="s">
        <v>74</v>
      </c>
      <c r="P835" s="1" t="s">
        <v>74</v>
      </c>
      <c r="Q835" s="1" t="s">
        <v>74</v>
      </c>
      <c r="R835" s="1" t="s">
        <v>74</v>
      </c>
      <c r="S835" s="1" t="s">
        <v>74</v>
      </c>
      <c r="T835" s="1" t="s">
        <v>7380</v>
      </c>
      <c r="U835" s="1" t="s">
        <v>7381</v>
      </c>
      <c r="V835" s="1" t="s">
        <v>7382</v>
      </c>
      <c r="W835" s="1" t="s">
        <v>74</v>
      </c>
      <c r="X835" s="1" t="s">
        <v>74</v>
      </c>
      <c r="Y835" s="1" t="s">
        <v>74</v>
      </c>
      <c r="Z835" s="1" t="s">
        <v>74</v>
      </c>
      <c r="AA835" s="1" t="s">
        <v>74</v>
      </c>
      <c r="AB835" s="1" t="s">
        <v>74</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1583</v>
      </c>
      <c r="AP835" s="1" t="s">
        <v>1584</v>
      </c>
      <c r="AQ835" s="1" t="s">
        <v>74</v>
      </c>
      <c r="AR835" s="1" t="s">
        <v>74</v>
      </c>
      <c r="AS835" s="1" t="s">
        <v>74</v>
      </c>
      <c r="AT835" s="1" t="s">
        <v>200</v>
      </c>
      <c r="AU835" s="1">
        <v>2025.0</v>
      </c>
      <c r="AV835" s="1">
        <v>184.0</v>
      </c>
      <c r="AW835" s="1" t="s">
        <v>74</v>
      </c>
      <c r="AX835" s="1" t="s">
        <v>1409</v>
      </c>
      <c r="AY835" s="1" t="s">
        <v>74</v>
      </c>
      <c r="AZ835" s="1" t="s">
        <v>74</v>
      </c>
      <c r="BA835" s="1" t="s">
        <v>74</v>
      </c>
      <c r="BB835" s="1" t="s">
        <v>74</v>
      </c>
      <c r="BC835" s="1" t="s">
        <v>74</v>
      </c>
      <c r="BD835" s="1">
        <v>113684.0</v>
      </c>
      <c r="BE835" s="1" t="s">
        <v>7383</v>
      </c>
      <c r="BF835" s="2" t="str">
        <f>HYPERLINK("http://dx.doi.org/10.1016/j.asoc.2025.113684","http://dx.doi.org/10.1016/j.asoc.2025.113684")</f>
        <v>http://dx.doi.org/10.1016/j.asoc.2025.113684</v>
      </c>
      <c r="BG835" s="1" t="s">
        <v>74</v>
      </c>
      <c r="BH835" s="1" t="s">
        <v>276</v>
      </c>
      <c r="BI835" s="1" t="s">
        <v>74</v>
      </c>
      <c r="BJ835" s="1" t="s">
        <v>74</v>
      </c>
      <c r="BK835" s="1" t="s">
        <v>74</v>
      </c>
      <c r="BL835" s="1" t="s">
        <v>174</v>
      </c>
      <c r="BM835" s="1" t="s">
        <v>74</v>
      </c>
      <c r="BN835" s="1" t="s">
        <v>74</v>
      </c>
      <c r="BO835" s="1" t="s">
        <v>74</v>
      </c>
      <c r="BP835" s="1" t="s">
        <v>74</v>
      </c>
      <c r="BQ835" s="1" t="s">
        <v>74</v>
      </c>
      <c r="BR835" s="1" t="s">
        <v>74</v>
      </c>
      <c r="BS835" s="1" t="s">
        <v>7384</v>
      </c>
      <c r="BT835" s="1" t="str">
        <f>HYPERLINK("https%3A%2F%2Fwww.webofscience.com%2Fwos%2Fwoscc%2Ffull-record%2FWOS:001549714700003","View Full Record in Web of Science")</f>
        <v>View Full Record in Web of Science</v>
      </c>
    </row>
    <row r="836" ht="12.75" customHeight="1">
      <c r="A836" s="1" t="s">
        <v>72</v>
      </c>
      <c r="B836" s="1" t="s">
        <v>7385</v>
      </c>
      <c r="C836" s="1" t="s">
        <v>74</v>
      </c>
      <c r="D836" s="1" t="s">
        <v>74</v>
      </c>
      <c r="E836" s="1" t="s">
        <v>74</v>
      </c>
      <c r="F836" s="1" t="s">
        <v>7386</v>
      </c>
      <c r="G836" s="1" t="s">
        <v>74</v>
      </c>
      <c r="H836" s="1" t="s">
        <v>74</v>
      </c>
      <c r="I836" s="1" t="s">
        <v>7387</v>
      </c>
      <c r="J836" s="1" t="s">
        <v>588</v>
      </c>
      <c r="K836" s="1" t="s">
        <v>74</v>
      </c>
      <c r="L836" s="1" t="s">
        <v>74</v>
      </c>
      <c r="M836" s="1" t="s">
        <v>74</v>
      </c>
      <c r="N836" s="1" t="s">
        <v>953</v>
      </c>
      <c r="O836" s="1" t="s">
        <v>74</v>
      </c>
      <c r="P836" s="1" t="s">
        <v>74</v>
      </c>
      <c r="Q836" s="1" t="s">
        <v>74</v>
      </c>
      <c r="R836" s="1" t="s">
        <v>74</v>
      </c>
      <c r="S836" s="1" t="s">
        <v>74</v>
      </c>
      <c r="T836" s="1" t="s">
        <v>7388</v>
      </c>
      <c r="U836" s="1" t="s">
        <v>7389</v>
      </c>
      <c r="V836" s="1" t="s">
        <v>7390</v>
      </c>
      <c r="W836" s="1" t="s">
        <v>74</v>
      </c>
      <c r="X836" s="1" t="s">
        <v>74</v>
      </c>
      <c r="Y836" s="1" t="s">
        <v>74</v>
      </c>
      <c r="Z836" s="1" t="s">
        <v>74</v>
      </c>
      <c r="AA836" s="1" t="s">
        <v>74</v>
      </c>
      <c r="AB836" s="1" t="s">
        <v>74</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592</v>
      </c>
      <c r="AP836" s="1" t="s">
        <v>593</v>
      </c>
      <c r="AQ836" s="1" t="s">
        <v>74</v>
      </c>
      <c r="AR836" s="1" t="s">
        <v>74</v>
      </c>
      <c r="AS836" s="1" t="s">
        <v>74</v>
      </c>
      <c r="AT836" s="1" t="s">
        <v>7391</v>
      </c>
      <c r="AU836" s="1">
        <v>2025.0</v>
      </c>
      <c r="AV836" s="1" t="s">
        <v>74</v>
      </c>
      <c r="AW836" s="1" t="s">
        <v>74</v>
      </c>
      <c r="AX836" s="1" t="s">
        <v>74</v>
      </c>
      <c r="AY836" s="1" t="s">
        <v>74</v>
      </c>
      <c r="AZ836" s="1" t="s">
        <v>74</v>
      </c>
      <c r="BA836" s="1" t="s">
        <v>74</v>
      </c>
      <c r="BB836" s="1" t="s">
        <v>74</v>
      </c>
      <c r="BC836" s="1" t="s">
        <v>74</v>
      </c>
      <c r="BD836" s="1" t="s">
        <v>74</v>
      </c>
      <c r="BE836" s="1" t="s">
        <v>7392</v>
      </c>
      <c r="BF836" s="2" t="str">
        <f>HYPERLINK("http://dx.doi.org/10.1080/10447318.2025.2586086","http://dx.doi.org/10.1080/10447318.2025.2586086")</f>
        <v>http://dx.doi.org/10.1080/10447318.2025.2586086</v>
      </c>
      <c r="BG836" s="1" t="s">
        <v>74</v>
      </c>
      <c r="BH836" s="1" t="s">
        <v>255</v>
      </c>
      <c r="BI836" s="1" t="s">
        <v>74</v>
      </c>
      <c r="BJ836" s="1" t="s">
        <v>74</v>
      </c>
      <c r="BK836" s="1" t="s">
        <v>74</v>
      </c>
      <c r="BL836" s="1" t="s">
        <v>98</v>
      </c>
      <c r="BM836" s="1" t="s">
        <v>74</v>
      </c>
      <c r="BN836" s="1" t="s">
        <v>74</v>
      </c>
      <c r="BO836" s="1" t="s">
        <v>114</v>
      </c>
      <c r="BP836" s="1" t="s">
        <v>74</v>
      </c>
      <c r="BQ836" s="1" t="s">
        <v>74</v>
      </c>
      <c r="BR836" s="1" t="s">
        <v>74</v>
      </c>
      <c r="BS836" s="1" t="s">
        <v>7393</v>
      </c>
      <c r="BT836" s="1" t="str">
        <f>HYPERLINK("https%3A%2F%2Fwww.webofscience.com%2Fwos%2Fwoscc%2Ffull-record%2FWOS:001618740100001","View Full Record in Web of Science")</f>
        <v>View Full Record in Web of Science</v>
      </c>
    </row>
    <row r="837" ht="12.75" customHeight="1">
      <c r="A837" s="1" t="s">
        <v>72</v>
      </c>
      <c r="B837" s="1" t="s">
        <v>7394</v>
      </c>
      <c r="C837" s="1" t="s">
        <v>74</v>
      </c>
      <c r="D837" s="1" t="s">
        <v>74</v>
      </c>
      <c r="E837" s="1" t="s">
        <v>74</v>
      </c>
      <c r="F837" s="1" t="s">
        <v>7395</v>
      </c>
      <c r="G837" s="1" t="s">
        <v>74</v>
      </c>
      <c r="H837" s="1" t="s">
        <v>74</v>
      </c>
      <c r="I837" s="1" t="s">
        <v>7396</v>
      </c>
      <c r="J837" s="1" t="s">
        <v>1629</v>
      </c>
      <c r="K837" s="1" t="s">
        <v>74</v>
      </c>
      <c r="L837" s="1" t="s">
        <v>74</v>
      </c>
      <c r="M837" s="1" t="s">
        <v>74</v>
      </c>
      <c r="N837" s="1" t="s">
        <v>78</v>
      </c>
      <c r="O837" s="1" t="s">
        <v>74</v>
      </c>
      <c r="P837" s="1" t="s">
        <v>74</v>
      </c>
      <c r="Q837" s="1" t="s">
        <v>74</v>
      </c>
      <c r="R837" s="1" t="s">
        <v>74</v>
      </c>
      <c r="S837" s="1" t="s">
        <v>74</v>
      </c>
      <c r="T837" s="1" t="s">
        <v>74</v>
      </c>
      <c r="U837" s="1" t="s">
        <v>7397</v>
      </c>
      <c r="V837" s="1" t="s">
        <v>7398</v>
      </c>
      <c r="W837" s="1" t="s">
        <v>74</v>
      </c>
      <c r="X837" s="1" t="s">
        <v>74</v>
      </c>
      <c r="Y837" s="1" t="s">
        <v>74</v>
      </c>
      <c r="Z837" s="1" t="s">
        <v>74</v>
      </c>
      <c r="AA837" s="1" t="s">
        <v>74</v>
      </c>
      <c r="AB837" s="1" t="s">
        <v>74</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74</v>
      </c>
      <c r="AP837" s="1" t="s">
        <v>1632</v>
      </c>
      <c r="AQ837" s="1" t="s">
        <v>74</v>
      </c>
      <c r="AR837" s="1" t="s">
        <v>74</v>
      </c>
      <c r="AS837" s="1" t="s">
        <v>74</v>
      </c>
      <c r="AT837" s="1" t="s">
        <v>7399</v>
      </c>
      <c r="AU837" s="1">
        <v>2025.0</v>
      </c>
      <c r="AV837" s="1">
        <v>13.0</v>
      </c>
      <c r="AW837" s="1">
        <v>1.0</v>
      </c>
      <c r="AX837" s="1" t="s">
        <v>74</v>
      </c>
      <c r="AY837" s="1" t="s">
        <v>74</v>
      </c>
      <c r="AZ837" s="1" t="s">
        <v>74</v>
      </c>
      <c r="BA837" s="1" t="s">
        <v>74</v>
      </c>
      <c r="BB837" s="1" t="s">
        <v>74</v>
      </c>
      <c r="BC837" s="1" t="s">
        <v>74</v>
      </c>
      <c r="BD837" s="1">
        <v>6.0</v>
      </c>
      <c r="BE837" s="1" t="s">
        <v>7400</v>
      </c>
      <c r="BF837" s="2" t="str">
        <f>HYPERLINK("http://dx.doi.org/10.1186/s40537-025-01336-x","http://dx.doi.org/10.1186/s40537-025-01336-x")</f>
        <v>http://dx.doi.org/10.1186/s40537-025-01336-x</v>
      </c>
      <c r="BG837" s="1" t="s">
        <v>74</v>
      </c>
      <c r="BH837" s="1" t="s">
        <v>74</v>
      </c>
      <c r="BI837" s="1" t="s">
        <v>74</v>
      </c>
      <c r="BJ837" s="1" t="s">
        <v>74</v>
      </c>
      <c r="BK837" s="1" t="s">
        <v>74</v>
      </c>
      <c r="BL837" s="1" t="s">
        <v>174</v>
      </c>
      <c r="BM837" s="1" t="s">
        <v>74</v>
      </c>
      <c r="BN837" s="1" t="s">
        <v>74</v>
      </c>
      <c r="BO837" s="1" t="s">
        <v>163</v>
      </c>
      <c r="BP837" s="1" t="s">
        <v>74</v>
      </c>
      <c r="BQ837" s="1" t="s">
        <v>74</v>
      </c>
      <c r="BR837" s="1" t="s">
        <v>74</v>
      </c>
      <c r="BS837" s="1" t="s">
        <v>7401</v>
      </c>
      <c r="BT837" s="1" t="str">
        <f>HYPERLINK("https%3A%2F%2Fwww.webofscience.com%2Fwos%2Fwoscc%2Ffull-record%2FWOS:001665966200001","View Full Record in Web of Science")</f>
        <v>View Full Record in Web of Science</v>
      </c>
    </row>
    <row r="838" ht="12.75" customHeight="1">
      <c r="A838" s="1" t="s">
        <v>72</v>
      </c>
      <c r="B838" s="1" t="s">
        <v>7402</v>
      </c>
      <c r="C838" s="1" t="s">
        <v>74</v>
      </c>
      <c r="D838" s="1" t="s">
        <v>74</v>
      </c>
      <c r="E838" s="1" t="s">
        <v>74</v>
      </c>
      <c r="F838" s="1" t="s">
        <v>7403</v>
      </c>
      <c r="G838" s="1" t="s">
        <v>74</v>
      </c>
      <c r="H838" s="1" t="s">
        <v>74</v>
      </c>
      <c r="I838" s="1" t="s">
        <v>7404</v>
      </c>
      <c r="J838" s="1" t="s">
        <v>966</v>
      </c>
      <c r="K838" s="1" t="s">
        <v>74</v>
      </c>
      <c r="L838" s="1" t="s">
        <v>74</v>
      </c>
      <c r="M838" s="1" t="s">
        <v>74</v>
      </c>
      <c r="N838" s="1" t="s">
        <v>78</v>
      </c>
      <c r="O838" s="1" t="s">
        <v>74</v>
      </c>
      <c r="P838" s="1" t="s">
        <v>74</v>
      </c>
      <c r="Q838" s="1" t="s">
        <v>74</v>
      </c>
      <c r="R838" s="1" t="s">
        <v>74</v>
      </c>
      <c r="S838" s="1" t="s">
        <v>74</v>
      </c>
      <c r="T838" s="1" t="s">
        <v>7405</v>
      </c>
      <c r="U838" s="1" t="s">
        <v>74</v>
      </c>
      <c r="V838" s="1" t="s">
        <v>7406</v>
      </c>
      <c r="W838" s="1" t="s">
        <v>74</v>
      </c>
      <c r="X838" s="1" t="s">
        <v>74</v>
      </c>
      <c r="Y838" s="1" t="s">
        <v>74</v>
      </c>
      <c r="Z838" s="1" t="s">
        <v>74</v>
      </c>
      <c r="AA838" s="1" t="s">
        <v>74</v>
      </c>
      <c r="AB838" s="1" t="s">
        <v>74</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969</v>
      </c>
      <c r="AP838" s="1" t="s">
        <v>970</v>
      </c>
      <c r="AQ838" s="1" t="s">
        <v>74</v>
      </c>
      <c r="AR838" s="1" t="s">
        <v>74</v>
      </c>
      <c r="AS838" s="1" t="s">
        <v>74</v>
      </c>
      <c r="AT838" s="1" t="s">
        <v>3009</v>
      </c>
      <c r="AU838" s="1">
        <v>2025.0</v>
      </c>
      <c r="AV838" s="1">
        <v>330.0</v>
      </c>
      <c r="AW838" s="1" t="s">
        <v>74</v>
      </c>
      <c r="AX838" s="1" t="s">
        <v>1409</v>
      </c>
      <c r="AY838" s="1" t="s">
        <v>74</v>
      </c>
      <c r="AZ838" s="1" t="s">
        <v>74</v>
      </c>
      <c r="BA838" s="1" t="s">
        <v>74</v>
      </c>
      <c r="BB838" s="1" t="s">
        <v>74</v>
      </c>
      <c r="BC838" s="1" t="s">
        <v>74</v>
      </c>
      <c r="BD838" s="1">
        <v>114449.0</v>
      </c>
      <c r="BE838" s="1" t="s">
        <v>7407</v>
      </c>
      <c r="BF838" s="2" t="str">
        <f>HYPERLINK("http://dx.doi.org/10.1016/j.knosys.2025.114449","http://dx.doi.org/10.1016/j.knosys.2025.114449")</f>
        <v>http://dx.doi.org/10.1016/j.knosys.2025.114449</v>
      </c>
      <c r="BG838" s="1" t="s">
        <v>74</v>
      </c>
      <c r="BH838" s="1" t="s">
        <v>738</v>
      </c>
      <c r="BI838" s="1" t="s">
        <v>74</v>
      </c>
      <c r="BJ838" s="1" t="s">
        <v>74</v>
      </c>
      <c r="BK838" s="1" t="s">
        <v>74</v>
      </c>
      <c r="BL838" s="1" t="s">
        <v>174</v>
      </c>
      <c r="BM838" s="1" t="s">
        <v>74</v>
      </c>
      <c r="BN838" s="1" t="s">
        <v>74</v>
      </c>
      <c r="BO838" s="1" t="s">
        <v>114</v>
      </c>
      <c r="BP838" s="1" t="s">
        <v>74</v>
      </c>
      <c r="BQ838" s="1" t="s">
        <v>74</v>
      </c>
      <c r="BR838" s="1" t="s">
        <v>74</v>
      </c>
      <c r="BS838" s="1" t="s">
        <v>7408</v>
      </c>
      <c r="BT838" s="1" t="str">
        <f>HYPERLINK("https%3A%2F%2Fwww.webofscience.com%2Fwos%2Fwoscc%2Ffull-record%2FWOS:001582925800001","View Full Record in Web of Science")</f>
        <v>View Full Record in Web of Science</v>
      </c>
    </row>
    <row r="839" ht="12.75" customHeight="1">
      <c r="A839" s="1" t="s">
        <v>72</v>
      </c>
      <c r="B839" s="1" t="s">
        <v>7409</v>
      </c>
      <c r="C839" s="1" t="s">
        <v>74</v>
      </c>
      <c r="D839" s="1" t="s">
        <v>74</v>
      </c>
      <c r="E839" s="1" t="s">
        <v>74</v>
      </c>
      <c r="F839" s="1" t="s">
        <v>7410</v>
      </c>
      <c r="G839" s="1" t="s">
        <v>74</v>
      </c>
      <c r="H839" s="1" t="s">
        <v>74</v>
      </c>
      <c r="I839" s="1" t="s">
        <v>7411</v>
      </c>
      <c r="J839" s="1" t="s">
        <v>1230</v>
      </c>
      <c r="K839" s="1" t="s">
        <v>74</v>
      </c>
      <c r="L839" s="1" t="s">
        <v>74</v>
      </c>
      <c r="M839" s="1" t="s">
        <v>74</v>
      </c>
      <c r="N839" s="1" t="s">
        <v>78</v>
      </c>
      <c r="O839" s="1" t="s">
        <v>74</v>
      </c>
      <c r="P839" s="1" t="s">
        <v>74</v>
      </c>
      <c r="Q839" s="1" t="s">
        <v>74</v>
      </c>
      <c r="R839" s="1" t="s">
        <v>74</v>
      </c>
      <c r="S839" s="1" t="s">
        <v>74</v>
      </c>
      <c r="T839" s="1" t="s">
        <v>7412</v>
      </c>
      <c r="U839" s="1" t="s">
        <v>7413</v>
      </c>
      <c r="V839" s="1" t="s">
        <v>7414</v>
      </c>
      <c r="W839" s="1" t="s">
        <v>74</v>
      </c>
      <c r="X839" s="1" t="s">
        <v>74</v>
      </c>
      <c r="Y839" s="1" t="s">
        <v>74</v>
      </c>
      <c r="Z839" s="1" t="s">
        <v>74</v>
      </c>
      <c r="AA839" s="1" t="s">
        <v>74</v>
      </c>
      <c r="AB839" s="1" t="s">
        <v>74</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1233</v>
      </c>
      <c r="AP839" s="1" t="s">
        <v>1234</v>
      </c>
      <c r="AQ839" s="1" t="s">
        <v>74</v>
      </c>
      <c r="AR839" s="1" t="s">
        <v>74</v>
      </c>
      <c r="AS839" s="1" t="s">
        <v>74</v>
      </c>
      <c r="AT839" s="1" t="s">
        <v>1524</v>
      </c>
      <c r="AU839" s="1">
        <v>2026.0</v>
      </c>
      <c r="AV839" s="1">
        <v>299.0</v>
      </c>
      <c r="AW839" s="1" t="s">
        <v>74</v>
      </c>
      <c r="AX839" s="1" t="s">
        <v>1927</v>
      </c>
      <c r="AY839" s="1" t="s">
        <v>74</v>
      </c>
      <c r="AZ839" s="1" t="s">
        <v>74</v>
      </c>
      <c r="BA839" s="1" t="s">
        <v>74</v>
      </c>
      <c r="BB839" s="1" t="s">
        <v>74</v>
      </c>
      <c r="BC839" s="1" t="s">
        <v>74</v>
      </c>
      <c r="BD839" s="1">
        <v>130093.0</v>
      </c>
      <c r="BE839" s="1" t="s">
        <v>7415</v>
      </c>
      <c r="BF839" s="2" t="str">
        <f>HYPERLINK("http://dx.doi.org/10.1016/j.eswa.2025.130093","http://dx.doi.org/10.1016/j.eswa.2025.130093")</f>
        <v>http://dx.doi.org/10.1016/j.eswa.2025.130093</v>
      </c>
      <c r="BG839" s="1" t="s">
        <v>74</v>
      </c>
      <c r="BH839" s="1" t="s">
        <v>347</v>
      </c>
      <c r="BI839" s="1" t="s">
        <v>74</v>
      </c>
      <c r="BJ839" s="1" t="s">
        <v>74</v>
      </c>
      <c r="BK839" s="1" t="s">
        <v>74</v>
      </c>
      <c r="BL839" s="1" t="s">
        <v>1237</v>
      </c>
      <c r="BM839" s="1" t="s">
        <v>74</v>
      </c>
      <c r="BN839" s="1" t="s">
        <v>74</v>
      </c>
      <c r="BO839" s="1" t="s">
        <v>74</v>
      </c>
      <c r="BP839" s="1" t="s">
        <v>74</v>
      </c>
      <c r="BQ839" s="1" t="s">
        <v>74</v>
      </c>
      <c r="BR839" s="1" t="s">
        <v>74</v>
      </c>
      <c r="BS839" s="1" t="s">
        <v>7416</v>
      </c>
      <c r="BT839" s="1" t="str">
        <f>HYPERLINK("https%3A%2F%2Fwww.webofscience.com%2Fwos%2Fwoscc%2Ffull-record%2FWOS:001617982400011","View Full Record in Web of Science")</f>
        <v>View Full Record in Web of Science</v>
      </c>
    </row>
    <row r="840" ht="12.75" customHeight="1">
      <c r="A840" s="1" t="s">
        <v>72</v>
      </c>
      <c r="B840" s="1" t="s">
        <v>7417</v>
      </c>
      <c r="C840" s="1" t="s">
        <v>74</v>
      </c>
      <c r="D840" s="1" t="s">
        <v>74</v>
      </c>
      <c r="E840" s="1" t="s">
        <v>74</v>
      </c>
      <c r="F840" s="1" t="s">
        <v>7418</v>
      </c>
      <c r="G840" s="1" t="s">
        <v>74</v>
      </c>
      <c r="H840" s="1" t="s">
        <v>74</v>
      </c>
      <c r="I840" s="1" t="s">
        <v>7419</v>
      </c>
      <c r="J840" s="1" t="s">
        <v>7420</v>
      </c>
      <c r="K840" s="1" t="s">
        <v>74</v>
      </c>
      <c r="L840" s="1" t="s">
        <v>74</v>
      </c>
      <c r="M840" s="1" t="s">
        <v>74</v>
      </c>
      <c r="N840" s="1" t="s">
        <v>78</v>
      </c>
      <c r="O840" s="1" t="s">
        <v>74</v>
      </c>
      <c r="P840" s="1" t="s">
        <v>74</v>
      </c>
      <c r="Q840" s="1" t="s">
        <v>74</v>
      </c>
      <c r="R840" s="1" t="s">
        <v>74</v>
      </c>
      <c r="S840" s="1" t="s">
        <v>74</v>
      </c>
      <c r="T840" s="1" t="s">
        <v>74</v>
      </c>
      <c r="U840" s="1" t="s">
        <v>74</v>
      </c>
      <c r="V840" s="1" t="s">
        <v>7421</v>
      </c>
      <c r="W840" s="1" t="s">
        <v>74</v>
      </c>
      <c r="X840" s="1" t="s">
        <v>74</v>
      </c>
      <c r="Y840" s="1" t="s">
        <v>74</v>
      </c>
      <c r="Z840" s="1" t="s">
        <v>74</v>
      </c>
      <c r="AA840" s="1" t="s">
        <v>74</v>
      </c>
      <c r="AB840" s="1" t="s">
        <v>74</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7422</v>
      </c>
      <c r="AP840" s="1" t="s">
        <v>74</v>
      </c>
      <c r="AQ840" s="1" t="s">
        <v>74</v>
      </c>
      <c r="AR840" s="1" t="s">
        <v>74</v>
      </c>
      <c r="AS840" s="1" t="s">
        <v>74</v>
      </c>
      <c r="AT840" s="1" t="s">
        <v>84</v>
      </c>
      <c r="AU840" s="1">
        <v>2025.0</v>
      </c>
      <c r="AV840" s="1">
        <v>7.0</v>
      </c>
      <c r="AW840" s="1">
        <v>3.0</v>
      </c>
      <c r="AX840" s="1" t="s">
        <v>74</v>
      </c>
      <c r="AY840" s="1" t="s">
        <v>74</v>
      </c>
      <c r="AZ840" s="1" t="s">
        <v>74</v>
      </c>
      <c r="BA840" s="1" t="s">
        <v>74</v>
      </c>
      <c r="BB840" s="1" t="s">
        <v>74</v>
      </c>
      <c r="BC840" s="1" t="s">
        <v>74</v>
      </c>
      <c r="BD840" s="1" t="s">
        <v>7423</v>
      </c>
      <c r="BE840" s="1" t="s">
        <v>7424</v>
      </c>
      <c r="BF840" s="2" t="str">
        <f>HYPERLINK("http://dx.doi.org/10.1148/ryai.240313","http://dx.doi.org/10.1148/ryai.240313")</f>
        <v>http://dx.doi.org/10.1148/ryai.240313</v>
      </c>
      <c r="BG840" s="1" t="s">
        <v>74</v>
      </c>
      <c r="BH840" s="1" t="s">
        <v>74</v>
      </c>
      <c r="BI840" s="1" t="s">
        <v>74</v>
      </c>
      <c r="BJ840" s="1" t="s">
        <v>74</v>
      </c>
      <c r="BK840" s="1" t="s">
        <v>74</v>
      </c>
      <c r="BL840" s="1" t="s">
        <v>337</v>
      </c>
      <c r="BM840" s="1" t="s">
        <v>74</v>
      </c>
      <c r="BN840" s="1" t="s">
        <v>74</v>
      </c>
      <c r="BO840" s="1" t="s">
        <v>74</v>
      </c>
      <c r="BP840" s="1" t="s">
        <v>74</v>
      </c>
      <c r="BQ840" s="1" t="s">
        <v>74</v>
      </c>
      <c r="BR840" s="1" t="s">
        <v>74</v>
      </c>
      <c r="BS840" s="1" t="s">
        <v>7425</v>
      </c>
      <c r="BT840" s="1" t="str">
        <f>HYPERLINK("https%3A%2F%2Fwww.webofscience.com%2Fwos%2Fwoscc%2Ffull-record%2FWOS:001528215900003","View Full Record in Web of Science")</f>
        <v>View Full Record in Web of Science</v>
      </c>
    </row>
    <row r="841" ht="12.75" customHeight="1">
      <c r="A841" s="1" t="s">
        <v>72</v>
      </c>
      <c r="B841" s="1" t="s">
        <v>7426</v>
      </c>
      <c r="C841" s="1" t="s">
        <v>74</v>
      </c>
      <c r="D841" s="1" t="s">
        <v>74</v>
      </c>
      <c r="E841" s="1" t="s">
        <v>74</v>
      </c>
      <c r="F841" s="1" t="s">
        <v>7427</v>
      </c>
      <c r="G841" s="1" t="s">
        <v>74</v>
      </c>
      <c r="H841" s="1" t="s">
        <v>74</v>
      </c>
      <c r="I841" s="1" t="s">
        <v>7428</v>
      </c>
      <c r="J841" s="1" t="s">
        <v>2528</v>
      </c>
      <c r="K841" s="1" t="s">
        <v>74</v>
      </c>
      <c r="L841" s="1" t="s">
        <v>74</v>
      </c>
      <c r="M841" s="1" t="s">
        <v>74</v>
      </c>
      <c r="N841" s="1" t="s">
        <v>78</v>
      </c>
      <c r="O841" s="1" t="s">
        <v>74</v>
      </c>
      <c r="P841" s="1" t="s">
        <v>74</v>
      </c>
      <c r="Q841" s="1" t="s">
        <v>74</v>
      </c>
      <c r="R841" s="1" t="s">
        <v>74</v>
      </c>
      <c r="S841" s="1" t="s">
        <v>74</v>
      </c>
      <c r="T841" s="1" t="s">
        <v>7429</v>
      </c>
      <c r="U841" s="1" t="s">
        <v>7430</v>
      </c>
      <c r="V841" s="1" t="s">
        <v>7431</v>
      </c>
      <c r="W841" s="1" t="s">
        <v>74</v>
      </c>
      <c r="X841" s="1" t="s">
        <v>74</v>
      </c>
      <c r="Y841" s="1" t="s">
        <v>74</v>
      </c>
      <c r="Z841" s="1" t="s">
        <v>74</v>
      </c>
      <c r="AA841" s="1" t="s">
        <v>74</v>
      </c>
      <c r="AB841" s="1" t="s">
        <v>74</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2531</v>
      </c>
      <c r="AP841" s="1" t="s">
        <v>2532</v>
      </c>
      <c r="AQ841" s="1" t="s">
        <v>74</v>
      </c>
      <c r="AR841" s="1" t="s">
        <v>74</v>
      </c>
      <c r="AS841" s="1" t="s">
        <v>74</v>
      </c>
      <c r="AT841" s="1" t="s">
        <v>200</v>
      </c>
      <c r="AU841" s="1">
        <v>2025.0</v>
      </c>
      <c r="AV841" s="1">
        <v>122.0</v>
      </c>
      <c r="AW841" s="1" t="s">
        <v>74</v>
      </c>
      <c r="AX841" s="1" t="s">
        <v>74</v>
      </c>
      <c r="AY841" s="1" t="s">
        <v>74</v>
      </c>
      <c r="AZ841" s="1" t="s">
        <v>74</v>
      </c>
      <c r="BA841" s="1" t="s">
        <v>74</v>
      </c>
      <c r="BB841" s="1" t="s">
        <v>74</v>
      </c>
      <c r="BC841" s="1" t="s">
        <v>74</v>
      </c>
      <c r="BD841" s="1">
        <v>102329.0</v>
      </c>
      <c r="BE841" s="1" t="s">
        <v>7432</v>
      </c>
      <c r="BF841" s="2" t="str">
        <f>HYPERLINK("http://dx.doi.org/10.1016/j.compenvurbsys.2025.102329","http://dx.doi.org/10.1016/j.compenvurbsys.2025.102329")</f>
        <v>http://dx.doi.org/10.1016/j.compenvurbsys.2025.102329</v>
      </c>
      <c r="BG841" s="1" t="s">
        <v>74</v>
      </c>
      <c r="BH841" s="1" t="s">
        <v>605</v>
      </c>
      <c r="BI841" s="1" t="s">
        <v>74</v>
      </c>
      <c r="BJ841" s="1" t="s">
        <v>74</v>
      </c>
      <c r="BK841" s="1" t="s">
        <v>74</v>
      </c>
      <c r="BL841" s="1" t="s">
        <v>2534</v>
      </c>
      <c r="BM841" s="1" t="s">
        <v>74</v>
      </c>
      <c r="BN841" s="1" t="s">
        <v>74</v>
      </c>
      <c r="BO841" s="1" t="s">
        <v>74</v>
      </c>
      <c r="BP841" s="1" t="s">
        <v>74</v>
      </c>
      <c r="BQ841" s="1" t="s">
        <v>74</v>
      </c>
      <c r="BR841" s="1" t="s">
        <v>74</v>
      </c>
      <c r="BS841" s="1" t="s">
        <v>7433</v>
      </c>
      <c r="BT841" s="1" t="str">
        <f>HYPERLINK("https%3A%2F%2Fwww.webofscience.com%2Fwos%2Fwoscc%2Ffull-record%2FWOS:001561276000001","View Full Record in Web of Science")</f>
        <v>View Full Record in Web of Science</v>
      </c>
    </row>
    <row r="842" ht="12.75" customHeight="1">
      <c r="A842" s="1" t="s">
        <v>72</v>
      </c>
      <c r="B842" s="1" t="s">
        <v>7434</v>
      </c>
      <c r="C842" s="1" t="s">
        <v>74</v>
      </c>
      <c r="D842" s="1" t="s">
        <v>74</v>
      </c>
      <c r="E842" s="1" t="s">
        <v>74</v>
      </c>
      <c r="F842" s="1" t="s">
        <v>7435</v>
      </c>
      <c r="G842" s="1" t="s">
        <v>74</v>
      </c>
      <c r="H842" s="1" t="s">
        <v>74</v>
      </c>
      <c r="I842" s="1" t="s">
        <v>7436</v>
      </c>
      <c r="J842" s="1" t="s">
        <v>519</v>
      </c>
      <c r="K842" s="1" t="s">
        <v>74</v>
      </c>
      <c r="L842" s="1" t="s">
        <v>74</v>
      </c>
      <c r="M842" s="1" t="s">
        <v>74</v>
      </c>
      <c r="N842" s="1" t="s">
        <v>78</v>
      </c>
      <c r="O842" s="1" t="s">
        <v>74</v>
      </c>
      <c r="P842" s="1" t="s">
        <v>74</v>
      </c>
      <c r="Q842" s="1" t="s">
        <v>74</v>
      </c>
      <c r="R842" s="1" t="s">
        <v>74</v>
      </c>
      <c r="S842" s="1" t="s">
        <v>74</v>
      </c>
      <c r="T842" s="1" t="s">
        <v>7437</v>
      </c>
      <c r="U842" s="1" t="s">
        <v>74</v>
      </c>
      <c r="V842" s="1" t="s">
        <v>7438</v>
      </c>
      <c r="W842" s="1" t="s">
        <v>74</v>
      </c>
      <c r="X842" s="1" t="s">
        <v>74</v>
      </c>
      <c r="Y842" s="1" t="s">
        <v>74</v>
      </c>
      <c r="Z842" s="1" t="s">
        <v>74</v>
      </c>
      <c r="AA842" s="1" t="s">
        <v>74</v>
      </c>
      <c r="AB842" s="1" t="s">
        <v>74</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523</v>
      </c>
      <c r="AP842" s="1" t="s">
        <v>524</v>
      </c>
      <c r="AQ842" s="1" t="s">
        <v>74</v>
      </c>
      <c r="AR842" s="1" t="s">
        <v>74</v>
      </c>
      <c r="AS842" s="1" t="s">
        <v>74</v>
      </c>
      <c r="AT842" s="1" t="s">
        <v>139</v>
      </c>
      <c r="AU842" s="1">
        <v>2026.0</v>
      </c>
      <c r="AV842" s="1">
        <v>126.0</v>
      </c>
      <c r="AW842" s="1" t="s">
        <v>74</v>
      </c>
      <c r="AX842" s="1" t="s">
        <v>110</v>
      </c>
      <c r="AY842" s="1" t="s">
        <v>74</v>
      </c>
      <c r="AZ842" s="1" t="s">
        <v>74</v>
      </c>
      <c r="BA842" s="1" t="s">
        <v>74</v>
      </c>
      <c r="BB842" s="1" t="s">
        <v>74</v>
      </c>
      <c r="BC842" s="1" t="s">
        <v>74</v>
      </c>
      <c r="BD842" s="1">
        <v>103665.0</v>
      </c>
      <c r="BE842" s="1" t="s">
        <v>7439</v>
      </c>
      <c r="BF842" s="2" t="str">
        <f>HYPERLINK("http://dx.doi.org/10.1016/j.inffus.2025.103665","http://dx.doi.org/10.1016/j.inffus.2025.103665")</f>
        <v>http://dx.doi.org/10.1016/j.inffus.2025.103665</v>
      </c>
      <c r="BG842" s="1" t="s">
        <v>74</v>
      </c>
      <c r="BH842" s="1" t="s">
        <v>738</v>
      </c>
      <c r="BI842" s="1" t="s">
        <v>74</v>
      </c>
      <c r="BJ842" s="1" t="s">
        <v>74</v>
      </c>
      <c r="BK842" s="1" t="s">
        <v>74</v>
      </c>
      <c r="BL842" s="1" t="s">
        <v>174</v>
      </c>
      <c r="BM842" s="1" t="s">
        <v>74</v>
      </c>
      <c r="BN842" s="1" t="s">
        <v>74</v>
      </c>
      <c r="BO842" s="1" t="s">
        <v>576</v>
      </c>
      <c r="BP842" s="1" t="s">
        <v>74</v>
      </c>
      <c r="BQ842" s="1" t="s">
        <v>74</v>
      </c>
      <c r="BR842" s="1" t="s">
        <v>74</v>
      </c>
      <c r="BS842" s="1" t="s">
        <v>7440</v>
      </c>
      <c r="BT842" s="1" t="str">
        <f>HYPERLINK("https%3A%2F%2Fwww.webofscience.com%2Fwos%2Fwoscc%2Ffull-record%2FWOS:001566112100001","View Full Record in Web of Science")</f>
        <v>View Full Record in Web of Science</v>
      </c>
    </row>
    <row r="843" ht="12.75" customHeight="1">
      <c r="A843" s="1" t="s">
        <v>72</v>
      </c>
      <c r="B843" s="1" t="s">
        <v>7441</v>
      </c>
      <c r="C843" s="1" t="s">
        <v>74</v>
      </c>
      <c r="D843" s="1" t="s">
        <v>74</v>
      </c>
      <c r="E843" s="1" t="s">
        <v>74</v>
      </c>
      <c r="F843" s="1" t="s">
        <v>7442</v>
      </c>
      <c r="G843" s="1" t="s">
        <v>74</v>
      </c>
      <c r="H843" s="1" t="s">
        <v>74</v>
      </c>
      <c r="I843" s="1" t="s">
        <v>7443</v>
      </c>
      <c r="J843" s="1" t="s">
        <v>7444</v>
      </c>
      <c r="K843" s="1" t="s">
        <v>74</v>
      </c>
      <c r="L843" s="1" t="s">
        <v>74</v>
      </c>
      <c r="M843" s="1" t="s">
        <v>74</v>
      </c>
      <c r="N843" s="1" t="s">
        <v>78</v>
      </c>
      <c r="O843" s="1" t="s">
        <v>74</v>
      </c>
      <c r="P843" s="1" t="s">
        <v>74</v>
      </c>
      <c r="Q843" s="1" t="s">
        <v>74</v>
      </c>
      <c r="R843" s="1" t="s">
        <v>74</v>
      </c>
      <c r="S843" s="1" t="s">
        <v>74</v>
      </c>
      <c r="T843" s="1" t="s">
        <v>7445</v>
      </c>
      <c r="U843" s="1" t="s">
        <v>74</v>
      </c>
      <c r="V843" s="1" t="s">
        <v>7446</v>
      </c>
      <c r="W843" s="1" t="s">
        <v>74</v>
      </c>
      <c r="X843" s="1" t="s">
        <v>74</v>
      </c>
      <c r="Y843" s="1" t="s">
        <v>74</v>
      </c>
      <c r="Z843" s="1" t="s">
        <v>74</v>
      </c>
      <c r="AA843" s="1" t="s">
        <v>74</v>
      </c>
      <c r="AB843" s="1" t="s">
        <v>74</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7447</v>
      </c>
      <c r="AP843" s="1" t="s">
        <v>7448</v>
      </c>
      <c r="AQ843" s="1" t="s">
        <v>74</v>
      </c>
      <c r="AR843" s="1" t="s">
        <v>74</v>
      </c>
      <c r="AS843" s="1" t="s">
        <v>74</v>
      </c>
      <c r="AT843" s="1" t="s">
        <v>7449</v>
      </c>
      <c r="AU843" s="1">
        <v>2025.0</v>
      </c>
      <c r="AV843" s="1">
        <v>37.0</v>
      </c>
      <c r="AW843" s="1" t="s">
        <v>7450</v>
      </c>
      <c r="AX843" s="1" t="s">
        <v>74</v>
      </c>
      <c r="AY843" s="1" t="s">
        <v>74</v>
      </c>
      <c r="AZ843" s="1" t="s">
        <v>74</v>
      </c>
      <c r="BA843" s="1" t="s">
        <v>74</v>
      </c>
      <c r="BB843" s="1" t="s">
        <v>74</v>
      </c>
      <c r="BC843" s="1" t="s">
        <v>74</v>
      </c>
      <c r="BD843" s="1" t="s">
        <v>7451</v>
      </c>
      <c r="BE843" s="1" t="s">
        <v>7452</v>
      </c>
      <c r="BF843" s="2" t="str">
        <f>HYPERLINK("http://dx.doi.org/10.1002/cpe.70339","http://dx.doi.org/10.1002/cpe.70339")</f>
        <v>http://dx.doi.org/10.1002/cpe.70339</v>
      </c>
      <c r="BG843" s="1" t="s">
        <v>74</v>
      </c>
      <c r="BH843" s="1" t="s">
        <v>74</v>
      </c>
      <c r="BI843" s="1" t="s">
        <v>74</v>
      </c>
      <c r="BJ843" s="1" t="s">
        <v>74</v>
      </c>
      <c r="BK843" s="1" t="s">
        <v>74</v>
      </c>
      <c r="BL843" s="1" t="s">
        <v>174</v>
      </c>
      <c r="BM843" s="1" t="s">
        <v>74</v>
      </c>
      <c r="BN843" s="1" t="s">
        <v>74</v>
      </c>
      <c r="BO843" s="1" t="s">
        <v>383</v>
      </c>
      <c r="BP843" s="1" t="s">
        <v>74</v>
      </c>
      <c r="BQ843" s="1" t="s">
        <v>74</v>
      </c>
      <c r="BR843" s="1" t="s">
        <v>74</v>
      </c>
      <c r="BS843" s="1" t="s">
        <v>7453</v>
      </c>
      <c r="BT843" s="1" t="str">
        <f>HYPERLINK("https%3A%2F%2Fwww.webofscience.com%2Fwos%2Fwoscc%2Ffull-record%2FWOS:001624343100049","View Full Record in Web of Science")</f>
        <v>View Full Record in Web of Science</v>
      </c>
    </row>
    <row r="844" ht="12.75" customHeight="1">
      <c r="A844" s="1" t="s">
        <v>72</v>
      </c>
      <c r="B844" s="1" t="s">
        <v>7454</v>
      </c>
      <c r="C844" s="1" t="s">
        <v>74</v>
      </c>
      <c r="D844" s="1" t="s">
        <v>74</v>
      </c>
      <c r="E844" s="1" t="s">
        <v>74</v>
      </c>
      <c r="F844" s="1" t="s">
        <v>7455</v>
      </c>
      <c r="G844" s="1" t="s">
        <v>74</v>
      </c>
      <c r="H844" s="1" t="s">
        <v>74</v>
      </c>
      <c r="I844" s="1" t="s">
        <v>7456</v>
      </c>
      <c r="J844" s="1" t="s">
        <v>7051</v>
      </c>
      <c r="K844" s="1" t="s">
        <v>74</v>
      </c>
      <c r="L844" s="1" t="s">
        <v>74</v>
      </c>
      <c r="M844" s="1" t="s">
        <v>74</v>
      </c>
      <c r="N844" s="1" t="s">
        <v>78</v>
      </c>
      <c r="O844" s="1" t="s">
        <v>74</v>
      </c>
      <c r="P844" s="1" t="s">
        <v>74</v>
      </c>
      <c r="Q844" s="1" t="s">
        <v>74</v>
      </c>
      <c r="R844" s="1" t="s">
        <v>74</v>
      </c>
      <c r="S844" s="1" t="s">
        <v>74</v>
      </c>
      <c r="T844" s="1" t="s">
        <v>7457</v>
      </c>
      <c r="U844" s="1" t="s">
        <v>7458</v>
      </c>
      <c r="V844" s="1" t="s">
        <v>7459</v>
      </c>
      <c r="W844" s="1" t="s">
        <v>74</v>
      </c>
      <c r="X844" s="1" t="s">
        <v>74</v>
      </c>
      <c r="Y844" s="1" t="s">
        <v>74</v>
      </c>
      <c r="Z844" s="1" t="s">
        <v>74</v>
      </c>
      <c r="AA844" s="1" t="s">
        <v>74</v>
      </c>
      <c r="AB844" s="1" t="s">
        <v>74</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7054</v>
      </c>
      <c r="AP844" s="1" t="s">
        <v>7055</v>
      </c>
      <c r="AQ844" s="1" t="s">
        <v>74</v>
      </c>
      <c r="AR844" s="1" t="s">
        <v>74</v>
      </c>
      <c r="AS844" s="1" t="s">
        <v>74</v>
      </c>
      <c r="AT844" s="1" t="s">
        <v>357</v>
      </c>
      <c r="AU844" s="1">
        <v>2025.0</v>
      </c>
      <c r="AV844" s="1">
        <v>34.0</v>
      </c>
      <c r="AW844" s="1">
        <v>8.0</v>
      </c>
      <c r="AX844" s="1" t="s">
        <v>74</v>
      </c>
      <c r="AY844" s="1" t="s">
        <v>74</v>
      </c>
      <c r="AZ844" s="1" t="s">
        <v>74</v>
      </c>
      <c r="BA844" s="1" t="s">
        <v>74</v>
      </c>
      <c r="BB844" s="1" t="s">
        <v>74</v>
      </c>
      <c r="BC844" s="1" t="s">
        <v>74</v>
      </c>
      <c r="BD844" s="1">
        <v>233.0</v>
      </c>
      <c r="BE844" s="1" t="s">
        <v>7460</v>
      </c>
      <c r="BF844" s="2" t="str">
        <f>HYPERLINK("http://dx.doi.org/10.1145/3721127","http://dx.doi.org/10.1145/3721127")</f>
        <v>http://dx.doi.org/10.1145/3721127</v>
      </c>
      <c r="BG844" s="1" t="s">
        <v>74</v>
      </c>
      <c r="BH844" s="1" t="s">
        <v>74</v>
      </c>
      <c r="BI844" s="1" t="s">
        <v>74</v>
      </c>
      <c r="BJ844" s="1" t="s">
        <v>74</v>
      </c>
      <c r="BK844" s="1" t="s">
        <v>74</v>
      </c>
      <c r="BL844" s="1" t="s">
        <v>174</v>
      </c>
      <c r="BM844" s="1" t="s">
        <v>74</v>
      </c>
      <c r="BN844" s="1" t="s">
        <v>74</v>
      </c>
      <c r="BO844" s="1" t="s">
        <v>7461</v>
      </c>
      <c r="BP844" s="1" t="s">
        <v>74</v>
      </c>
      <c r="BQ844" s="1" t="s">
        <v>74</v>
      </c>
      <c r="BR844" s="1" t="s">
        <v>74</v>
      </c>
      <c r="BS844" s="1" t="s">
        <v>7462</v>
      </c>
      <c r="BT844" s="1" t="str">
        <f>HYPERLINK("https%3A%2F%2Fwww.webofscience.com%2Fwos%2Fwoscc%2Ffull-record%2FWOS:001612246800018","View Full Record in Web of Science")</f>
        <v>View Full Record in Web of Science</v>
      </c>
    </row>
    <row r="845" ht="12.75" customHeight="1">
      <c r="A845" s="1" t="s">
        <v>72</v>
      </c>
      <c r="B845" s="1" t="s">
        <v>7463</v>
      </c>
      <c r="C845" s="1" t="s">
        <v>74</v>
      </c>
      <c r="D845" s="1" t="s">
        <v>74</v>
      </c>
      <c r="E845" s="1" t="s">
        <v>74</v>
      </c>
      <c r="F845" s="1" t="s">
        <v>7464</v>
      </c>
      <c r="G845" s="1" t="s">
        <v>74</v>
      </c>
      <c r="H845" s="1" t="s">
        <v>74</v>
      </c>
      <c r="I845" s="1" t="s">
        <v>7465</v>
      </c>
      <c r="J845" s="1" t="s">
        <v>7466</v>
      </c>
      <c r="K845" s="1" t="s">
        <v>74</v>
      </c>
      <c r="L845" s="1" t="s">
        <v>74</v>
      </c>
      <c r="M845" s="1" t="s">
        <v>74</v>
      </c>
      <c r="N845" s="1" t="s">
        <v>78</v>
      </c>
      <c r="O845" s="1" t="s">
        <v>74</v>
      </c>
      <c r="P845" s="1" t="s">
        <v>74</v>
      </c>
      <c r="Q845" s="1" t="s">
        <v>74</v>
      </c>
      <c r="R845" s="1" t="s">
        <v>74</v>
      </c>
      <c r="S845" s="1" t="s">
        <v>74</v>
      </c>
      <c r="T845" s="1" t="s">
        <v>7467</v>
      </c>
      <c r="U845" s="1" t="s">
        <v>74</v>
      </c>
      <c r="V845" s="1" t="s">
        <v>7468</v>
      </c>
      <c r="W845" s="1" t="s">
        <v>74</v>
      </c>
      <c r="X845" s="1" t="s">
        <v>74</v>
      </c>
      <c r="Y845" s="1" t="s">
        <v>74</v>
      </c>
      <c r="Z845" s="1" t="s">
        <v>74</v>
      </c>
      <c r="AA845" s="1" t="s">
        <v>74</v>
      </c>
      <c r="AB845" s="1" t="s">
        <v>74</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7469</v>
      </c>
      <c r="AP845" s="1" t="s">
        <v>7470</v>
      </c>
      <c r="AQ845" s="1" t="s">
        <v>74</v>
      </c>
      <c r="AR845" s="1" t="s">
        <v>74</v>
      </c>
      <c r="AS845" s="1" t="s">
        <v>74</v>
      </c>
      <c r="AT845" s="1" t="s">
        <v>736</v>
      </c>
      <c r="AU845" s="1">
        <v>2025.0</v>
      </c>
      <c r="AV845" s="1">
        <v>89.0</v>
      </c>
      <c r="AW845" s="1" t="s">
        <v>74</v>
      </c>
      <c r="AX845" s="1" t="s">
        <v>74</v>
      </c>
      <c r="AY845" s="1" t="s">
        <v>74</v>
      </c>
      <c r="AZ845" s="1" t="s">
        <v>74</v>
      </c>
      <c r="BA845" s="1" t="s">
        <v>74</v>
      </c>
      <c r="BB845" s="1" t="s">
        <v>74</v>
      </c>
      <c r="BC845" s="1" t="s">
        <v>74</v>
      </c>
      <c r="BD845" s="1">
        <v>101694.0</v>
      </c>
      <c r="BE845" s="1" t="s">
        <v>7471</v>
      </c>
      <c r="BF845" s="2" t="str">
        <f>HYPERLINK("http://dx.doi.org/10.1016/j.csl.2024.101694","http://dx.doi.org/10.1016/j.csl.2024.101694")</f>
        <v>http://dx.doi.org/10.1016/j.csl.2024.101694</v>
      </c>
      <c r="BG845" s="1" t="s">
        <v>74</v>
      </c>
      <c r="BH845" s="1" t="s">
        <v>545</v>
      </c>
      <c r="BI845" s="1" t="s">
        <v>74</v>
      </c>
      <c r="BJ845" s="1" t="s">
        <v>74</v>
      </c>
      <c r="BK845" s="1" t="s">
        <v>74</v>
      </c>
      <c r="BL845" s="1" t="s">
        <v>174</v>
      </c>
      <c r="BM845" s="1" t="s">
        <v>74</v>
      </c>
      <c r="BN845" s="1" t="s">
        <v>74</v>
      </c>
      <c r="BO845" s="1" t="s">
        <v>114</v>
      </c>
      <c r="BP845" s="1" t="s">
        <v>74</v>
      </c>
      <c r="BQ845" s="1" t="s">
        <v>74</v>
      </c>
      <c r="BR845" s="1" t="s">
        <v>74</v>
      </c>
      <c r="BS845" s="1" t="s">
        <v>7472</v>
      </c>
      <c r="BT845" s="1" t="str">
        <f>HYPERLINK("https%3A%2F%2Fwww.webofscience.com%2Fwos%2Fwoscc%2Ffull-record%2FWOS:001283924000001","View Full Record in Web of Science")</f>
        <v>View Full Record in Web of Science</v>
      </c>
    </row>
    <row r="846" ht="12.75" customHeight="1">
      <c r="A846" s="1" t="s">
        <v>72</v>
      </c>
      <c r="B846" s="1" t="s">
        <v>7473</v>
      </c>
      <c r="C846" s="1" t="s">
        <v>74</v>
      </c>
      <c r="D846" s="1" t="s">
        <v>74</v>
      </c>
      <c r="E846" s="1" t="s">
        <v>74</v>
      </c>
      <c r="F846" s="1" t="s">
        <v>7474</v>
      </c>
      <c r="G846" s="1" t="s">
        <v>74</v>
      </c>
      <c r="H846" s="1" t="s">
        <v>74</v>
      </c>
      <c r="I846" s="1" t="s">
        <v>7475</v>
      </c>
      <c r="J846" s="1" t="s">
        <v>147</v>
      </c>
      <c r="K846" s="1" t="s">
        <v>74</v>
      </c>
      <c r="L846" s="1" t="s">
        <v>74</v>
      </c>
      <c r="M846" s="1" t="s">
        <v>74</v>
      </c>
      <c r="N846" s="1" t="s">
        <v>78</v>
      </c>
      <c r="O846" s="1" t="s">
        <v>74</v>
      </c>
      <c r="P846" s="1" t="s">
        <v>74</v>
      </c>
      <c r="Q846" s="1" t="s">
        <v>74</v>
      </c>
      <c r="R846" s="1" t="s">
        <v>74</v>
      </c>
      <c r="S846" s="1" t="s">
        <v>74</v>
      </c>
      <c r="T846" s="1" t="s">
        <v>7476</v>
      </c>
      <c r="U846" s="1" t="s">
        <v>4424</v>
      </c>
      <c r="V846" s="1" t="s">
        <v>7477</v>
      </c>
      <c r="W846" s="1" t="s">
        <v>74</v>
      </c>
      <c r="X846" s="1" t="s">
        <v>74</v>
      </c>
      <c r="Y846" s="1" t="s">
        <v>74</v>
      </c>
      <c r="Z846" s="1" t="s">
        <v>74</v>
      </c>
      <c r="AA846" s="1" t="s">
        <v>74</v>
      </c>
      <c r="AB846" s="1" t="s">
        <v>74</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150</v>
      </c>
      <c r="AP846" s="1" t="s">
        <v>74</v>
      </c>
      <c r="AQ846" s="1" t="s">
        <v>74</v>
      </c>
      <c r="AR846" s="1" t="s">
        <v>74</v>
      </c>
      <c r="AS846" s="1" t="s">
        <v>74</v>
      </c>
      <c r="AT846" s="1" t="s">
        <v>74</v>
      </c>
      <c r="AU846" s="1">
        <v>2025.0</v>
      </c>
      <c r="AV846" s="1">
        <v>13.0</v>
      </c>
      <c r="AW846" s="1" t="s">
        <v>74</v>
      </c>
      <c r="AX846" s="1" t="s">
        <v>74</v>
      </c>
      <c r="AY846" s="1" t="s">
        <v>74</v>
      </c>
      <c r="AZ846" s="1" t="s">
        <v>74</v>
      </c>
      <c r="BA846" s="1" t="s">
        <v>74</v>
      </c>
      <c r="BB846" s="1">
        <v>163550.0</v>
      </c>
      <c r="BC846" s="1">
        <v>163570.0</v>
      </c>
      <c r="BD846" s="1" t="s">
        <v>74</v>
      </c>
      <c r="BE846" s="1" t="s">
        <v>7478</v>
      </c>
      <c r="BF846" s="2" t="str">
        <f>HYPERLINK("http://dx.doi.org/10.1109/ACCESS.2025.3611336","http://dx.doi.org/10.1109/ACCESS.2025.3611336")</f>
        <v>http://dx.doi.org/10.1109/ACCESS.2025.3611336</v>
      </c>
      <c r="BG846" s="1" t="s">
        <v>74</v>
      </c>
      <c r="BH846" s="1" t="s">
        <v>74</v>
      </c>
      <c r="BI846" s="1" t="s">
        <v>74</v>
      </c>
      <c r="BJ846" s="1" t="s">
        <v>74</v>
      </c>
      <c r="BK846" s="1" t="s">
        <v>74</v>
      </c>
      <c r="BL846" s="1" t="s">
        <v>152</v>
      </c>
      <c r="BM846" s="1" t="s">
        <v>74</v>
      </c>
      <c r="BN846" s="1" t="s">
        <v>74</v>
      </c>
      <c r="BO846" s="1" t="s">
        <v>153</v>
      </c>
      <c r="BP846" s="1" t="s">
        <v>74</v>
      </c>
      <c r="BQ846" s="1" t="s">
        <v>74</v>
      </c>
      <c r="BR846" s="1" t="s">
        <v>74</v>
      </c>
      <c r="BS846" s="1" t="s">
        <v>7479</v>
      </c>
      <c r="BT846" s="1" t="str">
        <f>HYPERLINK("https%3A%2F%2Fwww.webofscience.com%2Fwos%2Fwoscc%2Ffull-record%2FWOS:001579050200001","View Full Record in Web of Science")</f>
        <v>View Full Record in Web of Science</v>
      </c>
    </row>
    <row r="847" ht="12.75" customHeight="1">
      <c r="A847" s="1" t="s">
        <v>72</v>
      </c>
      <c r="B847" s="1" t="s">
        <v>7480</v>
      </c>
      <c r="C847" s="1" t="s">
        <v>74</v>
      </c>
      <c r="D847" s="1" t="s">
        <v>74</v>
      </c>
      <c r="E847" s="1" t="s">
        <v>74</v>
      </c>
      <c r="F847" s="1" t="s">
        <v>7481</v>
      </c>
      <c r="G847" s="1" t="s">
        <v>74</v>
      </c>
      <c r="H847" s="1" t="s">
        <v>74</v>
      </c>
      <c r="I847" s="1" t="s">
        <v>7482</v>
      </c>
      <c r="J847" s="1" t="s">
        <v>2479</v>
      </c>
      <c r="K847" s="1" t="s">
        <v>74</v>
      </c>
      <c r="L847" s="1" t="s">
        <v>74</v>
      </c>
      <c r="M847" s="1" t="s">
        <v>74</v>
      </c>
      <c r="N847" s="1" t="s">
        <v>78</v>
      </c>
      <c r="O847" s="1" t="s">
        <v>74</v>
      </c>
      <c r="P847" s="1" t="s">
        <v>74</v>
      </c>
      <c r="Q847" s="1" t="s">
        <v>74</v>
      </c>
      <c r="R847" s="1" t="s">
        <v>74</v>
      </c>
      <c r="S847" s="1" t="s">
        <v>74</v>
      </c>
      <c r="T847" s="1" t="s">
        <v>7483</v>
      </c>
      <c r="U847" s="1" t="s">
        <v>7484</v>
      </c>
      <c r="V847" s="1" t="s">
        <v>7485</v>
      </c>
      <c r="W847" s="1" t="s">
        <v>74</v>
      </c>
      <c r="X847" s="1" t="s">
        <v>74</v>
      </c>
      <c r="Y847" s="1" t="s">
        <v>74</v>
      </c>
      <c r="Z847" s="1" t="s">
        <v>74</v>
      </c>
      <c r="AA847" s="1" t="s">
        <v>74</v>
      </c>
      <c r="AB847" s="1" t="s">
        <v>74</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2483</v>
      </c>
      <c r="AP847" s="1" t="s">
        <v>2484</v>
      </c>
      <c r="AQ847" s="1" t="s">
        <v>74</v>
      </c>
      <c r="AR847" s="1" t="s">
        <v>74</v>
      </c>
      <c r="AS847" s="1" t="s">
        <v>74</v>
      </c>
      <c r="AT847" s="1" t="s">
        <v>172</v>
      </c>
      <c r="AU847" s="1">
        <v>2025.0</v>
      </c>
      <c r="AV847" s="1">
        <v>43.0</v>
      </c>
      <c r="AW847" s="1">
        <v>6.0</v>
      </c>
      <c r="AX847" s="1" t="s">
        <v>74</v>
      </c>
      <c r="AY847" s="1" t="s">
        <v>74</v>
      </c>
      <c r="AZ847" s="1" t="s">
        <v>74</v>
      </c>
      <c r="BA847" s="1" t="s">
        <v>74</v>
      </c>
      <c r="BB847" s="1" t="s">
        <v>74</v>
      </c>
      <c r="BC847" s="1" t="s">
        <v>74</v>
      </c>
      <c r="BD847" s="1">
        <v>167.0</v>
      </c>
      <c r="BE847" s="1" t="s">
        <v>7486</v>
      </c>
      <c r="BF847" s="2" t="str">
        <f>HYPERLINK("http://dx.doi.org/10.1145/3759453","http://dx.doi.org/10.1145/3759453")</f>
        <v>http://dx.doi.org/10.1145/3759453</v>
      </c>
      <c r="BG847" s="1" t="s">
        <v>74</v>
      </c>
      <c r="BH847" s="1" t="s">
        <v>74</v>
      </c>
      <c r="BI847" s="1" t="s">
        <v>74</v>
      </c>
      <c r="BJ847" s="1" t="s">
        <v>74</v>
      </c>
      <c r="BK847" s="1" t="s">
        <v>74</v>
      </c>
      <c r="BL847" s="1" t="s">
        <v>174</v>
      </c>
      <c r="BM847" s="1" t="s">
        <v>74</v>
      </c>
      <c r="BN847" s="1" t="s">
        <v>74</v>
      </c>
      <c r="BO847" s="1" t="s">
        <v>114</v>
      </c>
      <c r="BP847" s="1" t="s">
        <v>74</v>
      </c>
      <c r="BQ847" s="1" t="s">
        <v>74</v>
      </c>
      <c r="BR847" s="1" t="s">
        <v>74</v>
      </c>
      <c r="BS847" s="1" t="s">
        <v>7487</v>
      </c>
      <c r="BT847" s="1" t="str">
        <f>HYPERLINK("https%3A%2F%2Fwww.webofscience.com%2Fwos%2Fwoscc%2Ffull-record%2FWOS:001606094200003","View Full Record in Web of Science")</f>
        <v>View Full Record in Web of Science</v>
      </c>
    </row>
    <row r="848" ht="12.75" customHeight="1">
      <c r="A848" s="1" t="s">
        <v>72</v>
      </c>
      <c r="B848" s="1" t="s">
        <v>7488</v>
      </c>
      <c r="C848" s="1" t="s">
        <v>74</v>
      </c>
      <c r="D848" s="1" t="s">
        <v>74</v>
      </c>
      <c r="E848" s="1" t="s">
        <v>74</v>
      </c>
      <c r="F848" s="1" t="s">
        <v>7489</v>
      </c>
      <c r="G848" s="1" t="s">
        <v>74</v>
      </c>
      <c r="H848" s="1" t="s">
        <v>74</v>
      </c>
      <c r="I848" s="1" t="s">
        <v>7490</v>
      </c>
      <c r="J848" s="1" t="s">
        <v>239</v>
      </c>
      <c r="K848" s="1" t="s">
        <v>74</v>
      </c>
      <c r="L848" s="1" t="s">
        <v>74</v>
      </c>
      <c r="M848" s="1" t="s">
        <v>74</v>
      </c>
      <c r="N848" s="1" t="s">
        <v>78</v>
      </c>
      <c r="O848" s="1" t="s">
        <v>74</v>
      </c>
      <c r="P848" s="1" t="s">
        <v>74</v>
      </c>
      <c r="Q848" s="1" t="s">
        <v>74</v>
      </c>
      <c r="R848" s="1" t="s">
        <v>74</v>
      </c>
      <c r="S848" s="1" t="s">
        <v>74</v>
      </c>
      <c r="T848" s="1" t="s">
        <v>7491</v>
      </c>
      <c r="U848" s="1" t="s">
        <v>3146</v>
      </c>
      <c r="V848" s="1" t="s">
        <v>7492</v>
      </c>
      <c r="W848" s="1" t="s">
        <v>74</v>
      </c>
      <c r="X848" s="1" t="s">
        <v>74</v>
      </c>
      <c r="Y848" s="1" t="s">
        <v>74</v>
      </c>
      <c r="Z848" s="1" t="s">
        <v>74</v>
      </c>
      <c r="AA848" s="1" t="s">
        <v>74</v>
      </c>
      <c r="AB848" s="1" t="s">
        <v>74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242</v>
      </c>
      <c r="AP848" s="1" t="s">
        <v>74</v>
      </c>
      <c r="AQ848" s="1" t="s">
        <v>74</v>
      </c>
      <c r="AR848" s="1" t="s">
        <v>74</v>
      </c>
      <c r="AS848" s="1" t="s">
        <v>74</v>
      </c>
      <c r="AT848" s="1" t="s">
        <v>6045</v>
      </c>
      <c r="AU848" s="1">
        <v>2025.0</v>
      </c>
      <c r="AV848" s="1">
        <v>14.0</v>
      </c>
      <c r="AW848" s="1">
        <v>19.0</v>
      </c>
      <c r="AX848" s="1" t="s">
        <v>74</v>
      </c>
      <c r="AY848" s="1" t="s">
        <v>74</v>
      </c>
      <c r="AZ848" s="1" t="s">
        <v>74</v>
      </c>
      <c r="BA848" s="1" t="s">
        <v>74</v>
      </c>
      <c r="BB848" s="1" t="s">
        <v>74</v>
      </c>
      <c r="BC848" s="1" t="s">
        <v>74</v>
      </c>
      <c r="BD848" s="1">
        <v>3827.0</v>
      </c>
      <c r="BE848" s="1" t="s">
        <v>7493</v>
      </c>
      <c r="BF848" s="2" t="str">
        <f>HYPERLINK("http://dx.doi.org/10.3390/electronics14193827","http://dx.doi.org/10.3390/electronics14193827")</f>
        <v>http://dx.doi.org/10.3390/electronics14193827</v>
      </c>
      <c r="BG848" s="1" t="s">
        <v>74</v>
      </c>
      <c r="BH848" s="1" t="s">
        <v>74</v>
      </c>
      <c r="BI848" s="1" t="s">
        <v>74</v>
      </c>
      <c r="BJ848" s="1" t="s">
        <v>74</v>
      </c>
      <c r="BK848" s="1" t="s">
        <v>74</v>
      </c>
      <c r="BL848" s="1" t="s">
        <v>244</v>
      </c>
      <c r="BM848" s="1" t="s">
        <v>74</v>
      </c>
      <c r="BN848" s="1" t="s">
        <v>74</v>
      </c>
      <c r="BO848" s="1" t="s">
        <v>163</v>
      </c>
      <c r="BP848" s="1" t="s">
        <v>74</v>
      </c>
      <c r="BQ848" s="1" t="s">
        <v>74</v>
      </c>
      <c r="BR848" s="1" t="s">
        <v>74</v>
      </c>
      <c r="BS848" s="1" t="s">
        <v>7494</v>
      </c>
      <c r="BT848" s="1" t="str">
        <f>HYPERLINK("https%3A%2F%2Fwww.webofscience.com%2Fwos%2Fwoscc%2Ffull-record%2FWOS:001593537200001","View Full Record in Web of Science")</f>
        <v>View Full Record in Web of Science</v>
      </c>
    </row>
    <row r="849" ht="12.75" customHeight="1">
      <c r="A849" s="1" t="s">
        <v>72</v>
      </c>
      <c r="B849" s="1" t="s">
        <v>7495</v>
      </c>
      <c r="C849" s="1" t="s">
        <v>74</v>
      </c>
      <c r="D849" s="1" t="s">
        <v>74</v>
      </c>
      <c r="E849" s="1" t="s">
        <v>74</v>
      </c>
      <c r="F849" s="1" t="s">
        <v>7496</v>
      </c>
      <c r="G849" s="1" t="s">
        <v>74</v>
      </c>
      <c r="H849" s="1" t="s">
        <v>74</v>
      </c>
      <c r="I849" s="1" t="s">
        <v>7497</v>
      </c>
      <c r="J849" s="1" t="s">
        <v>1531</v>
      </c>
      <c r="K849" s="1" t="s">
        <v>74</v>
      </c>
      <c r="L849" s="1" t="s">
        <v>74</v>
      </c>
      <c r="M849" s="1" t="s">
        <v>74</v>
      </c>
      <c r="N849" s="1" t="s">
        <v>78</v>
      </c>
      <c r="O849" s="1" t="s">
        <v>74</v>
      </c>
      <c r="P849" s="1" t="s">
        <v>74</v>
      </c>
      <c r="Q849" s="1" t="s">
        <v>74</v>
      </c>
      <c r="R849" s="1" t="s">
        <v>74</v>
      </c>
      <c r="S849" s="1" t="s">
        <v>74</v>
      </c>
      <c r="T849" s="1" t="s">
        <v>7498</v>
      </c>
      <c r="U849" s="1" t="s">
        <v>74</v>
      </c>
      <c r="V849" s="1" t="s">
        <v>7499</v>
      </c>
      <c r="W849" s="1" t="s">
        <v>74</v>
      </c>
      <c r="X849" s="1" t="s">
        <v>74</v>
      </c>
      <c r="Y849" s="1" t="s">
        <v>74</v>
      </c>
      <c r="Z849" s="1" t="s">
        <v>74</v>
      </c>
      <c r="AA849" s="1" t="s">
        <v>74</v>
      </c>
      <c r="AB849" s="1" t="s">
        <v>74</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1534</v>
      </c>
      <c r="AP849" s="1" t="s">
        <v>74</v>
      </c>
      <c r="AQ849" s="1" t="s">
        <v>74</v>
      </c>
      <c r="AR849" s="1" t="s">
        <v>74</v>
      </c>
      <c r="AS849" s="1" t="s">
        <v>74</v>
      </c>
      <c r="AT849" s="1" t="s">
        <v>74</v>
      </c>
      <c r="AU849" s="1">
        <v>2025.0</v>
      </c>
      <c r="AV849" s="1">
        <v>16.0</v>
      </c>
      <c r="AW849" s="1">
        <v>2.0</v>
      </c>
      <c r="AX849" s="1" t="s">
        <v>74</v>
      </c>
      <c r="AY849" s="1" t="s">
        <v>74</v>
      </c>
      <c r="AZ849" s="1" t="s">
        <v>74</v>
      </c>
      <c r="BA849" s="1" t="s">
        <v>74</v>
      </c>
      <c r="BB849" s="1">
        <v>243.0</v>
      </c>
      <c r="BC849" s="1">
        <v>250.0</v>
      </c>
      <c r="BD849" s="1" t="s">
        <v>74</v>
      </c>
      <c r="BE849" s="1" t="s">
        <v>7500</v>
      </c>
      <c r="BF849" s="2" t="str">
        <f>HYPERLINK("http://dx.doi.org/10.12720/jait.16.2.243-250","http://dx.doi.org/10.12720/jait.16.2.243-250")</f>
        <v>http://dx.doi.org/10.12720/jait.16.2.243-250</v>
      </c>
      <c r="BG849" s="1" t="s">
        <v>74</v>
      </c>
      <c r="BH849" s="1" t="s">
        <v>74</v>
      </c>
      <c r="BI849" s="1" t="s">
        <v>74</v>
      </c>
      <c r="BJ849" s="1" t="s">
        <v>74</v>
      </c>
      <c r="BK849" s="1" t="s">
        <v>74</v>
      </c>
      <c r="BL849" s="1" t="s">
        <v>174</v>
      </c>
      <c r="BM849" s="1" t="s">
        <v>74</v>
      </c>
      <c r="BN849" s="1" t="s">
        <v>74</v>
      </c>
      <c r="BO849" s="1" t="s">
        <v>163</v>
      </c>
      <c r="BP849" s="1" t="s">
        <v>74</v>
      </c>
      <c r="BQ849" s="1" t="s">
        <v>74</v>
      </c>
      <c r="BR849" s="1" t="s">
        <v>74</v>
      </c>
      <c r="BS849" s="1" t="s">
        <v>7501</v>
      </c>
      <c r="BT849" s="1" t="str">
        <f>HYPERLINK("https%3A%2F%2Fwww.webofscience.com%2Fwos%2Fwoscc%2Ffull-record%2FWOS:001435549200010","View Full Record in Web of Science")</f>
        <v>View Full Record in Web of Science</v>
      </c>
    </row>
    <row r="850" ht="12.75" customHeight="1">
      <c r="A850" s="1" t="s">
        <v>72</v>
      </c>
      <c r="B850" s="1" t="s">
        <v>7502</v>
      </c>
      <c r="C850" s="1" t="s">
        <v>74</v>
      </c>
      <c r="D850" s="1" t="s">
        <v>74</v>
      </c>
      <c r="E850" s="1" t="s">
        <v>74</v>
      </c>
      <c r="F850" s="1" t="s">
        <v>7503</v>
      </c>
      <c r="G850" s="1" t="s">
        <v>74</v>
      </c>
      <c r="H850" s="1" t="s">
        <v>74</v>
      </c>
      <c r="I850" s="1" t="s">
        <v>7504</v>
      </c>
      <c r="J850" s="1" t="s">
        <v>840</v>
      </c>
      <c r="K850" s="1" t="s">
        <v>74</v>
      </c>
      <c r="L850" s="1" t="s">
        <v>74</v>
      </c>
      <c r="M850" s="1" t="s">
        <v>74</v>
      </c>
      <c r="N850" s="1" t="s">
        <v>158</v>
      </c>
      <c r="O850" s="1" t="s">
        <v>74</v>
      </c>
      <c r="P850" s="1" t="s">
        <v>74</v>
      </c>
      <c r="Q850" s="1" t="s">
        <v>74</v>
      </c>
      <c r="R850" s="1" t="s">
        <v>74</v>
      </c>
      <c r="S850" s="1" t="s">
        <v>74</v>
      </c>
      <c r="T850" s="1" t="s">
        <v>7505</v>
      </c>
      <c r="U850" s="1" t="s">
        <v>7506</v>
      </c>
      <c r="V850" s="1" t="s">
        <v>7507</v>
      </c>
      <c r="W850" s="1" t="s">
        <v>74</v>
      </c>
      <c r="X850" s="1" t="s">
        <v>74</v>
      </c>
      <c r="Y850" s="1" t="s">
        <v>74</v>
      </c>
      <c r="Z850" s="1" t="s">
        <v>74</v>
      </c>
      <c r="AA850" s="1" t="s">
        <v>74</v>
      </c>
      <c r="AB850" s="1" t="s">
        <v>74</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74</v>
      </c>
      <c r="AP850" s="1" t="s">
        <v>4723</v>
      </c>
      <c r="AQ850" s="1" t="s">
        <v>74</v>
      </c>
      <c r="AR850" s="1" t="s">
        <v>74</v>
      </c>
      <c r="AS850" s="1" t="s">
        <v>74</v>
      </c>
      <c r="AT850" s="1" t="s">
        <v>7508</v>
      </c>
      <c r="AU850" s="1">
        <v>2025.0</v>
      </c>
      <c r="AV850" s="1">
        <v>13.0</v>
      </c>
      <c r="AW850" s="1">
        <v>4.0</v>
      </c>
      <c r="AX850" s="1" t="s">
        <v>74</v>
      </c>
      <c r="AY850" s="1" t="s">
        <v>74</v>
      </c>
      <c r="AZ850" s="1" t="s">
        <v>74</v>
      </c>
      <c r="BA850" s="1" t="s">
        <v>74</v>
      </c>
      <c r="BB850" s="1" t="s">
        <v>74</v>
      </c>
      <c r="BC850" s="1" t="s">
        <v>74</v>
      </c>
      <c r="BD850" s="1">
        <v>281.0</v>
      </c>
      <c r="BE850" s="1" t="s">
        <v>7509</v>
      </c>
      <c r="BF850" s="2" t="str">
        <f>HYPERLINK("http://dx.doi.org/10.3390/systems13040281","http://dx.doi.org/10.3390/systems13040281")</f>
        <v>http://dx.doi.org/10.3390/systems13040281</v>
      </c>
      <c r="BG850" s="1" t="s">
        <v>74</v>
      </c>
      <c r="BH850" s="1" t="s">
        <v>74</v>
      </c>
      <c r="BI850" s="1" t="s">
        <v>74</v>
      </c>
      <c r="BJ850" s="1" t="s">
        <v>74</v>
      </c>
      <c r="BK850" s="1" t="s">
        <v>74</v>
      </c>
      <c r="BL850" s="1" t="s">
        <v>615</v>
      </c>
      <c r="BM850" s="1" t="s">
        <v>74</v>
      </c>
      <c r="BN850" s="1" t="s">
        <v>74</v>
      </c>
      <c r="BO850" s="1" t="s">
        <v>163</v>
      </c>
      <c r="BP850" s="1" t="s">
        <v>74</v>
      </c>
      <c r="BQ850" s="1" t="s">
        <v>74</v>
      </c>
      <c r="BR850" s="1" t="s">
        <v>74</v>
      </c>
      <c r="BS850" s="1" t="s">
        <v>7510</v>
      </c>
      <c r="BT850" s="1" t="str">
        <f>HYPERLINK("https%3A%2F%2Fwww.webofscience.com%2Fwos%2Fwoscc%2Ffull-record%2FWOS:001475653700001","View Full Record in Web of Science")</f>
        <v>View Full Record in Web of Science</v>
      </c>
    </row>
    <row r="851" ht="12.75" customHeight="1">
      <c r="A851" s="1" t="s">
        <v>72</v>
      </c>
      <c r="B851" s="1" t="s">
        <v>7511</v>
      </c>
      <c r="C851" s="1" t="s">
        <v>74</v>
      </c>
      <c r="D851" s="1" t="s">
        <v>74</v>
      </c>
      <c r="E851" s="1" t="s">
        <v>74</v>
      </c>
      <c r="F851" s="1" t="s">
        <v>7512</v>
      </c>
      <c r="G851" s="1" t="s">
        <v>74</v>
      </c>
      <c r="H851" s="1" t="s">
        <v>74</v>
      </c>
      <c r="I851" s="1" t="s">
        <v>7513</v>
      </c>
      <c r="J851" s="1" t="s">
        <v>881</v>
      </c>
      <c r="K851" s="1" t="s">
        <v>74</v>
      </c>
      <c r="L851" s="1" t="s">
        <v>74</v>
      </c>
      <c r="M851" s="1" t="s">
        <v>74</v>
      </c>
      <c r="N851" s="1" t="s">
        <v>78</v>
      </c>
      <c r="O851" s="1" t="s">
        <v>74</v>
      </c>
      <c r="P851" s="1" t="s">
        <v>74</v>
      </c>
      <c r="Q851" s="1" t="s">
        <v>74</v>
      </c>
      <c r="R851" s="1" t="s">
        <v>74</v>
      </c>
      <c r="S851" s="1" t="s">
        <v>74</v>
      </c>
      <c r="T851" s="1" t="s">
        <v>7514</v>
      </c>
      <c r="U851" s="1" t="s">
        <v>7515</v>
      </c>
      <c r="V851" s="1" t="s">
        <v>7516</v>
      </c>
      <c r="W851" s="1" t="s">
        <v>74</v>
      </c>
      <c r="X851" s="1" t="s">
        <v>74</v>
      </c>
      <c r="Y851" s="1" t="s">
        <v>74</v>
      </c>
      <c r="Z851" s="1" t="s">
        <v>74</v>
      </c>
      <c r="AA851" s="1" t="s">
        <v>74</v>
      </c>
      <c r="AB851" s="1" t="s">
        <v>74</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74</v>
      </c>
      <c r="AP851" s="1" t="s">
        <v>884</v>
      </c>
      <c r="AQ851" s="1" t="s">
        <v>74</v>
      </c>
      <c r="AR851" s="1" t="s">
        <v>74</v>
      </c>
      <c r="AS851" s="1" t="s">
        <v>74</v>
      </c>
      <c r="AT851" s="1" t="s">
        <v>7517</v>
      </c>
      <c r="AU851" s="1">
        <v>2025.0</v>
      </c>
      <c r="AV851" s="1">
        <v>16.0</v>
      </c>
      <c r="AW851" s="1">
        <v>6.0</v>
      </c>
      <c r="AX851" s="1" t="s">
        <v>74</v>
      </c>
      <c r="AY851" s="1" t="s">
        <v>74</v>
      </c>
      <c r="AZ851" s="1" t="s">
        <v>74</v>
      </c>
      <c r="BA851" s="1" t="s">
        <v>74</v>
      </c>
      <c r="BB851" s="1" t="s">
        <v>74</v>
      </c>
      <c r="BC851" s="1" t="s">
        <v>74</v>
      </c>
      <c r="BD851" s="1">
        <v>493.0</v>
      </c>
      <c r="BE851" s="1" t="s">
        <v>7518</v>
      </c>
      <c r="BF851" s="2" t="str">
        <f>HYPERLINK("http://dx.doi.org/10.3390/info16060493","http://dx.doi.org/10.3390/info16060493")</f>
        <v>http://dx.doi.org/10.3390/info16060493</v>
      </c>
      <c r="BG851" s="1" t="s">
        <v>74</v>
      </c>
      <c r="BH851" s="1" t="s">
        <v>74</v>
      </c>
      <c r="BI851" s="1" t="s">
        <v>74</v>
      </c>
      <c r="BJ851" s="1" t="s">
        <v>74</v>
      </c>
      <c r="BK851" s="1" t="s">
        <v>74</v>
      </c>
      <c r="BL851" s="1" t="s">
        <v>174</v>
      </c>
      <c r="BM851" s="1" t="s">
        <v>74</v>
      </c>
      <c r="BN851" s="1" t="s">
        <v>74</v>
      </c>
      <c r="BO851" s="1" t="s">
        <v>163</v>
      </c>
      <c r="BP851" s="1" t="s">
        <v>74</v>
      </c>
      <c r="BQ851" s="1" t="s">
        <v>74</v>
      </c>
      <c r="BR851" s="1" t="s">
        <v>74</v>
      </c>
      <c r="BS851" s="1" t="s">
        <v>7519</v>
      </c>
      <c r="BT851" s="1" t="str">
        <f>HYPERLINK("https%3A%2F%2Fwww.webofscience.com%2Fwos%2Fwoscc%2Ffull-record%2FWOS:001516038500001","View Full Record in Web of Science")</f>
        <v>View Full Record in Web of Science</v>
      </c>
    </row>
    <row r="852" ht="12.75" customHeight="1">
      <c r="A852" s="1" t="s">
        <v>72</v>
      </c>
      <c r="B852" s="1" t="s">
        <v>7520</v>
      </c>
      <c r="C852" s="1" t="s">
        <v>74</v>
      </c>
      <c r="D852" s="1" t="s">
        <v>74</v>
      </c>
      <c r="E852" s="1" t="s">
        <v>74</v>
      </c>
      <c r="F852" s="1" t="s">
        <v>7521</v>
      </c>
      <c r="G852" s="1" t="s">
        <v>74</v>
      </c>
      <c r="H852" s="1" t="s">
        <v>74</v>
      </c>
      <c r="I852" s="1" t="s">
        <v>7522</v>
      </c>
      <c r="J852" s="1" t="s">
        <v>239</v>
      </c>
      <c r="K852" s="1" t="s">
        <v>74</v>
      </c>
      <c r="L852" s="1" t="s">
        <v>74</v>
      </c>
      <c r="M852" s="1" t="s">
        <v>74</v>
      </c>
      <c r="N852" s="1" t="s">
        <v>78</v>
      </c>
      <c r="O852" s="1" t="s">
        <v>74</v>
      </c>
      <c r="P852" s="1" t="s">
        <v>74</v>
      </c>
      <c r="Q852" s="1" t="s">
        <v>74</v>
      </c>
      <c r="R852" s="1" t="s">
        <v>74</v>
      </c>
      <c r="S852" s="1" t="s">
        <v>74</v>
      </c>
      <c r="T852" s="1" t="s">
        <v>7523</v>
      </c>
      <c r="U852" s="1" t="s">
        <v>7524</v>
      </c>
      <c r="V852" s="1" t="s">
        <v>7525</v>
      </c>
      <c r="W852" s="1" t="s">
        <v>74</v>
      </c>
      <c r="X852" s="1" t="s">
        <v>74</v>
      </c>
      <c r="Y852" s="1" t="s">
        <v>74</v>
      </c>
      <c r="Z852" s="1" t="s">
        <v>74</v>
      </c>
      <c r="AA852" s="1" t="s">
        <v>74</v>
      </c>
      <c r="AB852" s="1" t="s">
        <v>74</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242</v>
      </c>
      <c r="AP852" s="1" t="s">
        <v>74</v>
      </c>
      <c r="AQ852" s="1" t="s">
        <v>74</v>
      </c>
      <c r="AR852" s="1" t="s">
        <v>74</v>
      </c>
      <c r="AS852" s="1" t="s">
        <v>74</v>
      </c>
      <c r="AT852" s="1" t="s">
        <v>7526</v>
      </c>
      <c r="AU852" s="1">
        <v>2025.0</v>
      </c>
      <c r="AV852" s="1">
        <v>14.0</v>
      </c>
      <c r="AW852" s="1">
        <v>16.0</v>
      </c>
      <c r="AX852" s="1" t="s">
        <v>74</v>
      </c>
      <c r="AY852" s="1" t="s">
        <v>74</v>
      </c>
      <c r="AZ852" s="1" t="s">
        <v>74</v>
      </c>
      <c r="BA852" s="1" t="s">
        <v>74</v>
      </c>
      <c r="BB852" s="1" t="s">
        <v>74</v>
      </c>
      <c r="BC852" s="1" t="s">
        <v>74</v>
      </c>
      <c r="BD852" s="1">
        <v>3164.0</v>
      </c>
      <c r="BE852" s="1" t="s">
        <v>7527</v>
      </c>
      <c r="BF852" s="2" t="str">
        <f>HYPERLINK("http://dx.doi.org/10.3390/electronics14163164","http://dx.doi.org/10.3390/electronics14163164")</f>
        <v>http://dx.doi.org/10.3390/electronics14163164</v>
      </c>
      <c r="BG852" s="1" t="s">
        <v>74</v>
      </c>
      <c r="BH852" s="1" t="s">
        <v>74</v>
      </c>
      <c r="BI852" s="1" t="s">
        <v>74</v>
      </c>
      <c r="BJ852" s="1" t="s">
        <v>74</v>
      </c>
      <c r="BK852" s="1" t="s">
        <v>74</v>
      </c>
      <c r="BL852" s="1" t="s">
        <v>244</v>
      </c>
      <c r="BM852" s="1" t="s">
        <v>74</v>
      </c>
      <c r="BN852" s="1" t="s">
        <v>74</v>
      </c>
      <c r="BO852" s="1" t="s">
        <v>163</v>
      </c>
      <c r="BP852" s="1" t="s">
        <v>74</v>
      </c>
      <c r="BQ852" s="1" t="s">
        <v>74</v>
      </c>
      <c r="BR852" s="1" t="s">
        <v>74</v>
      </c>
      <c r="BS852" s="1" t="s">
        <v>7528</v>
      </c>
      <c r="BT852" s="1" t="str">
        <f>HYPERLINK("https%3A%2F%2Fwww.webofscience.com%2Fwos%2Fwoscc%2Ffull-record%2FWOS:001557488300001","View Full Record in Web of Science")</f>
        <v>View Full Record in Web of Science</v>
      </c>
    </row>
    <row r="853" ht="12.75" customHeight="1">
      <c r="A853" s="1" t="s">
        <v>72</v>
      </c>
      <c r="B853" s="1" t="s">
        <v>7529</v>
      </c>
      <c r="C853" s="1" t="s">
        <v>74</v>
      </c>
      <c r="D853" s="1" t="s">
        <v>74</v>
      </c>
      <c r="E853" s="1" t="s">
        <v>74</v>
      </c>
      <c r="F853" s="1" t="s">
        <v>7530</v>
      </c>
      <c r="G853" s="1" t="s">
        <v>74</v>
      </c>
      <c r="H853" s="1" t="s">
        <v>74</v>
      </c>
      <c r="I853" s="1" t="s">
        <v>7531</v>
      </c>
      <c r="J853" s="1" t="s">
        <v>7532</v>
      </c>
      <c r="K853" s="1" t="s">
        <v>74</v>
      </c>
      <c r="L853" s="1" t="s">
        <v>74</v>
      </c>
      <c r="M853" s="1" t="s">
        <v>74</v>
      </c>
      <c r="N853" s="1" t="s">
        <v>953</v>
      </c>
      <c r="O853" s="1" t="s">
        <v>74</v>
      </c>
      <c r="P853" s="1" t="s">
        <v>74</v>
      </c>
      <c r="Q853" s="1" t="s">
        <v>74</v>
      </c>
      <c r="R853" s="1" t="s">
        <v>74</v>
      </c>
      <c r="S853" s="1" t="s">
        <v>74</v>
      </c>
      <c r="T853" s="1" t="s">
        <v>7533</v>
      </c>
      <c r="U853" s="1" t="s">
        <v>512</v>
      </c>
      <c r="V853" s="1" t="s">
        <v>7534</v>
      </c>
      <c r="W853" s="1" t="s">
        <v>74</v>
      </c>
      <c r="X853" s="1" t="s">
        <v>74</v>
      </c>
      <c r="Y853" s="1" t="s">
        <v>74</v>
      </c>
      <c r="Z853" s="1" t="s">
        <v>74</v>
      </c>
      <c r="AA853" s="1" t="s">
        <v>74</v>
      </c>
      <c r="AB853" s="1" t="s">
        <v>74</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7535</v>
      </c>
      <c r="AP853" s="1" t="s">
        <v>7536</v>
      </c>
      <c r="AQ853" s="1" t="s">
        <v>74</v>
      </c>
      <c r="AR853" s="1" t="s">
        <v>74</v>
      </c>
      <c r="AS853" s="1" t="s">
        <v>74</v>
      </c>
      <c r="AT853" s="1" t="s">
        <v>7537</v>
      </c>
      <c r="AU853" s="1">
        <v>2025.0</v>
      </c>
      <c r="AV853" s="1" t="s">
        <v>74</v>
      </c>
      <c r="AW853" s="1" t="s">
        <v>74</v>
      </c>
      <c r="AX853" s="1" t="s">
        <v>74</v>
      </c>
      <c r="AY853" s="1" t="s">
        <v>74</v>
      </c>
      <c r="AZ853" s="1" t="s">
        <v>74</v>
      </c>
      <c r="BA853" s="1" t="s">
        <v>74</v>
      </c>
      <c r="BB853" s="1" t="s">
        <v>74</v>
      </c>
      <c r="BC853" s="1" t="s">
        <v>74</v>
      </c>
      <c r="BD853" s="1" t="s">
        <v>74</v>
      </c>
      <c r="BE853" s="1" t="s">
        <v>7538</v>
      </c>
      <c r="BF853" s="2" t="str">
        <f>HYPERLINK("http://dx.doi.org/10.1108/AJIM-04-2025-0241","http://dx.doi.org/10.1108/AJIM-04-2025-0241")</f>
        <v>http://dx.doi.org/10.1108/AJIM-04-2025-0241</v>
      </c>
      <c r="BG853" s="1" t="s">
        <v>74</v>
      </c>
      <c r="BH853" s="1" t="s">
        <v>605</v>
      </c>
      <c r="BI853" s="1" t="s">
        <v>74</v>
      </c>
      <c r="BJ853" s="1" t="s">
        <v>74</v>
      </c>
      <c r="BK853" s="1" t="s">
        <v>74</v>
      </c>
      <c r="BL853" s="1" t="s">
        <v>2874</v>
      </c>
      <c r="BM853" s="1" t="s">
        <v>74</v>
      </c>
      <c r="BN853" s="1" t="s">
        <v>74</v>
      </c>
      <c r="BO853" s="1" t="s">
        <v>74</v>
      </c>
      <c r="BP853" s="1" t="s">
        <v>74</v>
      </c>
      <c r="BQ853" s="1" t="s">
        <v>74</v>
      </c>
      <c r="BR853" s="1" t="s">
        <v>74</v>
      </c>
      <c r="BS853" s="1" t="s">
        <v>7539</v>
      </c>
      <c r="BT853" s="1" t="str">
        <f>HYPERLINK("https%3A%2F%2Fwww.webofscience.com%2Fwos%2Fwoscc%2Ffull-record%2FWOS:001644544800001","View Full Record in Web of Science")</f>
        <v>View Full Record in Web of Science</v>
      </c>
    </row>
    <row r="854" ht="12.75" customHeight="1">
      <c r="A854" s="1" t="s">
        <v>72</v>
      </c>
      <c r="B854" s="1" t="s">
        <v>7540</v>
      </c>
      <c r="C854" s="1" t="s">
        <v>74</v>
      </c>
      <c r="D854" s="1" t="s">
        <v>74</v>
      </c>
      <c r="E854" s="1" t="s">
        <v>74</v>
      </c>
      <c r="F854" s="1" t="s">
        <v>7541</v>
      </c>
      <c r="G854" s="1" t="s">
        <v>74</v>
      </c>
      <c r="H854" s="1" t="s">
        <v>74</v>
      </c>
      <c r="I854" s="1" t="s">
        <v>7542</v>
      </c>
      <c r="J854" s="1" t="s">
        <v>4230</v>
      </c>
      <c r="K854" s="1" t="s">
        <v>74</v>
      </c>
      <c r="L854" s="1" t="s">
        <v>74</v>
      </c>
      <c r="M854" s="1" t="s">
        <v>74</v>
      </c>
      <c r="N854" s="1" t="s">
        <v>953</v>
      </c>
      <c r="O854" s="1" t="s">
        <v>74</v>
      </c>
      <c r="P854" s="1" t="s">
        <v>74</v>
      </c>
      <c r="Q854" s="1" t="s">
        <v>74</v>
      </c>
      <c r="R854" s="1" t="s">
        <v>74</v>
      </c>
      <c r="S854" s="1" t="s">
        <v>74</v>
      </c>
      <c r="T854" s="1" t="s">
        <v>7543</v>
      </c>
      <c r="U854" s="1" t="s">
        <v>74</v>
      </c>
      <c r="V854" s="1" t="s">
        <v>7544</v>
      </c>
      <c r="W854" s="1" t="s">
        <v>74</v>
      </c>
      <c r="X854" s="1" t="s">
        <v>74</v>
      </c>
      <c r="Y854" s="1" t="s">
        <v>74</v>
      </c>
      <c r="Z854" s="1" t="s">
        <v>74</v>
      </c>
      <c r="AA854" s="1" t="s">
        <v>74</v>
      </c>
      <c r="AB854" s="1" t="s">
        <v>74</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4234</v>
      </c>
      <c r="AP854" s="1" t="s">
        <v>4235</v>
      </c>
      <c r="AQ854" s="1" t="s">
        <v>74</v>
      </c>
      <c r="AR854" s="1" t="s">
        <v>74</v>
      </c>
      <c r="AS854" s="1" t="s">
        <v>74</v>
      </c>
      <c r="AT854" s="1" t="s">
        <v>7545</v>
      </c>
      <c r="AU854" s="1">
        <v>2025.0</v>
      </c>
      <c r="AV854" s="1" t="s">
        <v>74</v>
      </c>
      <c r="AW854" s="1" t="s">
        <v>74</v>
      </c>
      <c r="AX854" s="1" t="s">
        <v>74</v>
      </c>
      <c r="AY854" s="1" t="s">
        <v>74</v>
      </c>
      <c r="AZ854" s="1" t="s">
        <v>74</v>
      </c>
      <c r="BA854" s="1" t="s">
        <v>74</v>
      </c>
      <c r="BB854" s="1" t="s">
        <v>74</v>
      </c>
      <c r="BC854" s="1" t="s">
        <v>74</v>
      </c>
      <c r="BD854" s="1" t="s">
        <v>74</v>
      </c>
      <c r="BE854" s="1" t="s">
        <v>7546</v>
      </c>
      <c r="BF854" s="2" t="str">
        <f>HYPERLINK("http://dx.doi.org/10.1007/s00146-025-02446-z","http://dx.doi.org/10.1007/s00146-025-02446-z")</f>
        <v>http://dx.doi.org/10.1007/s00146-025-02446-z</v>
      </c>
      <c r="BG854" s="1" t="s">
        <v>74</v>
      </c>
      <c r="BH854" s="1" t="s">
        <v>973</v>
      </c>
      <c r="BI854" s="1" t="s">
        <v>74</v>
      </c>
      <c r="BJ854" s="1" t="s">
        <v>74</v>
      </c>
      <c r="BK854" s="1" t="s">
        <v>74</v>
      </c>
      <c r="BL854" s="1" t="s">
        <v>174</v>
      </c>
      <c r="BM854" s="1" t="s">
        <v>74</v>
      </c>
      <c r="BN854" s="1" t="s">
        <v>74</v>
      </c>
      <c r="BO854" s="1" t="s">
        <v>114</v>
      </c>
      <c r="BP854" s="1" t="s">
        <v>74</v>
      </c>
      <c r="BQ854" s="1" t="s">
        <v>74</v>
      </c>
      <c r="BR854" s="1" t="s">
        <v>74</v>
      </c>
      <c r="BS854" s="1" t="s">
        <v>7547</v>
      </c>
      <c r="BT854" s="1" t="str">
        <f>HYPERLINK("https%3A%2F%2Fwww.webofscience.com%2Fwos%2Fwoscc%2Ffull-record%2FWOS:001522647700001","View Full Record in Web of Science")</f>
        <v>View Full Record in Web of Science</v>
      </c>
    </row>
    <row r="855" ht="12.75" customHeight="1">
      <c r="A855" s="1" t="s">
        <v>72</v>
      </c>
      <c r="B855" s="1" t="s">
        <v>7548</v>
      </c>
      <c r="C855" s="1" t="s">
        <v>74</v>
      </c>
      <c r="D855" s="1" t="s">
        <v>74</v>
      </c>
      <c r="E855" s="1" t="s">
        <v>74</v>
      </c>
      <c r="F855" s="1" t="s">
        <v>7549</v>
      </c>
      <c r="G855" s="1" t="s">
        <v>74</v>
      </c>
      <c r="H855" s="1" t="s">
        <v>74</v>
      </c>
      <c r="I855" s="1" t="s">
        <v>7550</v>
      </c>
      <c r="J855" s="1" t="s">
        <v>569</v>
      </c>
      <c r="K855" s="1" t="s">
        <v>74</v>
      </c>
      <c r="L855" s="1" t="s">
        <v>74</v>
      </c>
      <c r="M855" s="1" t="s">
        <v>74</v>
      </c>
      <c r="N855" s="1" t="s">
        <v>78</v>
      </c>
      <c r="O855" s="1" t="s">
        <v>74</v>
      </c>
      <c r="P855" s="1" t="s">
        <v>74</v>
      </c>
      <c r="Q855" s="1" t="s">
        <v>74</v>
      </c>
      <c r="R855" s="1" t="s">
        <v>74</v>
      </c>
      <c r="S855" s="1" t="s">
        <v>74</v>
      </c>
      <c r="T855" s="1" t="s">
        <v>7551</v>
      </c>
      <c r="U855" s="1" t="s">
        <v>7552</v>
      </c>
      <c r="V855" s="1" t="s">
        <v>7553</v>
      </c>
      <c r="W855" s="1" t="s">
        <v>74</v>
      </c>
      <c r="X855" s="1" t="s">
        <v>74</v>
      </c>
      <c r="Y855" s="1" t="s">
        <v>74</v>
      </c>
      <c r="Z855" s="1" t="s">
        <v>74</v>
      </c>
      <c r="AA855" s="1" t="s">
        <v>74</v>
      </c>
      <c r="AB855" s="1" t="s">
        <v>74</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572</v>
      </c>
      <c r="AP855" s="1" t="s">
        <v>573</v>
      </c>
      <c r="AQ855" s="1" t="s">
        <v>74</v>
      </c>
      <c r="AR855" s="1" t="s">
        <v>74</v>
      </c>
      <c r="AS855" s="1" t="s">
        <v>74</v>
      </c>
      <c r="AT855" s="1" t="s">
        <v>7554</v>
      </c>
      <c r="AU855" s="1">
        <v>2025.0</v>
      </c>
      <c r="AV855" s="1">
        <v>58.0</v>
      </c>
      <c r="AW855" s="1">
        <v>8.0</v>
      </c>
      <c r="AX855" s="1" t="s">
        <v>74</v>
      </c>
      <c r="AY855" s="1" t="s">
        <v>74</v>
      </c>
      <c r="AZ855" s="1" t="s">
        <v>74</v>
      </c>
      <c r="BA855" s="1" t="s">
        <v>74</v>
      </c>
      <c r="BB855" s="1" t="s">
        <v>74</v>
      </c>
      <c r="BC855" s="1" t="s">
        <v>74</v>
      </c>
      <c r="BD855" s="1">
        <v>221.0</v>
      </c>
      <c r="BE855" s="1" t="s">
        <v>7555</v>
      </c>
      <c r="BF855" s="2" t="str">
        <f>HYPERLINK("http://dx.doi.org/10.1007/s10462-025-11185-y","http://dx.doi.org/10.1007/s10462-025-11185-y")</f>
        <v>http://dx.doi.org/10.1007/s10462-025-11185-y</v>
      </c>
      <c r="BG855" s="1" t="s">
        <v>74</v>
      </c>
      <c r="BH855" s="1" t="s">
        <v>74</v>
      </c>
      <c r="BI855" s="1" t="s">
        <v>74</v>
      </c>
      <c r="BJ855" s="1" t="s">
        <v>74</v>
      </c>
      <c r="BK855" s="1" t="s">
        <v>74</v>
      </c>
      <c r="BL855" s="1" t="s">
        <v>174</v>
      </c>
      <c r="BM855" s="1" t="s">
        <v>74</v>
      </c>
      <c r="BN855" s="1" t="s">
        <v>74</v>
      </c>
      <c r="BO855" s="1" t="s">
        <v>114</v>
      </c>
      <c r="BP855" s="1" t="s">
        <v>74</v>
      </c>
      <c r="BQ855" s="1" t="s">
        <v>74</v>
      </c>
      <c r="BR855" s="1" t="s">
        <v>74</v>
      </c>
      <c r="BS855" s="1" t="s">
        <v>7556</v>
      </c>
      <c r="BT855" s="1" t="str">
        <f>HYPERLINK("https%3A%2F%2Fwww.webofscience.com%2Fwos%2Fwoscc%2Ffull-record%2FWOS:001480703000003","View Full Record in Web of Science")</f>
        <v>View Full Record in Web of Science</v>
      </c>
    </row>
    <row r="856" ht="12.75" customHeight="1">
      <c r="A856" s="1" t="s">
        <v>72</v>
      </c>
      <c r="B856" s="1" t="s">
        <v>7557</v>
      </c>
      <c r="C856" s="1" t="s">
        <v>74</v>
      </c>
      <c r="D856" s="1" t="s">
        <v>74</v>
      </c>
      <c r="E856" s="1" t="s">
        <v>74</v>
      </c>
      <c r="F856" s="1" t="s">
        <v>7558</v>
      </c>
      <c r="G856" s="1" t="s">
        <v>74</v>
      </c>
      <c r="H856" s="1" t="s">
        <v>74</v>
      </c>
      <c r="I856" s="1" t="s">
        <v>7559</v>
      </c>
      <c r="J856" s="1" t="s">
        <v>7560</v>
      </c>
      <c r="K856" s="1" t="s">
        <v>74</v>
      </c>
      <c r="L856" s="1" t="s">
        <v>74</v>
      </c>
      <c r="M856" s="1" t="s">
        <v>74</v>
      </c>
      <c r="N856" s="1" t="s">
        <v>78</v>
      </c>
      <c r="O856" s="1" t="s">
        <v>74</v>
      </c>
      <c r="P856" s="1" t="s">
        <v>74</v>
      </c>
      <c r="Q856" s="1" t="s">
        <v>74</v>
      </c>
      <c r="R856" s="1" t="s">
        <v>74</v>
      </c>
      <c r="S856" s="1" t="s">
        <v>74</v>
      </c>
      <c r="T856" s="1" t="s">
        <v>7561</v>
      </c>
      <c r="U856" s="1" t="s">
        <v>74</v>
      </c>
      <c r="V856" s="1" t="s">
        <v>7562</v>
      </c>
      <c r="W856" s="1" t="s">
        <v>74</v>
      </c>
      <c r="X856" s="1" t="s">
        <v>74</v>
      </c>
      <c r="Y856" s="1" t="s">
        <v>74</v>
      </c>
      <c r="Z856" s="1" t="s">
        <v>74</v>
      </c>
      <c r="AA856" s="1" t="s">
        <v>74</v>
      </c>
      <c r="AB856" s="1" t="s">
        <v>74</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7563</v>
      </c>
      <c r="AP856" s="1" t="s">
        <v>7564</v>
      </c>
      <c r="AQ856" s="1" t="s">
        <v>74</v>
      </c>
      <c r="AR856" s="1" t="s">
        <v>74</v>
      </c>
      <c r="AS856" s="1" t="s">
        <v>74</v>
      </c>
      <c r="AT856" s="1" t="s">
        <v>200</v>
      </c>
      <c r="AU856" s="1">
        <v>2025.0</v>
      </c>
      <c r="AV856" s="1">
        <v>19.0</v>
      </c>
      <c r="AW856" s="1">
        <v>4.0</v>
      </c>
      <c r="AX856" s="1" t="s">
        <v>74</v>
      </c>
      <c r="AY856" s="1" t="s">
        <v>74</v>
      </c>
      <c r="AZ856" s="1" t="s">
        <v>74</v>
      </c>
      <c r="BA856" s="1" t="s">
        <v>74</v>
      </c>
      <c r="BB856" s="1">
        <v>589.0</v>
      </c>
      <c r="BC856" s="1">
        <v>613.0</v>
      </c>
      <c r="BD856" s="1" t="s">
        <v>74</v>
      </c>
      <c r="BE856" s="1" t="s">
        <v>7565</v>
      </c>
      <c r="BF856" s="2" t="str">
        <f>HYPERLINK("http://dx.doi.org/10.1142/S1793351X25450035","http://dx.doi.org/10.1142/S1793351X25450035")</f>
        <v>http://dx.doi.org/10.1142/S1793351X25450035</v>
      </c>
      <c r="BG856" s="1" t="s">
        <v>74</v>
      </c>
      <c r="BH856" s="1" t="s">
        <v>255</v>
      </c>
      <c r="BI856" s="1" t="s">
        <v>74</v>
      </c>
      <c r="BJ856" s="1" t="s">
        <v>74</v>
      </c>
      <c r="BK856" s="1" t="s">
        <v>74</v>
      </c>
      <c r="BL856" s="1" t="s">
        <v>174</v>
      </c>
      <c r="BM856" s="1" t="s">
        <v>74</v>
      </c>
      <c r="BN856" s="1" t="s">
        <v>74</v>
      </c>
      <c r="BO856" s="1" t="s">
        <v>74</v>
      </c>
      <c r="BP856" s="1" t="s">
        <v>74</v>
      </c>
      <c r="BQ856" s="1" t="s">
        <v>74</v>
      </c>
      <c r="BR856" s="1" t="s">
        <v>74</v>
      </c>
      <c r="BS856" s="1" t="s">
        <v>7566</v>
      </c>
      <c r="BT856" s="1" t="str">
        <f>HYPERLINK("https%3A%2F%2Fwww.webofscience.com%2Fwos%2Fwoscc%2Ffull-record%2FWOS:001626674100001","View Full Record in Web of Science")</f>
        <v>View Full Record in Web of Science</v>
      </c>
    </row>
    <row r="857" ht="12.75" customHeight="1">
      <c r="A857" s="1" t="s">
        <v>72</v>
      </c>
      <c r="B857" s="1" t="s">
        <v>7567</v>
      </c>
      <c r="C857" s="1" t="s">
        <v>74</v>
      </c>
      <c r="D857" s="1" t="s">
        <v>74</v>
      </c>
      <c r="E857" s="1" t="s">
        <v>74</v>
      </c>
      <c r="F857" s="1" t="s">
        <v>7568</v>
      </c>
      <c r="G857" s="1" t="s">
        <v>74</v>
      </c>
      <c r="H857" s="1" t="s">
        <v>74</v>
      </c>
      <c r="I857" s="1" t="s">
        <v>7569</v>
      </c>
      <c r="J857" s="1" t="s">
        <v>881</v>
      </c>
      <c r="K857" s="1" t="s">
        <v>74</v>
      </c>
      <c r="L857" s="1" t="s">
        <v>74</v>
      </c>
      <c r="M857" s="1" t="s">
        <v>74</v>
      </c>
      <c r="N857" s="1" t="s">
        <v>78</v>
      </c>
      <c r="O857" s="1" t="s">
        <v>74</v>
      </c>
      <c r="P857" s="1" t="s">
        <v>74</v>
      </c>
      <c r="Q857" s="1" t="s">
        <v>74</v>
      </c>
      <c r="R857" s="1" t="s">
        <v>74</v>
      </c>
      <c r="S857" s="1" t="s">
        <v>74</v>
      </c>
      <c r="T857" s="1" t="s">
        <v>7570</v>
      </c>
      <c r="U857" s="1" t="s">
        <v>74</v>
      </c>
      <c r="V857" s="1" t="s">
        <v>7571</v>
      </c>
      <c r="W857" s="1" t="s">
        <v>74</v>
      </c>
      <c r="X857" s="1" t="s">
        <v>74</v>
      </c>
      <c r="Y857" s="1" t="s">
        <v>74</v>
      </c>
      <c r="Z857" s="1" t="s">
        <v>74</v>
      </c>
      <c r="AA857" s="1" t="s">
        <v>74</v>
      </c>
      <c r="AB857" s="1" t="s">
        <v>74</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74</v>
      </c>
      <c r="AP857" s="1" t="s">
        <v>884</v>
      </c>
      <c r="AQ857" s="1" t="s">
        <v>74</v>
      </c>
      <c r="AR857" s="1" t="s">
        <v>74</v>
      </c>
      <c r="AS857" s="1" t="s">
        <v>74</v>
      </c>
      <c r="AT857" s="1" t="s">
        <v>2257</v>
      </c>
      <c r="AU857" s="1">
        <v>2025.0</v>
      </c>
      <c r="AV857" s="1">
        <v>16.0</v>
      </c>
      <c r="AW857" s="1">
        <v>11.0</v>
      </c>
      <c r="AX857" s="1" t="s">
        <v>74</v>
      </c>
      <c r="AY857" s="1" t="s">
        <v>74</v>
      </c>
      <c r="AZ857" s="1" t="s">
        <v>74</v>
      </c>
      <c r="BA857" s="1" t="s">
        <v>74</v>
      </c>
      <c r="BB857" s="1" t="s">
        <v>74</v>
      </c>
      <c r="BC857" s="1" t="s">
        <v>74</v>
      </c>
      <c r="BD857" s="1">
        <v>1015.0</v>
      </c>
      <c r="BE857" s="1" t="s">
        <v>7572</v>
      </c>
      <c r="BF857" s="2" t="str">
        <f>HYPERLINK("http://dx.doi.org/10.3390/info16111015","http://dx.doi.org/10.3390/info16111015")</f>
        <v>http://dx.doi.org/10.3390/info16111015</v>
      </c>
      <c r="BG857" s="1" t="s">
        <v>74</v>
      </c>
      <c r="BH857" s="1" t="s">
        <v>74</v>
      </c>
      <c r="BI857" s="1" t="s">
        <v>74</v>
      </c>
      <c r="BJ857" s="1" t="s">
        <v>74</v>
      </c>
      <c r="BK857" s="1" t="s">
        <v>74</v>
      </c>
      <c r="BL857" s="1" t="s">
        <v>174</v>
      </c>
      <c r="BM857" s="1" t="s">
        <v>74</v>
      </c>
      <c r="BN857" s="1" t="s">
        <v>74</v>
      </c>
      <c r="BO857" s="1" t="s">
        <v>163</v>
      </c>
      <c r="BP857" s="1" t="s">
        <v>74</v>
      </c>
      <c r="BQ857" s="1" t="s">
        <v>74</v>
      </c>
      <c r="BR857" s="1" t="s">
        <v>74</v>
      </c>
      <c r="BS857" s="1" t="s">
        <v>7573</v>
      </c>
      <c r="BT857" s="1" t="str">
        <f>HYPERLINK("https%3A%2F%2Fwww.webofscience.com%2Fwos%2Fwoscc%2Ffull-record%2FWOS:001623833900001","View Full Record in Web of Science")</f>
        <v>View Full Record in Web of Science</v>
      </c>
    </row>
    <row r="858" ht="12.75" customHeight="1">
      <c r="A858" s="1" t="s">
        <v>72</v>
      </c>
      <c r="B858" s="1" t="s">
        <v>7574</v>
      </c>
      <c r="C858" s="1" t="s">
        <v>74</v>
      </c>
      <c r="D858" s="1" t="s">
        <v>74</v>
      </c>
      <c r="E858" s="1" t="s">
        <v>74</v>
      </c>
      <c r="F858" s="1" t="s">
        <v>7575</v>
      </c>
      <c r="G858" s="1" t="s">
        <v>74</v>
      </c>
      <c r="H858" s="1" t="s">
        <v>74</v>
      </c>
      <c r="I858" s="1" t="s">
        <v>7576</v>
      </c>
      <c r="J858" s="1" t="s">
        <v>147</v>
      </c>
      <c r="K858" s="1" t="s">
        <v>74</v>
      </c>
      <c r="L858" s="1" t="s">
        <v>74</v>
      </c>
      <c r="M858" s="1" t="s">
        <v>74</v>
      </c>
      <c r="N858" s="1" t="s">
        <v>78</v>
      </c>
      <c r="O858" s="1" t="s">
        <v>74</v>
      </c>
      <c r="P858" s="1" t="s">
        <v>74</v>
      </c>
      <c r="Q858" s="1" t="s">
        <v>74</v>
      </c>
      <c r="R858" s="1" t="s">
        <v>74</v>
      </c>
      <c r="S858" s="1" t="s">
        <v>74</v>
      </c>
      <c r="T858" s="1" t="s">
        <v>7577</v>
      </c>
      <c r="U858" s="1" t="s">
        <v>7578</v>
      </c>
      <c r="V858" s="1" t="s">
        <v>7579</v>
      </c>
      <c r="W858" s="1" t="s">
        <v>74</v>
      </c>
      <c r="X858" s="1" t="s">
        <v>74</v>
      </c>
      <c r="Y858" s="1" t="s">
        <v>74</v>
      </c>
      <c r="Z858" s="1" t="s">
        <v>74</v>
      </c>
      <c r="AA858" s="1" t="s">
        <v>74</v>
      </c>
      <c r="AB858" s="1" t="s">
        <v>74</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150</v>
      </c>
      <c r="AP858" s="1" t="s">
        <v>74</v>
      </c>
      <c r="AQ858" s="1" t="s">
        <v>74</v>
      </c>
      <c r="AR858" s="1" t="s">
        <v>74</v>
      </c>
      <c r="AS858" s="1" t="s">
        <v>74</v>
      </c>
      <c r="AT858" s="1" t="s">
        <v>74</v>
      </c>
      <c r="AU858" s="1">
        <v>2025.0</v>
      </c>
      <c r="AV858" s="1">
        <v>13.0</v>
      </c>
      <c r="AW858" s="1" t="s">
        <v>74</v>
      </c>
      <c r="AX858" s="1" t="s">
        <v>74</v>
      </c>
      <c r="AY858" s="1" t="s">
        <v>74</v>
      </c>
      <c r="AZ858" s="1" t="s">
        <v>74</v>
      </c>
      <c r="BA858" s="1" t="s">
        <v>74</v>
      </c>
      <c r="BB858" s="1">
        <v>26876.0</v>
      </c>
      <c r="BC858" s="1">
        <v>26896.0</v>
      </c>
      <c r="BD858" s="1" t="s">
        <v>74</v>
      </c>
      <c r="BE858" s="1" t="s">
        <v>7580</v>
      </c>
      <c r="BF858" s="2" t="str">
        <f>HYPERLINK("http://dx.doi.org/10.1109/ACCESS.2025.3538566","http://dx.doi.org/10.1109/ACCESS.2025.3538566")</f>
        <v>http://dx.doi.org/10.1109/ACCESS.2025.3538566</v>
      </c>
      <c r="BG858" s="1" t="s">
        <v>74</v>
      </c>
      <c r="BH858" s="1" t="s">
        <v>74</v>
      </c>
      <c r="BI858" s="1" t="s">
        <v>74</v>
      </c>
      <c r="BJ858" s="1" t="s">
        <v>74</v>
      </c>
      <c r="BK858" s="1" t="s">
        <v>74</v>
      </c>
      <c r="BL858" s="1" t="s">
        <v>152</v>
      </c>
      <c r="BM858" s="1" t="s">
        <v>74</v>
      </c>
      <c r="BN858" s="1" t="s">
        <v>74</v>
      </c>
      <c r="BO858" s="1" t="s">
        <v>153</v>
      </c>
      <c r="BP858" s="1" t="s">
        <v>74</v>
      </c>
      <c r="BQ858" s="1" t="s">
        <v>74</v>
      </c>
      <c r="BR858" s="1" t="s">
        <v>74</v>
      </c>
      <c r="BS858" s="1" t="s">
        <v>7581</v>
      </c>
      <c r="BT858" s="1" t="str">
        <f>HYPERLINK("https%3A%2F%2Fwww.webofscience.com%2Fwos%2Fwoscc%2Ffull-record%2FWOS:001422034400044","View Full Record in Web of Science")</f>
        <v>View Full Record in Web of Science</v>
      </c>
    </row>
    <row r="859" ht="12.75" customHeight="1">
      <c r="A859" s="1" t="s">
        <v>72</v>
      </c>
      <c r="B859" s="1" t="s">
        <v>7582</v>
      </c>
      <c r="C859" s="1" t="s">
        <v>74</v>
      </c>
      <c r="D859" s="1" t="s">
        <v>74</v>
      </c>
      <c r="E859" s="1" t="s">
        <v>74</v>
      </c>
      <c r="F859" s="1" t="s">
        <v>7583</v>
      </c>
      <c r="G859" s="1" t="s">
        <v>74</v>
      </c>
      <c r="H859" s="1" t="s">
        <v>74</v>
      </c>
      <c r="I859" s="1" t="s">
        <v>7584</v>
      </c>
      <c r="J859" s="1" t="s">
        <v>3358</v>
      </c>
      <c r="K859" s="1" t="s">
        <v>74</v>
      </c>
      <c r="L859" s="1" t="s">
        <v>74</v>
      </c>
      <c r="M859" s="1" t="s">
        <v>74</v>
      </c>
      <c r="N859" s="1" t="s">
        <v>78</v>
      </c>
      <c r="O859" s="1" t="s">
        <v>74</v>
      </c>
      <c r="P859" s="1" t="s">
        <v>74</v>
      </c>
      <c r="Q859" s="1" t="s">
        <v>74</v>
      </c>
      <c r="R859" s="1" t="s">
        <v>74</v>
      </c>
      <c r="S859" s="1" t="s">
        <v>74</v>
      </c>
      <c r="T859" s="1" t="s">
        <v>7585</v>
      </c>
      <c r="U859" s="1" t="s">
        <v>7586</v>
      </c>
      <c r="V859" s="1" t="s">
        <v>7587</v>
      </c>
      <c r="W859" s="1" t="s">
        <v>74</v>
      </c>
      <c r="X859" s="1" t="s">
        <v>74</v>
      </c>
      <c r="Y859" s="1" t="s">
        <v>74</v>
      </c>
      <c r="Z859" s="1" t="s">
        <v>74</v>
      </c>
      <c r="AA859" s="1" t="s">
        <v>74</v>
      </c>
      <c r="AB859" s="1" t="s">
        <v>74</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3361</v>
      </c>
      <c r="AP859" s="1" t="s">
        <v>3362</v>
      </c>
      <c r="AQ859" s="1" t="s">
        <v>74</v>
      </c>
      <c r="AR859" s="1" t="s">
        <v>74</v>
      </c>
      <c r="AS859" s="1" t="s">
        <v>74</v>
      </c>
      <c r="AT859" s="1" t="s">
        <v>139</v>
      </c>
      <c r="AU859" s="1">
        <v>2025.0</v>
      </c>
      <c r="AV859" s="1">
        <v>91.0</v>
      </c>
      <c r="AW859" s="1" t="s">
        <v>74</v>
      </c>
      <c r="AX859" s="1" t="s">
        <v>74</v>
      </c>
      <c r="AY859" s="1" t="s">
        <v>74</v>
      </c>
      <c r="AZ859" s="1" t="s">
        <v>74</v>
      </c>
      <c r="BA859" s="1" t="s">
        <v>74</v>
      </c>
      <c r="BB859" s="1" t="s">
        <v>74</v>
      </c>
      <c r="BC859" s="1" t="s">
        <v>74</v>
      </c>
      <c r="BD859" s="1">
        <v>102852.0</v>
      </c>
      <c r="BE859" s="1" t="s">
        <v>7588</v>
      </c>
      <c r="BF859" s="2" t="str">
        <f>HYPERLINK("http://dx.doi.org/10.1016/j.rcim.2024.102852","http://dx.doi.org/10.1016/j.rcim.2024.102852")</f>
        <v>http://dx.doi.org/10.1016/j.rcim.2024.102852</v>
      </c>
      <c r="BG859" s="1" t="s">
        <v>74</v>
      </c>
      <c r="BH859" s="1" t="s">
        <v>3887</v>
      </c>
      <c r="BI859" s="1" t="s">
        <v>74</v>
      </c>
      <c r="BJ859" s="1" t="s">
        <v>74</v>
      </c>
      <c r="BK859" s="1" t="s">
        <v>74</v>
      </c>
      <c r="BL859" s="1" t="s">
        <v>3364</v>
      </c>
      <c r="BM859" s="1" t="s">
        <v>74</v>
      </c>
      <c r="BN859" s="1" t="s">
        <v>74</v>
      </c>
      <c r="BO859" s="1" t="s">
        <v>74</v>
      </c>
      <c r="BP859" s="1" t="s">
        <v>74</v>
      </c>
      <c r="BQ859" s="1" t="s">
        <v>74</v>
      </c>
      <c r="BR859" s="1" t="s">
        <v>74</v>
      </c>
      <c r="BS859" s="1" t="s">
        <v>7589</v>
      </c>
      <c r="BT859" s="1" t="str">
        <f>HYPERLINK("https%3A%2F%2Fwww.webofscience.com%2Fwos%2Fwoscc%2Ffull-record%2FWOS:001301147400001","View Full Record in Web of Science")</f>
        <v>View Full Record in Web of Science</v>
      </c>
    </row>
    <row r="860" ht="12.75" customHeight="1">
      <c r="A860" s="1" t="s">
        <v>72</v>
      </c>
      <c r="B860" s="1" t="s">
        <v>7590</v>
      </c>
      <c r="C860" s="1" t="s">
        <v>74</v>
      </c>
      <c r="D860" s="1" t="s">
        <v>74</v>
      </c>
      <c r="E860" s="1" t="s">
        <v>74</v>
      </c>
      <c r="F860" s="1" t="s">
        <v>7591</v>
      </c>
      <c r="G860" s="1" t="s">
        <v>74</v>
      </c>
      <c r="H860" s="1" t="s">
        <v>74</v>
      </c>
      <c r="I860" s="1" t="s">
        <v>7592</v>
      </c>
      <c r="J860" s="1" t="s">
        <v>675</v>
      </c>
      <c r="K860" s="1" t="s">
        <v>74</v>
      </c>
      <c r="L860" s="1" t="s">
        <v>74</v>
      </c>
      <c r="M860" s="1" t="s">
        <v>74</v>
      </c>
      <c r="N860" s="1" t="s">
        <v>158</v>
      </c>
      <c r="O860" s="1" t="s">
        <v>74</v>
      </c>
      <c r="P860" s="1" t="s">
        <v>74</v>
      </c>
      <c r="Q860" s="1" t="s">
        <v>74</v>
      </c>
      <c r="R860" s="1" t="s">
        <v>74</v>
      </c>
      <c r="S860" s="1" t="s">
        <v>74</v>
      </c>
      <c r="T860" s="1" t="s">
        <v>7593</v>
      </c>
      <c r="U860" s="1" t="s">
        <v>7594</v>
      </c>
      <c r="V860" s="1" t="s">
        <v>7595</v>
      </c>
      <c r="W860" s="1" t="s">
        <v>74</v>
      </c>
      <c r="X860" s="1" t="s">
        <v>74</v>
      </c>
      <c r="Y860" s="1" t="s">
        <v>74</v>
      </c>
      <c r="Z860" s="1" t="s">
        <v>74</v>
      </c>
      <c r="AA860" s="1" t="s">
        <v>74</v>
      </c>
      <c r="AB860" s="1" t="s">
        <v>74</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74</v>
      </c>
      <c r="AP860" s="1" t="s">
        <v>679</v>
      </c>
      <c r="AQ860" s="1" t="s">
        <v>74</v>
      </c>
      <c r="AR860" s="1" t="s">
        <v>74</v>
      </c>
      <c r="AS860" s="1" t="s">
        <v>74</v>
      </c>
      <c r="AT860" s="1" t="s">
        <v>7596</v>
      </c>
      <c r="AU860" s="1">
        <v>2025.0</v>
      </c>
      <c r="AV860" s="1">
        <v>8.0</v>
      </c>
      <c r="AW860" s="1" t="s">
        <v>74</v>
      </c>
      <c r="AX860" s="1" t="s">
        <v>74</v>
      </c>
      <c r="AY860" s="1" t="s">
        <v>74</v>
      </c>
      <c r="AZ860" s="1" t="s">
        <v>74</v>
      </c>
      <c r="BA860" s="1" t="s">
        <v>74</v>
      </c>
      <c r="BB860" s="1" t="s">
        <v>74</v>
      </c>
      <c r="BC860" s="1" t="s">
        <v>74</v>
      </c>
      <c r="BD860" s="1">
        <v>1466092.0</v>
      </c>
      <c r="BE860" s="1" t="s">
        <v>7597</v>
      </c>
      <c r="BF860" s="2" t="str">
        <f>HYPERLINK("http://dx.doi.org/10.3389/frai.2025.1466092","http://dx.doi.org/10.3389/frai.2025.1466092")</f>
        <v>http://dx.doi.org/10.3389/frai.2025.1466092</v>
      </c>
      <c r="BG860" s="1" t="s">
        <v>74</v>
      </c>
      <c r="BH860" s="1" t="s">
        <v>74</v>
      </c>
      <c r="BI860" s="1" t="s">
        <v>74</v>
      </c>
      <c r="BJ860" s="1" t="s">
        <v>74</v>
      </c>
      <c r="BK860" s="1" t="s">
        <v>74</v>
      </c>
      <c r="BL860" s="1" t="s">
        <v>174</v>
      </c>
      <c r="BM860" s="1" t="s">
        <v>74</v>
      </c>
      <c r="BN860" s="1" t="s">
        <v>74</v>
      </c>
      <c r="BO860" s="1" t="s">
        <v>153</v>
      </c>
      <c r="BP860" s="1" t="s">
        <v>74</v>
      </c>
      <c r="BQ860" s="1" t="s">
        <v>74</v>
      </c>
      <c r="BR860" s="1" t="s">
        <v>74</v>
      </c>
      <c r="BS860" s="1" t="s">
        <v>7598</v>
      </c>
      <c r="BT860" s="1" t="str">
        <f>HYPERLINK("https%3A%2F%2Fwww.webofscience.com%2Fwos%2Fwoscc%2Ffull-record%2FWOS:001575671100001","View Full Record in Web of Science")</f>
        <v>View Full Record in Web of Science</v>
      </c>
    </row>
    <row r="861" ht="12.75" customHeight="1">
      <c r="A861" s="1" t="s">
        <v>72</v>
      </c>
      <c r="B861" s="1" t="s">
        <v>4375</v>
      </c>
      <c r="C861" s="1" t="s">
        <v>74</v>
      </c>
      <c r="D861" s="1" t="s">
        <v>74</v>
      </c>
      <c r="E861" s="1" t="s">
        <v>74</v>
      </c>
      <c r="F861" s="1" t="s">
        <v>4376</v>
      </c>
      <c r="G861" s="1" t="s">
        <v>74</v>
      </c>
      <c r="H861" s="1" t="s">
        <v>74</v>
      </c>
      <c r="I861" s="1" t="s">
        <v>7599</v>
      </c>
      <c r="J861" s="1" t="s">
        <v>881</v>
      </c>
      <c r="K861" s="1" t="s">
        <v>74</v>
      </c>
      <c r="L861" s="1" t="s">
        <v>74</v>
      </c>
      <c r="M861" s="1" t="s">
        <v>74</v>
      </c>
      <c r="N861" s="1" t="s">
        <v>78</v>
      </c>
      <c r="O861" s="1" t="s">
        <v>74</v>
      </c>
      <c r="P861" s="1" t="s">
        <v>74</v>
      </c>
      <c r="Q861" s="1" t="s">
        <v>74</v>
      </c>
      <c r="R861" s="1" t="s">
        <v>74</v>
      </c>
      <c r="S861" s="1" t="s">
        <v>74</v>
      </c>
      <c r="T861" s="1" t="s">
        <v>7600</v>
      </c>
      <c r="U861" s="1" t="s">
        <v>74</v>
      </c>
      <c r="V861" s="1" t="s">
        <v>7601</v>
      </c>
      <c r="W861" s="1" t="s">
        <v>74</v>
      </c>
      <c r="X861" s="1" t="s">
        <v>74</v>
      </c>
      <c r="Y861" s="1" t="s">
        <v>74</v>
      </c>
      <c r="Z861" s="1" t="s">
        <v>74</v>
      </c>
      <c r="AA861" s="1" t="s">
        <v>74</v>
      </c>
      <c r="AB861" s="1" t="s">
        <v>74</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74</v>
      </c>
      <c r="AP861" s="1" t="s">
        <v>884</v>
      </c>
      <c r="AQ861" s="1" t="s">
        <v>74</v>
      </c>
      <c r="AR861" s="1" t="s">
        <v>74</v>
      </c>
      <c r="AS861" s="1" t="s">
        <v>74</v>
      </c>
      <c r="AT861" s="1" t="s">
        <v>200</v>
      </c>
      <c r="AU861" s="1">
        <v>2024.0</v>
      </c>
      <c r="AV861" s="1">
        <v>15.0</v>
      </c>
      <c r="AW861" s="1">
        <v>12.0</v>
      </c>
      <c r="AX861" s="1" t="s">
        <v>74</v>
      </c>
      <c r="AY861" s="1" t="s">
        <v>74</v>
      </c>
      <c r="AZ861" s="1" t="s">
        <v>74</v>
      </c>
      <c r="BA861" s="1" t="s">
        <v>74</v>
      </c>
      <c r="BB861" s="1" t="s">
        <v>74</v>
      </c>
      <c r="BC861" s="1" t="s">
        <v>74</v>
      </c>
      <c r="BD861" s="1">
        <v>792.0</v>
      </c>
      <c r="BE861" s="1" t="s">
        <v>7602</v>
      </c>
      <c r="BF861" s="2" t="str">
        <f>HYPERLINK("http://dx.doi.org/10.3390/info15120792","http://dx.doi.org/10.3390/info15120792")</f>
        <v>http://dx.doi.org/10.3390/info15120792</v>
      </c>
      <c r="BG861" s="1" t="s">
        <v>74</v>
      </c>
      <c r="BH861" s="1" t="s">
        <v>74</v>
      </c>
      <c r="BI861" s="1" t="s">
        <v>74</v>
      </c>
      <c r="BJ861" s="1" t="s">
        <v>74</v>
      </c>
      <c r="BK861" s="1" t="s">
        <v>74</v>
      </c>
      <c r="BL861" s="1" t="s">
        <v>174</v>
      </c>
      <c r="BM861" s="1" t="s">
        <v>74</v>
      </c>
      <c r="BN861" s="1" t="s">
        <v>74</v>
      </c>
      <c r="BO861" s="1" t="s">
        <v>153</v>
      </c>
      <c r="BP861" s="1" t="s">
        <v>74</v>
      </c>
      <c r="BQ861" s="1" t="s">
        <v>74</v>
      </c>
      <c r="BR861" s="1" t="s">
        <v>74</v>
      </c>
      <c r="BS861" s="1" t="s">
        <v>7603</v>
      </c>
      <c r="BT861" s="1" t="str">
        <f>HYPERLINK("https%3A%2F%2Fwww.webofscience.com%2Fwos%2Fwoscc%2Ffull-record%2FWOS:001384814600001","View Full Record in Web of Science")</f>
        <v>View Full Record in Web of Science</v>
      </c>
    </row>
    <row r="862" ht="12.75" customHeight="1">
      <c r="A862" s="1" t="s">
        <v>72</v>
      </c>
      <c r="B862" s="1" t="s">
        <v>7604</v>
      </c>
      <c r="C862" s="1" t="s">
        <v>74</v>
      </c>
      <c r="D862" s="1" t="s">
        <v>74</v>
      </c>
      <c r="E862" s="1" t="s">
        <v>74</v>
      </c>
      <c r="F862" s="1" t="s">
        <v>7605</v>
      </c>
      <c r="G862" s="1" t="s">
        <v>74</v>
      </c>
      <c r="H862" s="1" t="s">
        <v>74</v>
      </c>
      <c r="I862" s="1" t="s">
        <v>7606</v>
      </c>
      <c r="J862" s="1" t="s">
        <v>147</v>
      </c>
      <c r="K862" s="1" t="s">
        <v>74</v>
      </c>
      <c r="L862" s="1" t="s">
        <v>74</v>
      </c>
      <c r="M862" s="1" t="s">
        <v>74</v>
      </c>
      <c r="N862" s="1" t="s">
        <v>78</v>
      </c>
      <c r="O862" s="1" t="s">
        <v>74</v>
      </c>
      <c r="P862" s="1" t="s">
        <v>74</v>
      </c>
      <c r="Q862" s="1" t="s">
        <v>74</v>
      </c>
      <c r="R862" s="1" t="s">
        <v>74</v>
      </c>
      <c r="S862" s="1" t="s">
        <v>74</v>
      </c>
      <c r="T862" s="1" t="s">
        <v>7607</v>
      </c>
      <c r="U862" s="1" t="s">
        <v>74</v>
      </c>
      <c r="V862" s="1" t="s">
        <v>7608</v>
      </c>
      <c r="W862" s="1" t="s">
        <v>74</v>
      </c>
      <c r="X862" s="1" t="s">
        <v>74</v>
      </c>
      <c r="Y862" s="1" t="s">
        <v>74</v>
      </c>
      <c r="Z862" s="1" t="s">
        <v>74</v>
      </c>
      <c r="AA862" s="1" t="s">
        <v>74</v>
      </c>
      <c r="AB862" s="1" t="s">
        <v>74</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150</v>
      </c>
      <c r="AP862" s="1" t="s">
        <v>74</v>
      </c>
      <c r="AQ862" s="1" t="s">
        <v>74</v>
      </c>
      <c r="AR862" s="1" t="s">
        <v>74</v>
      </c>
      <c r="AS862" s="1" t="s">
        <v>74</v>
      </c>
      <c r="AT862" s="1" t="s">
        <v>74</v>
      </c>
      <c r="AU862" s="1">
        <v>2024.0</v>
      </c>
      <c r="AV862" s="1">
        <v>12.0</v>
      </c>
      <c r="AW862" s="1" t="s">
        <v>74</v>
      </c>
      <c r="AX862" s="1" t="s">
        <v>74</v>
      </c>
      <c r="AY862" s="1" t="s">
        <v>74</v>
      </c>
      <c r="AZ862" s="1" t="s">
        <v>74</v>
      </c>
      <c r="BA862" s="1" t="s">
        <v>74</v>
      </c>
      <c r="BB862" s="1">
        <v>195152.0</v>
      </c>
      <c r="BC862" s="1">
        <v>195173.0</v>
      </c>
      <c r="BD862" s="1" t="s">
        <v>74</v>
      </c>
      <c r="BE862" s="1" t="s">
        <v>7609</v>
      </c>
      <c r="BF862" s="2" t="str">
        <f>HYPERLINK("http://dx.doi.org/10.1109/ACCESS.2024.3520187","http://dx.doi.org/10.1109/ACCESS.2024.3520187")</f>
        <v>http://dx.doi.org/10.1109/ACCESS.2024.3520187</v>
      </c>
      <c r="BG862" s="1" t="s">
        <v>74</v>
      </c>
      <c r="BH862" s="1" t="s">
        <v>74</v>
      </c>
      <c r="BI862" s="1" t="s">
        <v>74</v>
      </c>
      <c r="BJ862" s="1" t="s">
        <v>74</v>
      </c>
      <c r="BK862" s="1" t="s">
        <v>74</v>
      </c>
      <c r="BL862" s="1" t="s">
        <v>152</v>
      </c>
      <c r="BM862" s="1" t="s">
        <v>74</v>
      </c>
      <c r="BN862" s="1" t="s">
        <v>74</v>
      </c>
      <c r="BO862" s="1" t="s">
        <v>153</v>
      </c>
      <c r="BP862" s="1" t="s">
        <v>74</v>
      </c>
      <c r="BQ862" s="1" t="s">
        <v>74</v>
      </c>
      <c r="BR862" s="1" t="s">
        <v>74</v>
      </c>
      <c r="BS862" s="1" t="s">
        <v>7610</v>
      </c>
      <c r="BT862" s="1" t="str">
        <f>HYPERLINK("https%3A%2F%2Fwww.webofscience.com%2Fwos%2Fwoscc%2Ffull-record%2FWOS:001387130900027","View Full Record in Web of Science")</f>
        <v>View Full Record in Web of Science</v>
      </c>
    </row>
    <row r="863" ht="12.75" customHeight="1">
      <c r="A863" s="1" t="s">
        <v>72</v>
      </c>
      <c r="B863" s="1" t="s">
        <v>7611</v>
      </c>
      <c r="C863" s="1" t="s">
        <v>74</v>
      </c>
      <c r="D863" s="1" t="s">
        <v>74</v>
      </c>
      <c r="E863" s="1" t="s">
        <v>74</v>
      </c>
      <c r="F863" s="1" t="s">
        <v>7612</v>
      </c>
      <c r="G863" s="1" t="s">
        <v>74</v>
      </c>
      <c r="H863" s="1" t="s">
        <v>74</v>
      </c>
      <c r="I863" s="1" t="s">
        <v>7613</v>
      </c>
      <c r="J863" s="1" t="s">
        <v>7614</v>
      </c>
      <c r="K863" s="1" t="s">
        <v>74</v>
      </c>
      <c r="L863" s="1" t="s">
        <v>74</v>
      </c>
      <c r="M863" s="1" t="s">
        <v>74</v>
      </c>
      <c r="N863" s="1" t="s">
        <v>78</v>
      </c>
      <c r="O863" s="1" t="s">
        <v>74</v>
      </c>
      <c r="P863" s="1" t="s">
        <v>74</v>
      </c>
      <c r="Q863" s="1" t="s">
        <v>74</v>
      </c>
      <c r="R863" s="1" t="s">
        <v>74</v>
      </c>
      <c r="S863" s="1" t="s">
        <v>74</v>
      </c>
      <c r="T863" s="1" t="s">
        <v>74</v>
      </c>
      <c r="U863" s="1" t="s">
        <v>7615</v>
      </c>
      <c r="V863" s="1" t="s">
        <v>7616</v>
      </c>
      <c r="W863" s="1" t="s">
        <v>74</v>
      </c>
      <c r="X863" s="1" t="s">
        <v>74</v>
      </c>
      <c r="Y863" s="1" t="s">
        <v>74</v>
      </c>
      <c r="Z863" s="1" t="s">
        <v>74</v>
      </c>
      <c r="AA863" s="1" t="s">
        <v>74</v>
      </c>
      <c r="AB863" s="1" t="s">
        <v>74</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7617</v>
      </c>
      <c r="AP863" s="1" t="s">
        <v>7618</v>
      </c>
      <c r="AQ863" s="1" t="s">
        <v>74</v>
      </c>
      <c r="AR863" s="1" t="s">
        <v>74</v>
      </c>
      <c r="AS863" s="1" t="s">
        <v>74</v>
      </c>
      <c r="AT863" s="1" t="s">
        <v>74</v>
      </c>
      <c r="AU863" s="1">
        <v>2024.0</v>
      </c>
      <c r="AV863" s="1">
        <v>80.0</v>
      </c>
      <c r="AW863" s="1" t="s">
        <v>74</v>
      </c>
      <c r="AX863" s="1" t="s">
        <v>74</v>
      </c>
      <c r="AY863" s="1" t="s">
        <v>74</v>
      </c>
      <c r="AZ863" s="1" t="s">
        <v>74</v>
      </c>
      <c r="BA863" s="1" t="s">
        <v>74</v>
      </c>
      <c r="BB863" s="1">
        <v>1271.0</v>
      </c>
      <c r="BC863" s="1">
        <v>1310.0</v>
      </c>
      <c r="BD863" s="1" t="s">
        <v>74</v>
      </c>
      <c r="BE863" s="1" t="s">
        <v>74</v>
      </c>
      <c r="BF863" s="1" t="s">
        <v>74</v>
      </c>
      <c r="BG863" s="1" t="s">
        <v>74</v>
      </c>
      <c r="BH863" s="1" t="s">
        <v>74</v>
      </c>
      <c r="BI863" s="1" t="s">
        <v>74</v>
      </c>
      <c r="BJ863" s="1" t="s">
        <v>74</v>
      </c>
      <c r="BK863" s="1" t="s">
        <v>74</v>
      </c>
      <c r="BL863" s="1" t="s">
        <v>174</v>
      </c>
      <c r="BM863" s="1" t="s">
        <v>74</v>
      </c>
      <c r="BN863" s="1" t="s">
        <v>74</v>
      </c>
      <c r="BO863" s="1" t="s">
        <v>74</v>
      </c>
      <c r="BP863" s="1" t="s">
        <v>74</v>
      </c>
      <c r="BQ863" s="1" t="s">
        <v>74</v>
      </c>
      <c r="BR863" s="1" t="s">
        <v>74</v>
      </c>
      <c r="BS863" s="1" t="s">
        <v>7619</v>
      </c>
      <c r="BT863" s="1" t="str">
        <f>HYPERLINK("https%3A%2F%2Fwww.webofscience.com%2Fwos%2Fwoscc%2Ffull-record%2FWOS:001297675500001","View Full Record in Web of Science")</f>
        <v>View Full Record in Web of Science</v>
      </c>
    </row>
    <row r="864" ht="12.75" customHeight="1">
      <c r="A864" s="1" t="s">
        <v>72</v>
      </c>
      <c r="B864" s="1" t="s">
        <v>7620</v>
      </c>
      <c r="C864" s="1" t="s">
        <v>74</v>
      </c>
      <c r="D864" s="1" t="s">
        <v>74</v>
      </c>
      <c r="E864" s="1" t="s">
        <v>74</v>
      </c>
      <c r="F864" s="1" t="s">
        <v>7621</v>
      </c>
      <c r="G864" s="1" t="s">
        <v>74</v>
      </c>
      <c r="H864" s="1" t="s">
        <v>74</v>
      </c>
      <c r="I864" s="1" t="s">
        <v>7622</v>
      </c>
      <c r="J864" s="1" t="s">
        <v>519</v>
      </c>
      <c r="K864" s="1" t="s">
        <v>74</v>
      </c>
      <c r="L864" s="1" t="s">
        <v>74</v>
      </c>
      <c r="M864" s="1" t="s">
        <v>74</v>
      </c>
      <c r="N864" s="1" t="s">
        <v>78</v>
      </c>
      <c r="O864" s="1" t="s">
        <v>74</v>
      </c>
      <c r="P864" s="1" t="s">
        <v>74</v>
      </c>
      <c r="Q864" s="1" t="s">
        <v>74</v>
      </c>
      <c r="R864" s="1" t="s">
        <v>74</v>
      </c>
      <c r="S864" s="1" t="s">
        <v>74</v>
      </c>
      <c r="T864" s="1" t="s">
        <v>7623</v>
      </c>
      <c r="U864" s="1" t="s">
        <v>7624</v>
      </c>
      <c r="V864" s="1" t="s">
        <v>7625</v>
      </c>
      <c r="W864" s="1" t="s">
        <v>74</v>
      </c>
      <c r="X864" s="1" t="s">
        <v>74</v>
      </c>
      <c r="Y864" s="1" t="s">
        <v>74</v>
      </c>
      <c r="Z864" s="1" t="s">
        <v>74</v>
      </c>
      <c r="AA864" s="1" t="s">
        <v>74</v>
      </c>
      <c r="AB864" s="1" t="s">
        <v>74</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523</v>
      </c>
      <c r="AP864" s="1" t="s">
        <v>524</v>
      </c>
      <c r="AQ864" s="1" t="s">
        <v>74</v>
      </c>
      <c r="AR864" s="1" t="s">
        <v>74</v>
      </c>
      <c r="AS864" s="1" t="s">
        <v>74</v>
      </c>
      <c r="AT864" s="1" t="s">
        <v>464</v>
      </c>
      <c r="AU864" s="1">
        <v>2025.0</v>
      </c>
      <c r="AV864" s="1">
        <v>120.0</v>
      </c>
      <c r="AW864" s="1" t="s">
        <v>74</v>
      </c>
      <c r="AX864" s="1" t="s">
        <v>74</v>
      </c>
      <c r="AY864" s="1" t="s">
        <v>74</v>
      </c>
      <c r="AZ864" s="1" t="s">
        <v>74</v>
      </c>
      <c r="BA864" s="1" t="s">
        <v>74</v>
      </c>
      <c r="BB864" s="1" t="s">
        <v>74</v>
      </c>
      <c r="BC864" s="1" t="s">
        <v>74</v>
      </c>
      <c r="BD864" s="1">
        <v>103107.0</v>
      </c>
      <c r="BE864" s="1" t="s">
        <v>7626</v>
      </c>
      <c r="BF864" s="2" t="str">
        <f>HYPERLINK("http://dx.doi.org/10.1016/j.inffus.2025.103107","http://dx.doi.org/10.1016/j.inffus.2025.103107")</f>
        <v>http://dx.doi.org/10.1016/j.inffus.2025.103107</v>
      </c>
      <c r="BG864" s="1" t="s">
        <v>74</v>
      </c>
      <c r="BH864" s="1" t="s">
        <v>347</v>
      </c>
      <c r="BI864" s="1" t="s">
        <v>74</v>
      </c>
      <c r="BJ864" s="1" t="s">
        <v>74</v>
      </c>
      <c r="BK864" s="1" t="s">
        <v>74</v>
      </c>
      <c r="BL864" s="1" t="s">
        <v>174</v>
      </c>
      <c r="BM864" s="1" t="s">
        <v>74</v>
      </c>
      <c r="BN864" s="1" t="s">
        <v>74</v>
      </c>
      <c r="BO864" s="1" t="s">
        <v>74</v>
      </c>
      <c r="BP864" s="1" t="s">
        <v>74</v>
      </c>
      <c r="BQ864" s="1" t="s">
        <v>74</v>
      </c>
      <c r="BR864" s="1" t="s">
        <v>74</v>
      </c>
      <c r="BS864" s="1" t="s">
        <v>7627</v>
      </c>
      <c r="BT864" s="1" t="str">
        <f>HYPERLINK("https%3A%2F%2Fwww.webofscience.com%2Fwos%2Fwoscc%2Ffull-record%2FWOS:001455290000001","View Full Record in Web of Science")</f>
        <v>View Full Record in Web of Science</v>
      </c>
    </row>
    <row r="865" ht="12.75" customHeight="1">
      <c r="A865" s="1" t="s">
        <v>72</v>
      </c>
      <c r="B865" s="1" t="s">
        <v>7628</v>
      </c>
      <c r="C865" s="1" t="s">
        <v>74</v>
      </c>
      <c r="D865" s="1" t="s">
        <v>74</v>
      </c>
      <c r="E865" s="1" t="s">
        <v>74</v>
      </c>
      <c r="F865" s="1" t="s">
        <v>7629</v>
      </c>
      <c r="G865" s="1" t="s">
        <v>74</v>
      </c>
      <c r="H865" s="1" t="s">
        <v>74</v>
      </c>
      <c r="I865" s="1" t="s">
        <v>7630</v>
      </c>
      <c r="J865" s="1" t="s">
        <v>7631</v>
      </c>
      <c r="K865" s="1" t="s">
        <v>74</v>
      </c>
      <c r="L865" s="1" t="s">
        <v>74</v>
      </c>
      <c r="M865" s="1" t="s">
        <v>74</v>
      </c>
      <c r="N865" s="1" t="s">
        <v>78</v>
      </c>
      <c r="O865" s="1" t="s">
        <v>74</v>
      </c>
      <c r="P865" s="1" t="s">
        <v>74</v>
      </c>
      <c r="Q865" s="1" t="s">
        <v>74</v>
      </c>
      <c r="R865" s="1" t="s">
        <v>74</v>
      </c>
      <c r="S865" s="1" t="s">
        <v>74</v>
      </c>
      <c r="T865" s="1" t="s">
        <v>7632</v>
      </c>
      <c r="U865" s="1" t="s">
        <v>7633</v>
      </c>
      <c r="V865" s="1" t="s">
        <v>7634</v>
      </c>
      <c r="W865" s="1" t="s">
        <v>74</v>
      </c>
      <c r="X865" s="1" t="s">
        <v>74</v>
      </c>
      <c r="Y865" s="1" t="s">
        <v>74</v>
      </c>
      <c r="Z865" s="1" t="s">
        <v>74</v>
      </c>
      <c r="AA865" s="1" t="s">
        <v>74</v>
      </c>
      <c r="AB865" s="1" t="s">
        <v>74</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74</v>
      </c>
      <c r="AP865" s="1" t="s">
        <v>7635</v>
      </c>
      <c r="AQ865" s="1" t="s">
        <v>74</v>
      </c>
      <c r="AR865" s="1" t="s">
        <v>74</v>
      </c>
      <c r="AS865" s="1" t="s">
        <v>74</v>
      </c>
      <c r="AT865" s="1" t="s">
        <v>74</v>
      </c>
      <c r="AU865" s="1">
        <v>2025.0</v>
      </c>
      <c r="AV865" s="1">
        <v>7.0</v>
      </c>
      <c r="AW865" s="1" t="s">
        <v>74</v>
      </c>
      <c r="AX865" s="1" t="s">
        <v>74</v>
      </c>
      <c r="AY865" s="1" t="s">
        <v>74</v>
      </c>
      <c r="AZ865" s="1" t="s">
        <v>74</v>
      </c>
      <c r="BA865" s="1" t="s">
        <v>74</v>
      </c>
      <c r="BB865" s="1" t="s">
        <v>74</v>
      </c>
      <c r="BC865" s="1" t="s">
        <v>74</v>
      </c>
      <c r="BD865" s="1" t="s">
        <v>7636</v>
      </c>
      <c r="BE865" s="1" t="s">
        <v>7637</v>
      </c>
      <c r="BF865" s="2" t="str">
        <f>HYPERLINK("http://dx.doi.org/10.1017/dap.2025.8","http://dx.doi.org/10.1017/dap.2025.8")</f>
        <v>http://dx.doi.org/10.1017/dap.2025.8</v>
      </c>
      <c r="BG865" s="1" t="s">
        <v>74</v>
      </c>
      <c r="BH865" s="1" t="s">
        <v>74</v>
      </c>
      <c r="BI865" s="1" t="s">
        <v>74</v>
      </c>
      <c r="BJ865" s="1" t="s">
        <v>74</v>
      </c>
      <c r="BK865" s="1" t="s">
        <v>74</v>
      </c>
      <c r="BL865" s="1" t="s">
        <v>5027</v>
      </c>
      <c r="BM865" s="1" t="s">
        <v>74</v>
      </c>
      <c r="BN865" s="1" t="s">
        <v>74</v>
      </c>
      <c r="BO865" s="1" t="s">
        <v>153</v>
      </c>
      <c r="BP865" s="1" t="s">
        <v>74</v>
      </c>
      <c r="BQ865" s="1" t="s">
        <v>74</v>
      </c>
      <c r="BR865" s="1" t="s">
        <v>74</v>
      </c>
      <c r="BS865" s="1" t="s">
        <v>7638</v>
      </c>
      <c r="BT865" s="1" t="str">
        <f>HYPERLINK("https%3A%2F%2Fwww.webofscience.com%2Fwos%2Fwoscc%2Ffull-record%2FWOS:001488970900001","View Full Record in Web of Science")</f>
        <v>View Full Record in Web of Science</v>
      </c>
    </row>
    <row r="866" ht="12.75" customHeight="1">
      <c r="A866" s="1" t="s">
        <v>72</v>
      </c>
      <c r="B866" s="1" t="s">
        <v>7639</v>
      </c>
      <c r="C866" s="1" t="s">
        <v>74</v>
      </c>
      <c r="D866" s="1" t="s">
        <v>74</v>
      </c>
      <c r="E866" s="1" t="s">
        <v>74</v>
      </c>
      <c r="F866" s="1" t="s">
        <v>7640</v>
      </c>
      <c r="G866" s="1" t="s">
        <v>74</v>
      </c>
      <c r="H866" s="1" t="s">
        <v>74</v>
      </c>
      <c r="I866" s="1" t="s">
        <v>7641</v>
      </c>
      <c r="J866" s="1" t="s">
        <v>6041</v>
      </c>
      <c r="K866" s="1" t="s">
        <v>74</v>
      </c>
      <c r="L866" s="1" t="s">
        <v>74</v>
      </c>
      <c r="M866" s="1" t="s">
        <v>74</v>
      </c>
      <c r="N866" s="1" t="s">
        <v>158</v>
      </c>
      <c r="O866" s="1" t="s">
        <v>74</v>
      </c>
      <c r="P866" s="1" t="s">
        <v>74</v>
      </c>
      <c r="Q866" s="1" t="s">
        <v>74</v>
      </c>
      <c r="R866" s="1" t="s">
        <v>74</v>
      </c>
      <c r="S866" s="1" t="s">
        <v>74</v>
      </c>
      <c r="T866" s="1" t="s">
        <v>7642</v>
      </c>
      <c r="U866" s="1" t="s">
        <v>74</v>
      </c>
      <c r="V866" s="1" t="s">
        <v>7643</v>
      </c>
      <c r="W866" s="1" t="s">
        <v>74</v>
      </c>
      <c r="X866" s="1" t="s">
        <v>74</v>
      </c>
      <c r="Y866" s="1" t="s">
        <v>74</v>
      </c>
      <c r="Z866" s="1" t="s">
        <v>74</v>
      </c>
      <c r="AA866" s="1" t="s">
        <v>74</v>
      </c>
      <c r="AB866" s="1" t="s">
        <v>74</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74</v>
      </c>
      <c r="AP866" s="1" t="s">
        <v>6044</v>
      </c>
      <c r="AQ866" s="1" t="s">
        <v>74</v>
      </c>
      <c r="AR866" s="1" t="s">
        <v>74</v>
      </c>
      <c r="AS866" s="1" t="s">
        <v>74</v>
      </c>
      <c r="AT866" s="1" t="s">
        <v>770</v>
      </c>
      <c r="AU866" s="1">
        <v>2026.0</v>
      </c>
      <c r="AV866" s="1">
        <v>8.0</v>
      </c>
      <c r="AW866" s="1" t="s">
        <v>74</v>
      </c>
      <c r="AX866" s="1" t="s">
        <v>74</v>
      </c>
      <c r="AY866" s="1" t="s">
        <v>74</v>
      </c>
      <c r="AZ866" s="1" t="s">
        <v>74</v>
      </c>
      <c r="BA866" s="1" t="s">
        <v>74</v>
      </c>
      <c r="BB866" s="1" t="s">
        <v>74</v>
      </c>
      <c r="BC866" s="1" t="s">
        <v>74</v>
      </c>
      <c r="BD866" s="1">
        <v>1686452.0</v>
      </c>
      <c r="BE866" s="1" t="s">
        <v>7644</v>
      </c>
      <c r="BF866" s="2" t="str">
        <f>HYPERLINK("http://dx.doi.org/10.3389/fdata.2025.1686452","http://dx.doi.org/10.3389/fdata.2025.1686452")</f>
        <v>http://dx.doi.org/10.3389/fdata.2025.1686452</v>
      </c>
      <c r="BG866" s="1" t="s">
        <v>74</v>
      </c>
      <c r="BH866" s="1" t="s">
        <v>74</v>
      </c>
      <c r="BI866" s="1" t="s">
        <v>74</v>
      </c>
      <c r="BJ866" s="1" t="s">
        <v>74</v>
      </c>
      <c r="BK866" s="1" t="s">
        <v>74</v>
      </c>
      <c r="BL866" s="1" t="s">
        <v>361</v>
      </c>
      <c r="BM866" s="1" t="s">
        <v>74</v>
      </c>
      <c r="BN866" s="1" t="s">
        <v>74</v>
      </c>
      <c r="BO866" s="1" t="s">
        <v>153</v>
      </c>
      <c r="BP866" s="1" t="s">
        <v>74</v>
      </c>
      <c r="BQ866" s="1" t="s">
        <v>74</v>
      </c>
      <c r="BR866" s="1" t="s">
        <v>74</v>
      </c>
      <c r="BS866" s="1" t="s">
        <v>7645</v>
      </c>
      <c r="BT866" s="1" t="str">
        <f>HYPERLINK("https%3A%2F%2Fwww.webofscience.com%2Fwos%2Fwoscc%2Ffull-record%2FWOS:001666488400001","View Full Record in Web of Science")</f>
        <v>View Full Record in Web of Science</v>
      </c>
    </row>
    <row r="867" ht="12.75" customHeight="1">
      <c r="A867" s="1" t="s">
        <v>72</v>
      </c>
      <c r="B867" s="1" t="s">
        <v>7646</v>
      </c>
      <c r="C867" s="1" t="s">
        <v>74</v>
      </c>
      <c r="D867" s="1" t="s">
        <v>74</v>
      </c>
      <c r="E867" s="1" t="s">
        <v>74</v>
      </c>
      <c r="F867" s="1" t="s">
        <v>7647</v>
      </c>
      <c r="G867" s="1" t="s">
        <v>74</v>
      </c>
      <c r="H867" s="1" t="s">
        <v>74</v>
      </c>
      <c r="I867" s="1" t="s">
        <v>7648</v>
      </c>
      <c r="J867" s="1" t="s">
        <v>840</v>
      </c>
      <c r="K867" s="1" t="s">
        <v>74</v>
      </c>
      <c r="L867" s="1" t="s">
        <v>74</v>
      </c>
      <c r="M867" s="1" t="s">
        <v>74</v>
      </c>
      <c r="N867" s="1" t="s">
        <v>78</v>
      </c>
      <c r="O867" s="1" t="s">
        <v>74</v>
      </c>
      <c r="P867" s="1" t="s">
        <v>74</v>
      </c>
      <c r="Q867" s="1" t="s">
        <v>74</v>
      </c>
      <c r="R867" s="1" t="s">
        <v>74</v>
      </c>
      <c r="S867" s="1" t="s">
        <v>74</v>
      </c>
      <c r="T867" s="1" t="s">
        <v>7649</v>
      </c>
      <c r="U867" s="1" t="s">
        <v>74</v>
      </c>
      <c r="V867" s="1" t="s">
        <v>7650</v>
      </c>
      <c r="W867" s="1" t="s">
        <v>74</v>
      </c>
      <c r="X867" s="1" t="s">
        <v>74</v>
      </c>
      <c r="Y867" s="1" t="s">
        <v>74</v>
      </c>
      <c r="Z867" s="1" t="s">
        <v>74</v>
      </c>
      <c r="AA867" s="1" t="s">
        <v>74</v>
      </c>
      <c r="AB867" s="1" t="s">
        <v>74</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74</v>
      </c>
      <c r="AP867" s="1" t="s">
        <v>4723</v>
      </c>
      <c r="AQ867" s="1" t="s">
        <v>74</v>
      </c>
      <c r="AR867" s="1" t="s">
        <v>74</v>
      </c>
      <c r="AS867" s="1" t="s">
        <v>74</v>
      </c>
      <c r="AT867" s="1" t="s">
        <v>7128</v>
      </c>
      <c r="AU867" s="1">
        <v>2025.0</v>
      </c>
      <c r="AV867" s="1">
        <v>13.0</v>
      </c>
      <c r="AW867" s="1">
        <v>12.0</v>
      </c>
      <c r="AX867" s="1" t="s">
        <v>74</v>
      </c>
      <c r="AY867" s="1" t="s">
        <v>74</v>
      </c>
      <c r="AZ867" s="1" t="s">
        <v>74</v>
      </c>
      <c r="BA867" s="1" t="s">
        <v>74</v>
      </c>
      <c r="BB867" s="1" t="s">
        <v>74</v>
      </c>
      <c r="BC867" s="1" t="s">
        <v>74</v>
      </c>
      <c r="BD867" s="1">
        <v>1091.0</v>
      </c>
      <c r="BE867" s="1" t="s">
        <v>7651</v>
      </c>
      <c r="BF867" s="2" t="str">
        <f>HYPERLINK("http://dx.doi.org/10.3390/systems13121091","http://dx.doi.org/10.3390/systems13121091")</f>
        <v>http://dx.doi.org/10.3390/systems13121091</v>
      </c>
      <c r="BG867" s="1" t="s">
        <v>74</v>
      </c>
      <c r="BH867" s="1" t="s">
        <v>74</v>
      </c>
      <c r="BI867" s="1" t="s">
        <v>74</v>
      </c>
      <c r="BJ867" s="1" t="s">
        <v>74</v>
      </c>
      <c r="BK867" s="1" t="s">
        <v>74</v>
      </c>
      <c r="BL867" s="1" t="s">
        <v>615</v>
      </c>
      <c r="BM867" s="1" t="s">
        <v>74</v>
      </c>
      <c r="BN867" s="1" t="s">
        <v>74</v>
      </c>
      <c r="BO867" s="1" t="s">
        <v>163</v>
      </c>
      <c r="BP867" s="1" t="s">
        <v>74</v>
      </c>
      <c r="BQ867" s="1" t="s">
        <v>74</v>
      </c>
      <c r="BR867" s="1" t="s">
        <v>74</v>
      </c>
      <c r="BS867" s="1" t="s">
        <v>7652</v>
      </c>
      <c r="BT867" s="1" t="str">
        <f>HYPERLINK("https%3A%2F%2Fwww.webofscience.com%2Fwos%2Fwoscc%2Ffull-record%2FWOS:001647310800001","View Full Record in Web of Science")</f>
        <v>View Full Record in Web of Science</v>
      </c>
    </row>
    <row r="868" ht="12.75" customHeight="1">
      <c r="A868" s="1" t="s">
        <v>72</v>
      </c>
      <c r="B868" s="1" t="s">
        <v>7653</v>
      </c>
      <c r="C868" s="1" t="s">
        <v>74</v>
      </c>
      <c r="D868" s="1" t="s">
        <v>74</v>
      </c>
      <c r="E868" s="1" t="s">
        <v>74</v>
      </c>
      <c r="F868" s="1" t="s">
        <v>7654</v>
      </c>
      <c r="G868" s="1" t="s">
        <v>74</v>
      </c>
      <c r="H868" s="1" t="s">
        <v>74</v>
      </c>
      <c r="I868" s="1" t="s">
        <v>7655</v>
      </c>
      <c r="J868" s="1" t="s">
        <v>147</v>
      </c>
      <c r="K868" s="1" t="s">
        <v>74</v>
      </c>
      <c r="L868" s="1" t="s">
        <v>74</v>
      </c>
      <c r="M868" s="1" t="s">
        <v>74</v>
      </c>
      <c r="N868" s="1" t="s">
        <v>78</v>
      </c>
      <c r="O868" s="1" t="s">
        <v>74</v>
      </c>
      <c r="P868" s="1" t="s">
        <v>74</v>
      </c>
      <c r="Q868" s="1" t="s">
        <v>74</v>
      </c>
      <c r="R868" s="1" t="s">
        <v>74</v>
      </c>
      <c r="S868" s="1" t="s">
        <v>74</v>
      </c>
      <c r="T868" s="1" t="s">
        <v>7656</v>
      </c>
      <c r="U868" s="1" t="s">
        <v>74</v>
      </c>
      <c r="V868" s="1" t="s">
        <v>7657</v>
      </c>
      <c r="W868" s="1" t="s">
        <v>74</v>
      </c>
      <c r="X868" s="1" t="s">
        <v>74</v>
      </c>
      <c r="Y868" s="1" t="s">
        <v>74</v>
      </c>
      <c r="Z868" s="1" t="s">
        <v>74</v>
      </c>
      <c r="AA868" s="1" t="s">
        <v>74</v>
      </c>
      <c r="AB868" s="1" t="s">
        <v>74</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150</v>
      </c>
      <c r="AP868" s="1" t="s">
        <v>74</v>
      </c>
      <c r="AQ868" s="1" t="s">
        <v>74</v>
      </c>
      <c r="AR868" s="1" t="s">
        <v>74</v>
      </c>
      <c r="AS868" s="1" t="s">
        <v>74</v>
      </c>
      <c r="AT868" s="1" t="s">
        <v>74</v>
      </c>
      <c r="AU868" s="1">
        <v>2025.0</v>
      </c>
      <c r="AV868" s="1">
        <v>13.0</v>
      </c>
      <c r="AW868" s="1" t="s">
        <v>74</v>
      </c>
      <c r="AX868" s="1" t="s">
        <v>74</v>
      </c>
      <c r="AY868" s="1" t="s">
        <v>74</v>
      </c>
      <c r="AZ868" s="1" t="s">
        <v>74</v>
      </c>
      <c r="BA868" s="1" t="s">
        <v>74</v>
      </c>
      <c r="BB868" s="1">
        <v>44330.0</v>
      </c>
      <c r="BC868" s="1">
        <v>44342.0</v>
      </c>
      <c r="BD868" s="1" t="s">
        <v>74</v>
      </c>
      <c r="BE868" s="1" t="s">
        <v>7658</v>
      </c>
      <c r="BF868" s="2" t="str">
        <f>HYPERLINK("http://dx.doi.org/10.1109/ACCESS.2025.3548451","http://dx.doi.org/10.1109/ACCESS.2025.3548451")</f>
        <v>http://dx.doi.org/10.1109/ACCESS.2025.3548451</v>
      </c>
      <c r="BG868" s="1" t="s">
        <v>74</v>
      </c>
      <c r="BH868" s="1" t="s">
        <v>74</v>
      </c>
      <c r="BI868" s="1" t="s">
        <v>74</v>
      </c>
      <c r="BJ868" s="1" t="s">
        <v>74</v>
      </c>
      <c r="BK868" s="1" t="s">
        <v>74</v>
      </c>
      <c r="BL868" s="1" t="s">
        <v>152</v>
      </c>
      <c r="BM868" s="1" t="s">
        <v>74</v>
      </c>
      <c r="BN868" s="1" t="s">
        <v>74</v>
      </c>
      <c r="BO868" s="1" t="s">
        <v>153</v>
      </c>
      <c r="BP868" s="1" t="s">
        <v>74</v>
      </c>
      <c r="BQ868" s="1" t="s">
        <v>74</v>
      </c>
      <c r="BR868" s="1" t="s">
        <v>74</v>
      </c>
      <c r="BS868" s="1" t="s">
        <v>7659</v>
      </c>
      <c r="BT868" s="1" t="str">
        <f>HYPERLINK("https%3A%2F%2Fwww.webofscience.com%2Fwos%2Fwoscc%2Ffull-record%2FWOS:001445065100045","View Full Record in Web of Science")</f>
        <v>View Full Record in Web of Science</v>
      </c>
    </row>
    <row r="869" ht="12.75" customHeight="1">
      <c r="A869" s="1" t="s">
        <v>72</v>
      </c>
      <c r="B869" s="1" t="s">
        <v>7660</v>
      </c>
      <c r="C869" s="1" t="s">
        <v>74</v>
      </c>
      <c r="D869" s="1" t="s">
        <v>74</v>
      </c>
      <c r="E869" s="1" t="s">
        <v>74</v>
      </c>
      <c r="F869" s="1" t="s">
        <v>7661</v>
      </c>
      <c r="G869" s="1" t="s">
        <v>74</v>
      </c>
      <c r="H869" s="1" t="s">
        <v>74</v>
      </c>
      <c r="I869" s="1" t="s">
        <v>7662</v>
      </c>
      <c r="J869" s="1" t="s">
        <v>2928</v>
      </c>
      <c r="K869" s="1" t="s">
        <v>74</v>
      </c>
      <c r="L869" s="1" t="s">
        <v>74</v>
      </c>
      <c r="M869" s="1" t="s">
        <v>74</v>
      </c>
      <c r="N869" s="1" t="s">
        <v>78</v>
      </c>
      <c r="O869" s="1" t="s">
        <v>74</v>
      </c>
      <c r="P869" s="1" t="s">
        <v>74</v>
      </c>
      <c r="Q869" s="1" t="s">
        <v>74</v>
      </c>
      <c r="R869" s="1" t="s">
        <v>74</v>
      </c>
      <c r="S869" s="1" t="s">
        <v>74</v>
      </c>
      <c r="T869" s="1" t="s">
        <v>7663</v>
      </c>
      <c r="U869" s="1" t="s">
        <v>74</v>
      </c>
      <c r="V869" s="1" t="s">
        <v>7664</v>
      </c>
      <c r="W869" s="1" t="s">
        <v>74</v>
      </c>
      <c r="X869" s="1" t="s">
        <v>74</v>
      </c>
      <c r="Y869" s="1" t="s">
        <v>74</v>
      </c>
      <c r="Z869" s="1" t="s">
        <v>74</v>
      </c>
      <c r="AA869" s="1" t="s">
        <v>74</v>
      </c>
      <c r="AB869" s="1" t="s">
        <v>74</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2931</v>
      </c>
      <c r="AP869" s="1" t="s">
        <v>2932</v>
      </c>
      <c r="AQ869" s="1" t="s">
        <v>74</v>
      </c>
      <c r="AR869" s="1" t="s">
        <v>74</v>
      </c>
      <c r="AS869" s="1" t="s">
        <v>74</v>
      </c>
      <c r="AT869" s="1" t="s">
        <v>84</v>
      </c>
      <c r="AU869" s="1">
        <v>2025.0</v>
      </c>
      <c r="AV869" s="1">
        <v>65.0</v>
      </c>
      <c r="AW869" s="1" t="s">
        <v>74</v>
      </c>
      <c r="AX869" s="1" t="s">
        <v>110</v>
      </c>
      <c r="AY869" s="1" t="s">
        <v>74</v>
      </c>
      <c r="AZ869" s="1" t="s">
        <v>74</v>
      </c>
      <c r="BA869" s="1" t="s">
        <v>74</v>
      </c>
      <c r="BB869" s="1" t="s">
        <v>74</v>
      </c>
      <c r="BC869" s="1" t="s">
        <v>74</v>
      </c>
      <c r="BD869" s="1">
        <v>103206.0</v>
      </c>
      <c r="BE869" s="1" t="s">
        <v>7665</v>
      </c>
      <c r="BF869" s="2" t="str">
        <f>HYPERLINK("http://dx.doi.org/10.1016/j.aei.2025.103206","http://dx.doi.org/10.1016/j.aei.2025.103206")</f>
        <v>http://dx.doi.org/10.1016/j.aei.2025.103206</v>
      </c>
      <c r="BG869" s="1" t="s">
        <v>74</v>
      </c>
      <c r="BH869" s="1" t="s">
        <v>314</v>
      </c>
      <c r="BI869" s="1" t="s">
        <v>74</v>
      </c>
      <c r="BJ869" s="1" t="s">
        <v>74</v>
      </c>
      <c r="BK869" s="1" t="s">
        <v>74</v>
      </c>
      <c r="BL869" s="1" t="s">
        <v>98</v>
      </c>
      <c r="BM869" s="1" t="s">
        <v>74</v>
      </c>
      <c r="BN869" s="1" t="s">
        <v>74</v>
      </c>
      <c r="BO869" s="1" t="s">
        <v>74</v>
      </c>
      <c r="BP869" s="1" t="s">
        <v>74</v>
      </c>
      <c r="BQ869" s="1" t="s">
        <v>74</v>
      </c>
      <c r="BR869" s="1" t="s">
        <v>74</v>
      </c>
      <c r="BS869" s="1" t="s">
        <v>7666</v>
      </c>
      <c r="BT869" s="1" t="str">
        <f>HYPERLINK("https%3A%2F%2Fwww.webofscience.com%2Fwos%2Fwoscc%2Ffull-record%2FWOS:001430649400001","View Full Record in Web of Science")</f>
        <v>View Full Record in Web of Science</v>
      </c>
    </row>
    <row r="870" ht="12.75" customHeight="1">
      <c r="A870" s="1" t="s">
        <v>72</v>
      </c>
      <c r="B870" s="1" t="s">
        <v>7667</v>
      </c>
      <c r="C870" s="1" t="s">
        <v>74</v>
      </c>
      <c r="D870" s="1" t="s">
        <v>74</v>
      </c>
      <c r="E870" s="1" t="s">
        <v>74</v>
      </c>
      <c r="F870" s="1" t="s">
        <v>7668</v>
      </c>
      <c r="G870" s="1" t="s">
        <v>74</v>
      </c>
      <c r="H870" s="1" t="s">
        <v>74</v>
      </c>
      <c r="I870" s="1" t="s">
        <v>7669</v>
      </c>
      <c r="J870" s="1" t="s">
        <v>653</v>
      </c>
      <c r="K870" s="1" t="s">
        <v>74</v>
      </c>
      <c r="L870" s="1" t="s">
        <v>74</v>
      </c>
      <c r="M870" s="1" t="s">
        <v>74</v>
      </c>
      <c r="N870" s="1" t="s">
        <v>78</v>
      </c>
      <c r="O870" s="1" t="s">
        <v>74</v>
      </c>
      <c r="P870" s="1" t="s">
        <v>74</v>
      </c>
      <c r="Q870" s="1" t="s">
        <v>74</v>
      </c>
      <c r="R870" s="1" t="s">
        <v>74</v>
      </c>
      <c r="S870" s="1" t="s">
        <v>74</v>
      </c>
      <c r="T870" s="1" t="s">
        <v>7670</v>
      </c>
      <c r="U870" s="1" t="s">
        <v>7671</v>
      </c>
      <c r="V870" s="1" t="s">
        <v>7672</v>
      </c>
      <c r="W870" s="1" t="s">
        <v>74</v>
      </c>
      <c r="X870" s="1" t="s">
        <v>74</v>
      </c>
      <c r="Y870" s="1" t="s">
        <v>74</v>
      </c>
      <c r="Z870" s="1" t="s">
        <v>74</v>
      </c>
      <c r="AA870" s="1" t="s">
        <v>74</v>
      </c>
      <c r="AB870" s="1" t="s">
        <v>74</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74</v>
      </c>
      <c r="AP870" s="1" t="s">
        <v>656</v>
      </c>
      <c r="AQ870" s="1" t="s">
        <v>74</v>
      </c>
      <c r="AR870" s="1" t="s">
        <v>74</v>
      </c>
      <c r="AS870" s="1" t="s">
        <v>74</v>
      </c>
      <c r="AT870" s="1" t="s">
        <v>3195</v>
      </c>
      <c r="AU870" s="1">
        <v>2025.0</v>
      </c>
      <c r="AV870" s="1">
        <v>11.0</v>
      </c>
      <c r="AW870" s="1" t="s">
        <v>74</v>
      </c>
      <c r="AX870" s="1" t="s">
        <v>74</v>
      </c>
      <c r="AY870" s="1" t="s">
        <v>74</v>
      </c>
      <c r="AZ870" s="1" t="s">
        <v>74</v>
      </c>
      <c r="BA870" s="1" t="s">
        <v>74</v>
      </c>
      <c r="BB870" s="1" t="s">
        <v>74</v>
      </c>
      <c r="BC870" s="1" t="s">
        <v>74</v>
      </c>
      <c r="BD870" s="1" t="s">
        <v>7673</v>
      </c>
      <c r="BE870" s="1" t="s">
        <v>7674</v>
      </c>
      <c r="BF870" s="2" t="str">
        <f>HYPERLINK("http://dx.doi.org/10.7717/peerj-cs.3206","http://dx.doi.org/10.7717/peerj-cs.3206")</f>
        <v>http://dx.doi.org/10.7717/peerj-cs.3206</v>
      </c>
      <c r="BG870" s="1" t="s">
        <v>74</v>
      </c>
      <c r="BH870" s="1" t="s">
        <v>74</v>
      </c>
      <c r="BI870" s="1" t="s">
        <v>74</v>
      </c>
      <c r="BJ870" s="1" t="s">
        <v>74</v>
      </c>
      <c r="BK870" s="1" t="s">
        <v>74</v>
      </c>
      <c r="BL870" s="1" t="s">
        <v>174</v>
      </c>
      <c r="BM870" s="1" t="s">
        <v>74</v>
      </c>
      <c r="BN870" s="1" t="s">
        <v>74</v>
      </c>
      <c r="BO870" s="1" t="s">
        <v>163</v>
      </c>
      <c r="BP870" s="1" t="s">
        <v>74</v>
      </c>
      <c r="BQ870" s="1" t="s">
        <v>74</v>
      </c>
      <c r="BR870" s="1" t="s">
        <v>74</v>
      </c>
      <c r="BS870" s="1" t="s">
        <v>7675</v>
      </c>
      <c r="BT870" s="1" t="str">
        <f>HYPERLINK("https%3A%2F%2Fwww.webofscience.com%2Fwos%2Fwoscc%2Ffull-record%2FWOS:001591522300001","View Full Record in Web of Science")</f>
        <v>View Full Record in Web of Science</v>
      </c>
    </row>
    <row r="871" ht="12.75" customHeight="1">
      <c r="A871" s="1" t="s">
        <v>72</v>
      </c>
      <c r="B871" s="1" t="s">
        <v>7676</v>
      </c>
      <c r="C871" s="1" t="s">
        <v>74</v>
      </c>
      <c r="D871" s="1" t="s">
        <v>74</v>
      </c>
      <c r="E871" s="1" t="s">
        <v>74</v>
      </c>
      <c r="F871" s="1" t="s">
        <v>7677</v>
      </c>
      <c r="G871" s="1" t="s">
        <v>74</v>
      </c>
      <c r="H871" s="1" t="s">
        <v>74</v>
      </c>
      <c r="I871" s="1" t="s">
        <v>7678</v>
      </c>
      <c r="J871" s="1" t="s">
        <v>147</v>
      </c>
      <c r="K871" s="1" t="s">
        <v>74</v>
      </c>
      <c r="L871" s="1" t="s">
        <v>74</v>
      </c>
      <c r="M871" s="1" t="s">
        <v>74</v>
      </c>
      <c r="N871" s="1" t="s">
        <v>78</v>
      </c>
      <c r="O871" s="1" t="s">
        <v>74</v>
      </c>
      <c r="P871" s="1" t="s">
        <v>74</v>
      </c>
      <c r="Q871" s="1" t="s">
        <v>74</v>
      </c>
      <c r="R871" s="1" t="s">
        <v>74</v>
      </c>
      <c r="S871" s="1" t="s">
        <v>74</v>
      </c>
      <c r="T871" s="1" t="s">
        <v>7679</v>
      </c>
      <c r="U871" s="1" t="s">
        <v>512</v>
      </c>
      <c r="V871" s="1" t="s">
        <v>7680</v>
      </c>
      <c r="W871" s="1" t="s">
        <v>74</v>
      </c>
      <c r="X871" s="1" t="s">
        <v>74</v>
      </c>
      <c r="Y871" s="1" t="s">
        <v>74</v>
      </c>
      <c r="Z871" s="1" t="s">
        <v>74</v>
      </c>
      <c r="AA871" s="1" t="s">
        <v>74</v>
      </c>
      <c r="AB871" s="1" t="s">
        <v>74</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150</v>
      </c>
      <c r="AP871" s="1" t="s">
        <v>74</v>
      </c>
      <c r="AQ871" s="1" t="s">
        <v>74</v>
      </c>
      <c r="AR871" s="1" t="s">
        <v>74</v>
      </c>
      <c r="AS871" s="1" t="s">
        <v>74</v>
      </c>
      <c r="AT871" s="1" t="s">
        <v>74</v>
      </c>
      <c r="AU871" s="1">
        <v>2025.0</v>
      </c>
      <c r="AV871" s="1">
        <v>13.0</v>
      </c>
      <c r="AW871" s="1" t="s">
        <v>74</v>
      </c>
      <c r="AX871" s="1" t="s">
        <v>74</v>
      </c>
      <c r="AY871" s="1" t="s">
        <v>74</v>
      </c>
      <c r="AZ871" s="1" t="s">
        <v>74</v>
      </c>
      <c r="BA871" s="1" t="s">
        <v>74</v>
      </c>
      <c r="BB871" s="1">
        <v>99985.0</v>
      </c>
      <c r="BC871" s="1">
        <v>100001.0</v>
      </c>
      <c r="BD871" s="1" t="s">
        <v>74</v>
      </c>
      <c r="BE871" s="1" t="s">
        <v>7681</v>
      </c>
      <c r="BF871" s="2" t="str">
        <f>HYPERLINK("http://dx.doi.org/10.1109/ACCESS.2025.3576853","http://dx.doi.org/10.1109/ACCESS.2025.3576853")</f>
        <v>http://dx.doi.org/10.1109/ACCESS.2025.3576853</v>
      </c>
      <c r="BG871" s="1" t="s">
        <v>74</v>
      </c>
      <c r="BH871" s="1" t="s">
        <v>74</v>
      </c>
      <c r="BI871" s="1" t="s">
        <v>74</v>
      </c>
      <c r="BJ871" s="1" t="s">
        <v>74</v>
      </c>
      <c r="BK871" s="1" t="s">
        <v>74</v>
      </c>
      <c r="BL871" s="1" t="s">
        <v>152</v>
      </c>
      <c r="BM871" s="1" t="s">
        <v>74</v>
      </c>
      <c r="BN871" s="1" t="s">
        <v>74</v>
      </c>
      <c r="BO871" s="1" t="s">
        <v>153</v>
      </c>
      <c r="BP871" s="1" t="s">
        <v>74</v>
      </c>
      <c r="BQ871" s="1" t="s">
        <v>74</v>
      </c>
      <c r="BR871" s="1" t="s">
        <v>74</v>
      </c>
      <c r="BS871" s="1" t="s">
        <v>7682</v>
      </c>
      <c r="BT871" s="1" t="str">
        <f>HYPERLINK("https%3A%2F%2Fwww.webofscience.com%2Fwos%2Fwoscc%2Ffull-record%2FWOS:001508113300031","View Full Record in Web of Science")</f>
        <v>View Full Record in Web of Science</v>
      </c>
    </row>
    <row r="872" ht="12.75" customHeight="1">
      <c r="A872" s="1" t="s">
        <v>72</v>
      </c>
      <c r="B872" s="1" t="s">
        <v>7683</v>
      </c>
      <c r="C872" s="1" t="s">
        <v>74</v>
      </c>
      <c r="D872" s="1" t="s">
        <v>74</v>
      </c>
      <c r="E872" s="1" t="s">
        <v>74</v>
      </c>
      <c r="F872" s="1" t="s">
        <v>7684</v>
      </c>
      <c r="G872" s="1" t="s">
        <v>74</v>
      </c>
      <c r="H872" s="1" t="s">
        <v>74</v>
      </c>
      <c r="I872" s="1" t="s">
        <v>7685</v>
      </c>
      <c r="J872" s="1" t="s">
        <v>147</v>
      </c>
      <c r="K872" s="1" t="s">
        <v>74</v>
      </c>
      <c r="L872" s="1" t="s">
        <v>74</v>
      </c>
      <c r="M872" s="1" t="s">
        <v>74</v>
      </c>
      <c r="N872" s="1" t="s">
        <v>7686</v>
      </c>
      <c r="O872" s="1" t="s">
        <v>74</v>
      </c>
      <c r="P872" s="1" t="s">
        <v>74</v>
      </c>
      <c r="Q872" s="1" t="s">
        <v>74</v>
      </c>
      <c r="R872" s="1" t="s">
        <v>74</v>
      </c>
      <c r="S872" s="1" t="s">
        <v>74</v>
      </c>
      <c r="T872" s="1" t="s">
        <v>7687</v>
      </c>
      <c r="U872" s="1" t="s">
        <v>74</v>
      </c>
      <c r="V872" s="1" t="s">
        <v>7688</v>
      </c>
      <c r="W872" s="1" t="s">
        <v>74</v>
      </c>
      <c r="X872" s="1" t="s">
        <v>74</v>
      </c>
      <c r="Y872" s="1" t="s">
        <v>74</v>
      </c>
      <c r="Z872" s="1" t="s">
        <v>74</v>
      </c>
      <c r="AA872" s="1" t="s">
        <v>74</v>
      </c>
      <c r="AB872" s="1" t="s">
        <v>74</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150</v>
      </c>
      <c r="AP872" s="1" t="s">
        <v>74</v>
      </c>
      <c r="AQ872" s="1" t="s">
        <v>74</v>
      </c>
      <c r="AR872" s="1" t="s">
        <v>74</v>
      </c>
      <c r="AS872" s="1" t="s">
        <v>74</v>
      </c>
      <c r="AT872" s="1" t="s">
        <v>74</v>
      </c>
      <c r="AU872" s="1">
        <v>2024.0</v>
      </c>
      <c r="AV872" s="1">
        <v>12.0</v>
      </c>
      <c r="AW872" s="1" t="s">
        <v>74</v>
      </c>
      <c r="AX872" s="1" t="s">
        <v>74</v>
      </c>
      <c r="AY872" s="1" t="s">
        <v>74</v>
      </c>
      <c r="AZ872" s="1" t="s">
        <v>74</v>
      </c>
      <c r="BA872" s="1" t="s">
        <v>74</v>
      </c>
      <c r="BB872" s="1" t="s">
        <v>74</v>
      </c>
      <c r="BC872" s="1" t="s">
        <v>74</v>
      </c>
      <c r="BD872" s="1" t="s">
        <v>74</v>
      </c>
      <c r="BE872" s="1" t="s">
        <v>7689</v>
      </c>
      <c r="BF872" s="2" t="str">
        <f>HYPERLINK("http://dx.doi.org/10.1109/ACCESS.2024.3465541","http://dx.doi.org/10.1109/ACCESS.2024.3465541")</f>
        <v>http://dx.doi.org/10.1109/ACCESS.2024.3465541</v>
      </c>
      <c r="BG872" s="1" t="s">
        <v>74</v>
      </c>
      <c r="BH872" s="1" t="s">
        <v>74</v>
      </c>
      <c r="BI872" s="1" t="s">
        <v>74</v>
      </c>
      <c r="BJ872" s="1" t="s">
        <v>74</v>
      </c>
      <c r="BK872" s="1" t="s">
        <v>74</v>
      </c>
      <c r="BL872" s="1" t="s">
        <v>152</v>
      </c>
      <c r="BM872" s="1" t="s">
        <v>74</v>
      </c>
      <c r="BN872" s="1" t="s">
        <v>74</v>
      </c>
      <c r="BO872" s="1" t="s">
        <v>153</v>
      </c>
      <c r="BP872" s="1" t="s">
        <v>74</v>
      </c>
      <c r="BQ872" s="1" t="s">
        <v>74</v>
      </c>
      <c r="BR872" s="1" t="s">
        <v>74</v>
      </c>
      <c r="BS872" s="1" t="s">
        <v>7690</v>
      </c>
      <c r="BT872" s="1" t="str">
        <f>HYPERLINK("https%3A%2F%2Fwww.webofscience.com%2Fwos%2Fwoscc%2Ffull-record%2FWOS:001327313200001","View Full Record in Web of Science")</f>
        <v>View Full Record in Web of Science</v>
      </c>
    </row>
    <row r="873" ht="12.75" customHeight="1">
      <c r="A873" s="1" t="s">
        <v>72</v>
      </c>
      <c r="B873" s="1" t="s">
        <v>7691</v>
      </c>
      <c r="C873" s="1" t="s">
        <v>74</v>
      </c>
      <c r="D873" s="1" t="s">
        <v>74</v>
      </c>
      <c r="E873" s="1" t="s">
        <v>74</v>
      </c>
      <c r="F873" s="1" t="s">
        <v>7692</v>
      </c>
      <c r="G873" s="1" t="s">
        <v>74</v>
      </c>
      <c r="H873" s="1" t="s">
        <v>74</v>
      </c>
      <c r="I873" s="1" t="s">
        <v>7693</v>
      </c>
      <c r="J873" s="1" t="s">
        <v>388</v>
      </c>
      <c r="K873" s="1" t="s">
        <v>74</v>
      </c>
      <c r="L873" s="1" t="s">
        <v>74</v>
      </c>
      <c r="M873" s="1" t="s">
        <v>74</v>
      </c>
      <c r="N873" s="1" t="s">
        <v>158</v>
      </c>
      <c r="O873" s="1" t="s">
        <v>74</v>
      </c>
      <c r="P873" s="1" t="s">
        <v>74</v>
      </c>
      <c r="Q873" s="1" t="s">
        <v>74</v>
      </c>
      <c r="R873" s="1" t="s">
        <v>74</v>
      </c>
      <c r="S873" s="1" t="s">
        <v>74</v>
      </c>
      <c r="T873" s="1" t="s">
        <v>7694</v>
      </c>
      <c r="U873" s="1" t="s">
        <v>7695</v>
      </c>
      <c r="V873" s="1" t="s">
        <v>7696</v>
      </c>
      <c r="W873" s="1" t="s">
        <v>74</v>
      </c>
      <c r="X873" s="1" t="s">
        <v>74</v>
      </c>
      <c r="Y873" s="1" t="s">
        <v>74</v>
      </c>
      <c r="Z873" s="1" t="s">
        <v>74</v>
      </c>
      <c r="AA873" s="1" t="s">
        <v>74</v>
      </c>
      <c r="AB873" s="1" t="s">
        <v>74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391</v>
      </c>
      <c r="AP873" s="1" t="s">
        <v>74</v>
      </c>
      <c r="AQ873" s="1" t="s">
        <v>74</v>
      </c>
      <c r="AR873" s="1" t="s">
        <v>74</v>
      </c>
      <c r="AS873" s="1" t="s">
        <v>74</v>
      </c>
      <c r="AT873" s="1" t="s">
        <v>4034</v>
      </c>
      <c r="AU873" s="1">
        <v>2025.0</v>
      </c>
      <c r="AV873" s="1">
        <v>19.0</v>
      </c>
      <c r="AW873" s="1">
        <v>10.0</v>
      </c>
      <c r="AX873" s="1" t="s">
        <v>74</v>
      </c>
      <c r="AY873" s="1" t="s">
        <v>74</v>
      </c>
      <c r="AZ873" s="1" t="s">
        <v>74</v>
      </c>
      <c r="BA873" s="1" t="s">
        <v>74</v>
      </c>
      <c r="BB873" s="1">
        <v>3372.0</v>
      </c>
      <c r="BC873" s="1">
        <v>3394.0</v>
      </c>
      <c r="BD873" s="1" t="s">
        <v>74</v>
      </c>
      <c r="BE873" s="1" t="s">
        <v>7697</v>
      </c>
      <c r="BF873" s="2" t="str">
        <f>HYPERLINK("http://dx.doi.org/10.3837/tiis.2025.10.006","http://dx.doi.org/10.3837/tiis.2025.10.006")</f>
        <v>http://dx.doi.org/10.3837/tiis.2025.10.006</v>
      </c>
      <c r="BG873" s="1" t="s">
        <v>74</v>
      </c>
      <c r="BH873" s="1" t="s">
        <v>74</v>
      </c>
      <c r="BI873" s="1" t="s">
        <v>74</v>
      </c>
      <c r="BJ873" s="1" t="s">
        <v>74</v>
      </c>
      <c r="BK873" s="1" t="s">
        <v>74</v>
      </c>
      <c r="BL873" s="1" t="s">
        <v>394</v>
      </c>
      <c r="BM873" s="1" t="s">
        <v>74</v>
      </c>
      <c r="BN873" s="1" t="s">
        <v>74</v>
      </c>
      <c r="BO873" s="1" t="s">
        <v>163</v>
      </c>
      <c r="BP873" s="1" t="s">
        <v>74</v>
      </c>
      <c r="BQ873" s="1" t="s">
        <v>74</v>
      </c>
      <c r="BR873" s="1" t="s">
        <v>74</v>
      </c>
      <c r="BS873" s="1" t="s">
        <v>7698</v>
      </c>
      <c r="BT873" s="1" t="str">
        <f>HYPERLINK("https%3A%2F%2Fwww.webofscience.com%2Fwos%2Fwoscc%2Ffull-record%2FWOS:001608998600006","View Full Record in Web of Science")</f>
        <v>View Full Record in Web of Science</v>
      </c>
    </row>
    <row r="874" ht="12.75" customHeight="1">
      <c r="A874" s="1" t="s">
        <v>72</v>
      </c>
      <c r="B874" s="1" t="s">
        <v>7699</v>
      </c>
      <c r="C874" s="1" t="s">
        <v>74</v>
      </c>
      <c r="D874" s="1" t="s">
        <v>74</v>
      </c>
      <c r="E874" s="1" t="s">
        <v>74</v>
      </c>
      <c r="F874" s="1" t="s">
        <v>7700</v>
      </c>
      <c r="G874" s="1" t="s">
        <v>74</v>
      </c>
      <c r="H874" s="1" t="s">
        <v>74</v>
      </c>
      <c r="I874" s="1" t="s">
        <v>7701</v>
      </c>
      <c r="J874" s="1" t="s">
        <v>239</v>
      </c>
      <c r="K874" s="1" t="s">
        <v>74</v>
      </c>
      <c r="L874" s="1" t="s">
        <v>74</v>
      </c>
      <c r="M874" s="1" t="s">
        <v>74</v>
      </c>
      <c r="N874" s="1" t="s">
        <v>78</v>
      </c>
      <c r="O874" s="1" t="s">
        <v>74</v>
      </c>
      <c r="P874" s="1" t="s">
        <v>74</v>
      </c>
      <c r="Q874" s="1" t="s">
        <v>74</v>
      </c>
      <c r="R874" s="1" t="s">
        <v>74</v>
      </c>
      <c r="S874" s="1" t="s">
        <v>74</v>
      </c>
      <c r="T874" s="1" t="s">
        <v>7702</v>
      </c>
      <c r="U874" s="1" t="s">
        <v>74</v>
      </c>
      <c r="V874" s="1" t="s">
        <v>7703</v>
      </c>
      <c r="W874" s="1" t="s">
        <v>74</v>
      </c>
      <c r="X874" s="1" t="s">
        <v>74</v>
      </c>
      <c r="Y874" s="1" t="s">
        <v>74</v>
      </c>
      <c r="Z874" s="1" t="s">
        <v>74</v>
      </c>
      <c r="AA874" s="1" t="s">
        <v>74</v>
      </c>
      <c r="AB874" s="1" t="s">
        <v>74</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242</v>
      </c>
      <c r="AP874" s="1" t="s">
        <v>74</v>
      </c>
      <c r="AQ874" s="1" t="s">
        <v>74</v>
      </c>
      <c r="AR874" s="1" t="s">
        <v>74</v>
      </c>
      <c r="AS874" s="1" t="s">
        <v>74</v>
      </c>
      <c r="AT874" s="1" t="s">
        <v>7704</v>
      </c>
      <c r="AU874" s="1">
        <v>2025.0</v>
      </c>
      <c r="AV874" s="1">
        <v>14.0</v>
      </c>
      <c r="AW874" s="1">
        <v>17.0</v>
      </c>
      <c r="AX874" s="1" t="s">
        <v>74</v>
      </c>
      <c r="AY874" s="1" t="s">
        <v>74</v>
      </c>
      <c r="AZ874" s="1" t="s">
        <v>74</v>
      </c>
      <c r="BA874" s="1" t="s">
        <v>74</v>
      </c>
      <c r="BB874" s="1" t="s">
        <v>74</v>
      </c>
      <c r="BC874" s="1" t="s">
        <v>74</v>
      </c>
      <c r="BD874" s="1">
        <v>3404.0</v>
      </c>
      <c r="BE874" s="1" t="s">
        <v>7705</v>
      </c>
      <c r="BF874" s="2" t="str">
        <f>HYPERLINK("http://dx.doi.org/10.3390/electronics14173404","http://dx.doi.org/10.3390/electronics14173404")</f>
        <v>http://dx.doi.org/10.3390/electronics14173404</v>
      </c>
      <c r="BG874" s="1" t="s">
        <v>74</v>
      </c>
      <c r="BH874" s="1" t="s">
        <v>74</v>
      </c>
      <c r="BI874" s="1" t="s">
        <v>74</v>
      </c>
      <c r="BJ874" s="1" t="s">
        <v>74</v>
      </c>
      <c r="BK874" s="1" t="s">
        <v>74</v>
      </c>
      <c r="BL874" s="1" t="s">
        <v>244</v>
      </c>
      <c r="BM874" s="1" t="s">
        <v>74</v>
      </c>
      <c r="BN874" s="1" t="s">
        <v>74</v>
      </c>
      <c r="BO874" s="1" t="s">
        <v>163</v>
      </c>
      <c r="BP874" s="1" t="s">
        <v>74</v>
      </c>
      <c r="BQ874" s="1" t="s">
        <v>74</v>
      </c>
      <c r="BR874" s="1" t="s">
        <v>74</v>
      </c>
      <c r="BS874" s="1" t="s">
        <v>7706</v>
      </c>
      <c r="BT874" s="1" t="str">
        <f>HYPERLINK("https%3A%2F%2Fwww.webofscience.com%2Fwos%2Fwoscc%2Ffull-record%2FWOS:001569643800001","View Full Record in Web of Science")</f>
        <v>View Full Record in Web of Science</v>
      </c>
    </row>
    <row r="875" ht="12.75" customHeight="1">
      <c r="A875" s="1" t="s">
        <v>72</v>
      </c>
      <c r="B875" s="1" t="s">
        <v>7707</v>
      </c>
      <c r="C875" s="1" t="s">
        <v>74</v>
      </c>
      <c r="D875" s="1" t="s">
        <v>74</v>
      </c>
      <c r="E875" s="1" t="s">
        <v>74</v>
      </c>
      <c r="F875" s="1" t="s">
        <v>7708</v>
      </c>
      <c r="G875" s="1" t="s">
        <v>74</v>
      </c>
      <c r="H875" s="1" t="s">
        <v>74</v>
      </c>
      <c r="I875" s="1" t="s">
        <v>7709</v>
      </c>
      <c r="J875" s="1" t="s">
        <v>2572</v>
      </c>
      <c r="K875" s="1" t="s">
        <v>74</v>
      </c>
      <c r="L875" s="1" t="s">
        <v>74</v>
      </c>
      <c r="M875" s="1" t="s">
        <v>74</v>
      </c>
      <c r="N875" s="1" t="s">
        <v>78</v>
      </c>
      <c r="O875" s="1" t="s">
        <v>74</v>
      </c>
      <c r="P875" s="1" t="s">
        <v>74</v>
      </c>
      <c r="Q875" s="1" t="s">
        <v>74</v>
      </c>
      <c r="R875" s="1" t="s">
        <v>74</v>
      </c>
      <c r="S875" s="1" t="s">
        <v>74</v>
      </c>
      <c r="T875" s="1" t="s">
        <v>7710</v>
      </c>
      <c r="U875" s="1" t="s">
        <v>74</v>
      </c>
      <c r="V875" s="1" t="s">
        <v>7711</v>
      </c>
      <c r="W875" s="1" t="s">
        <v>74</v>
      </c>
      <c r="X875" s="1" t="s">
        <v>74</v>
      </c>
      <c r="Y875" s="1" t="s">
        <v>74</v>
      </c>
      <c r="Z875" s="1" t="s">
        <v>74</v>
      </c>
      <c r="AA875" s="1" t="s">
        <v>74</v>
      </c>
      <c r="AB875" s="1" t="s">
        <v>74</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2575</v>
      </c>
      <c r="AP875" s="1" t="s">
        <v>74</v>
      </c>
      <c r="AQ875" s="1" t="s">
        <v>74</v>
      </c>
      <c r="AR875" s="1" t="s">
        <v>74</v>
      </c>
      <c r="AS875" s="1" t="s">
        <v>74</v>
      </c>
      <c r="AT875" s="1" t="s">
        <v>1891</v>
      </c>
      <c r="AU875" s="1">
        <v>2026.0</v>
      </c>
      <c r="AV875" s="1">
        <v>13.0</v>
      </c>
      <c r="AW875" s="1">
        <v>1.0</v>
      </c>
      <c r="AX875" s="1" t="s">
        <v>74</v>
      </c>
      <c r="AY875" s="1" t="s">
        <v>74</v>
      </c>
      <c r="AZ875" s="1" t="s">
        <v>74</v>
      </c>
      <c r="BA875" s="1" t="s">
        <v>74</v>
      </c>
      <c r="BB875" s="1">
        <v>1509.0</v>
      </c>
      <c r="BC875" s="1">
        <v>1523.0</v>
      </c>
      <c r="BD875" s="1" t="s">
        <v>74</v>
      </c>
      <c r="BE875" s="1" t="s">
        <v>7712</v>
      </c>
      <c r="BF875" s="2" t="str">
        <f>HYPERLINK("http://dx.doi.org/10.1109/JIOT.2025.3629943","http://dx.doi.org/10.1109/JIOT.2025.3629943")</f>
        <v>http://dx.doi.org/10.1109/JIOT.2025.3629943</v>
      </c>
      <c r="BG875" s="1" t="s">
        <v>74</v>
      </c>
      <c r="BH875" s="1" t="s">
        <v>74</v>
      </c>
      <c r="BI875" s="1" t="s">
        <v>74</v>
      </c>
      <c r="BJ875" s="1" t="s">
        <v>74</v>
      </c>
      <c r="BK875" s="1" t="s">
        <v>74</v>
      </c>
      <c r="BL875" s="1" t="s">
        <v>152</v>
      </c>
      <c r="BM875" s="1" t="s">
        <v>74</v>
      </c>
      <c r="BN875" s="1" t="s">
        <v>74</v>
      </c>
      <c r="BO875" s="1" t="s">
        <v>74</v>
      </c>
      <c r="BP875" s="1" t="s">
        <v>74</v>
      </c>
      <c r="BQ875" s="1" t="s">
        <v>74</v>
      </c>
      <c r="BR875" s="1" t="s">
        <v>74</v>
      </c>
      <c r="BS875" s="1" t="s">
        <v>7713</v>
      </c>
      <c r="BT875" s="1" t="str">
        <f>HYPERLINK("https%3A%2F%2Fwww.webofscience.com%2Fwos%2Fwoscc%2Ffull-record%2FWOS:001649708000008","View Full Record in Web of Science")</f>
        <v>View Full Record in Web of Science</v>
      </c>
    </row>
    <row r="876" ht="12.75" customHeight="1">
      <c r="A876" s="1" t="s">
        <v>72</v>
      </c>
      <c r="B876" s="1" t="s">
        <v>7714</v>
      </c>
      <c r="C876" s="1" t="s">
        <v>74</v>
      </c>
      <c r="D876" s="1" t="s">
        <v>74</v>
      </c>
      <c r="E876" s="1" t="s">
        <v>74</v>
      </c>
      <c r="F876" s="1" t="s">
        <v>7715</v>
      </c>
      <c r="G876" s="1" t="s">
        <v>74</v>
      </c>
      <c r="H876" s="1" t="s">
        <v>74</v>
      </c>
      <c r="I876" s="1" t="s">
        <v>7716</v>
      </c>
      <c r="J876" s="1" t="s">
        <v>7717</v>
      </c>
      <c r="K876" s="1" t="s">
        <v>74</v>
      </c>
      <c r="L876" s="1" t="s">
        <v>74</v>
      </c>
      <c r="M876" s="1" t="s">
        <v>74</v>
      </c>
      <c r="N876" s="1" t="s">
        <v>78</v>
      </c>
      <c r="O876" s="1" t="s">
        <v>74</v>
      </c>
      <c r="P876" s="1" t="s">
        <v>74</v>
      </c>
      <c r="Q876" s="1" t="s">
        <v>74</v>
      </c>
      <c r="R876" s="1" t="s">
        <v>74</v>
      </c>
      <c r="S876" s="1" t="s">
        <v>74</v>
      </c>
      <c r="T876" s="1" t="s">
        <v>7718</v>
      </c>
      <c r="U876" s="1" t="s">
        <v>74</v>
      </c>
      <c r="V876" s="1" t="s">
        <v>7719</v>
      </c>
      <c r="W876" s="1" t="s">
        <v>74</v>
      </c>
      <c r="X876" s="1" t="s">
        <v>74</v>
      </c>
      <c r="Y876" s="1" t="s">
        <v>74</v>
      </c>
      <c r="Z876" s="1" t="s">
        <v>74</v>
      </c>
      <c r="AA876" s="1" t="s">
        <v>74</v>
      </c>
      <c r="AB876" s="1" t="s">
        <v>74</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7720</v>
      </c>
      <c r="AP876" s="1" t="s">
        <v>7721</v>
      </c>
      <c r="AQ876" s="1" t="s">
        <v>74</v>
      </c>
      <c r="AR876" s="1" t="s">
        <v>74</v>
      </c>
      <c r="AS876" s="1" t="s">
        <v>74</v>
      </c>
      <c r="AT876" s="1" t="s">
        <v>1000</v>
      </c>
      <c r="AU876" s="1">
        <v>2023.0</v>
      </c>
      <c r="AV876" s="1">
        <v>9.0</v>
      </c>
      <c r="AW876" s="1">
        <v>2.0</v>
      </c>
      <c r="AX876" s="1" t="s">
        <v>74</v>
      </c>
      <c r="AY876" s="1" t="s">
        <v>74</v>
      </c>
      <c r="AZ876" s="1" t="s">
        <v>74</v>
      </c>
      <c r="BA876" s="1" t="s">
        <v>74</v>
      </c>
      <c r="BB876" s="1">
        <v>9.0</v>
      </c>
      <c r="BC876" s="1">
        <v>26.0</v>
      </c>
      <c r="BD876" s="1" t="s">
        <v>74</v>
      </c>
      <c r="BE876" s="1" t="s">
        <v>7722</v>
      </c>
      <c r="BF876" s="2" t="str">
        <f>HYPERLINK("http://dx.doi.org/10.18559/ebr.2023.2.732","http://dx.doi.org/10.18559/ebr.2023.2.732")</f>
        <v>http://dx.doi.org/10.18559/ebr.2023.2.732</v>
      </c>
      <c r="BG876" s="1" t="s">
        <v>74</v>
      </c>
      <c r="BH876" s="1" t="s">
        <v>74</v>
      </c>
      <c r="BI876" s="1" t="s">
        <v>74</v>
      </c>
      <c r="BJ876" s="1" t="s">
        <v>74</v>
      </c>
      <c r="BK876" s="1" t="s">
        <v>74</v>
      </c>
      <c r="BL876" s="1" t="s">
        <v>214</v>
      </c>
      <c r="BM876" s="1" t="s">
        <v>74</v>
      </c>
      <c r="BN876" s="1" t="s">
        <v>74</v>
      </c>
      <c r="BO876" s="1" t="s">
        <v>153</v>
      </c>
      <c r="BP876" s="1" t="s">
        <v>74</v>
      </c>
      <c r="BQ876" s="1" t="s">
        <v>74</v>
      </c>
      <c r="BR876" s="1" t="s">
        <v>74</v>
      </c>
      <c r="BS876" s="1" t="s">
        <v>7723</v>
      </c>
      <c r="BT876" s="1" t="str">
        <f>HYPERLINK("https%3A%2F%2Fwww.webofscience.com%2Fwos%2Fwoscc%2Ffull-record%2FWOS:001037180500002","View Full Record in Web of Science")</f>
        <v>View Full Record in Web of Science</v>
      </c>
    </row>
    <row r="877" ht="12.75" customHeight="1">
      <c r="A877" s="1" t="s">
        <v>72</v>
      </c>
      <c r="B877" s="1" t="s">
        <v>7724</v>
      </c>
      <c r="C877" s="1" t="s">
        <v>74</v>
      </c>
      <c r="D877" s="1" t="s">
        <v>74</v>
      </c>
      <c r="E877" s="1" t="s">
        <v>74</v>
      </c>
      <c r="F877" s="1" t="s">
        <v>7725</v>
      </c>
      <c r="G877" s="1" t="s">
        <v>74</v>
      </c>
      <c r="H877" s="1" t="s">
        <v>74</v>
      </c>
      <c r="I877" s="1" t="s">
        <v>7726</v>
      </c>
      <c r="J877" s="1" t="s">
        <v>4837</v>
      </c>
      <c r="K877" s="1" t="s">
        <v>74</v>
      </c>
      <c r="L877" s="1" t="s">
        <v>74</v>
      </c>
      <c r="M877" s="1" t="s">
        <v>74</v>
      </c>
      <c r="N877" s="1" t="s">
        <v>78</v>
      </c>
      <c r="O877" s="1" t="s">
        <v>74</v>
      </c>
      <c r="P877" s="1" t="s">
        <v>74</v>
      </c>
      <c r="Q877" s="1" t="s">
        <v>74</v>
      </c>
      <c r="R877" s="1" t="s">
        <v>74</v>
      </c>
      <c r="S877" s="1" t="s">
        <v>74</v>
      </c>
      <c r="T877" s="1" t="s">
        <v>7727</v>
      </c>
      <c r="U877" s="1" t="s">
        <v>7728</v>
      </c>
      <c r="V877" s="1" t="s">
        <v>7729</v>
      </c>
      <c r="W877" s="1" t="s">
        <v>74</v>
      </c>
      <c r="X877" s="1" t="s">
        <v>74</v>
      </c>
      <c r="Y877" s="1" t="s">
        <v>74</v>
      </c>
      <c r="Z877" s="1" t="s">
        <v>74</v>
      </c>
      <c r="AA877" s="1" t="s">
        <v>74</v>
      </c>
      <c r="AB877" s="1" t="s">
        <v>74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4841</v>
      </c>
      <c r="AP877" s="1" t="s">
        <v>4842</v>
      </c>
      <c r="AQ877" s="1" t="s">
        <v>74</v>
      </c>
      <c r="AR877" s="1" t="s">
        <v>74</v>
      </c>
      <c r="AS877" s="1" t="s">
        <v>74</v>
      </c>
      <c r="AT877" s="1" t="s">
        <v>736</v>
      </c>
      <c r="AU877" s="1">
        <v>2026.0</v>
      </c>
      <c r="AV877" s="1">
        <v>273.0</v>
      </c>
      <c r="AW877" s="1" t="s">
        <v>74</v>
      </c>
      <c r="AX877" s="1" t="s">
        <v>74</v>
      </c>
      <c r="AY877" s="1" t="s">
        <v>74</v>
      </c>
      <c r="AZ877" s="1" t="s">
        <v>74</v>
      </c>
      <c r="BA877" s="1" t="s">
        <v>74</v>
      </c>
      <c r="BB877" s="1" t="s">
        <v>74</v>
      </c>
      <c r="BC877" s="1" t="s">
        <v>74</v>
      </c>
      <c r="BD877" s="1">
        <v>109084.0</v>
      </c>
      <c r="BE877" s="1" t="s">
        <v>7730</v>
      </c>
      <c r="BF877" s="2" t="str">
        <f>HYPERLINK("http://dx.doi.org/10.1016/j.cmpb.2025.109084","http://dx.doi.org/10.1016/j.cmpb.2025.109084")</f>
        <v>http://dx.doi.org/10.1016/j.cmpb.2025.109084</v>
      </c>
      <c r="BG877" s="1" t="s">
        <v>74</v>
      </c>
      <c r="BH877" s="1" t="s">
        <v>811</v>
      </c>
      <c r="BI877" s="1" t="s">
        <v>74</v>
      </c>
      <c r="BJ877" s="1" t="s">
        <v>74</v>
      </c>
      <c r="BK877" s="1" t="s">
        <v>74</v>
      </c>
      <c r="BL877" s="1" t="s">
        <v>4777</v>
      </c>
      <c r="BM877" s="1" t="s">
        <v>74</v>
      </c>
      <c r="BN877" s="1" t="s">
        <v>74</v>
      </c>
      <c r="BO877" s="1" t="s">
        <v>74</v>
      </c>
      <c r="BP877" s="1" t="s">
        <v>74</v>
      </c>
      <c r="BQ877" s="1" t="s">
        <v>74</v>
      </c>
      <c r="BR877" s="1" t="s">
        <v>74</v>
      </c>
      <c r="BS877" s="1" t="s">
        <v>7731</v>
      </c>
      <c r="BT877" s="1" t="str">
        <f>HYPERLINK("https%3A%2F%2Fwww.webofscience.com%2Fwos%2Fwoscc%2Ffull-record%2FWOS:001592552700001","View Full Record in Web of Science")</f>
        <v>View Full Record in Web of Science</v>
      </c>
    </row>
    <row r="878" ht="12.75" customHeight="1">
      <c r="A878" s="1" t="s">
        <v>72</v>
      </c>
      <c r="B878" s="1" t="s">
        <v>7732</v>
      </c>
      <c r="C878" s="1" t="s">
        <v>74</v>
      </c>
      <c r="D878" s="1" t="s">
        <v>74</v>
      </c>
      <c r="E878" s="1" t="s">
        <v>74</v>
      </c>
      <c r="F878" s="1" t="s">
        <v>7733</v>
      </c>
      <c r="G878" s="1" t="s">
        <v>74</v>
      </c>
      <c r="H878" s="1" t="s">
        <v>74</v>
      </c>
      <c r="I878" s="1" t="s">
        <v>7734</v>
      </c>
      <c r="J878" s="1" t="s">
        <v>1531</v>
      </c>
      <c r="K878" s="1" t="s">
        <v>74</v>
      </c>
      <c r="L878" s="1" t="s">
        <v>74</v>
      </c>
      <c r="M878" s="1" t="s">
        <v>74</v>
      </c>
      <c r="N878" s="1" t="s">
        <v>78</v>
      </c>
      <c r="O878" s="1" t="s">
        <v>74</v>
      </c>
      <c r="P878" s="1" t="s">
        <v>74</v>
      </c>
      <c r="Q878" s="1" t="s">
        <v>74</v>
      </c>
      <c r="R878" s="1" t="s">
        <v>74</v>
      </c>
      <c r="S878" s="1" t="s">
        <v>74</v>
      </c>
      <c r="T878" s="1" t="s">
        <v>7735</v>
      </c>
      <c r="U878" s="1" t="s">
        <v>74</v>
      </c>
      <c r="V878" s="1" t="s">
        <v>7736</v>
      </c>
      <c r="W878" s="1" t="s">
        <v>74</v>
      </c>
      <c r="X878" s="1" t="s">
        <v>74</v>
      </c>
      <c r="Y878" s="1" t="s">
        <v>74</v>
      </c>
      <c r="Z878" s="1" t="s">
        <v>74</v>
      </c>
      <c r="AA878" s="1" t="s">
        <v>74</v>
      </c>
      <c r="AB878" s="1" t="s">
        <v>74</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1534</v>
      </c>
      <c r="AP878" s="1" t="s">
        <v>74</v>
      </c>
      <c r="AQ878" s="1" t="s">
        <v>74</v>
      </c>
      <c r="AR878" s="1" t="s">
        <v>74</v>
      </c>
      <c r="AS878" s="1" t="s">
        <v>74</v>
      </c>
      <c r="AT878" s="1" t="s">
        <v>74</v>
      </c>
      <c r="AU878" s="1">
        <v>2025.0</v>
      </c>
      <c r="AV878" s="1">
        <v>16.0</v>
      </c>
      <c r="AW878" s="1">
        <v>12.0</v>
      </c>
      <c r="AX878" s="1" t="s">
        <v>74</v>
      </c>
      <c r="AY878" s="1" t="s">
        <v>74</v>
      </c>
      <c r="AZ878" s="1" t="s">
        <v>74</v>
      </c>
      <c r="BA878" s="1" t="s">
        <v>74</v>
      </c>
      <c r="BB878" s="1">
        <v>1734.0</v>
      </c>
      <c r="BC878" s="1">
        <v>1745.0</v>
      </c>
      <c r="BD878" s="1" t="s">
        <v>74</v>
      </c>
      <c r="BE878" s="1" t="s">
        <v>7737</v>
      </c>
      <c r="BF878" s="2" t="str">
        <f>HYPERLINK("http://dx.doi.org/10.12720/jait.16.12.1734-1745","http://dx.doi.org/10.12720/jait.16.12.1734-1745")</f>
        <v>http://dx.doi.org/10.12720/jait.16.12.1734-1745</v>
      </c>
      <c r="BG878" s="1" t="s">
        <v>74</v>
      </c>
      <c r="BH878" s="1" t="s">
        <v>74</v>
      </c>
      <c r="BI878" s="1" t="s">
        <v>74</v>
      </c>
      <c r="BJ878" s="1" t="s">
        <v>74</v>
      </c>
      <c r="BK878" s="1" t="s">
        <v>74</v>
      </c>
      <c r="BL878" s="1" t="s">
        <v>174</v>
      </c>
      <c r="BM878" s="1" t="s">
        <v>74</v>
      </c>
      <c r="BN878" s="1" t="s">
        <v>74</v>
      </c>
      <c r="BO878" s="1" t="s">
        <v>163</v>
      </c>
      <c r="BP878" s="1" t="s">
        <v>74</v>
      </c>
      <c r="BQ878" s="1" t="s">
        <v>74</v>
      </c>
      <c r="BR878" s="1" t="s">
        <v>74</v>
      </c>
      <c r="BS878" s="1" t="s">
        <v>7738</v>
      </c>
      <c r="BT878" s="1" t="str">
        <f>HYPERLINK("https%3A%2F%2Fwww.webofscience.com%2Fwos%2Fwoscc%2Ffull-record%2FWOS:001644532700005","View Full Record in Web of Science")</f>
        <v>View Full Record in Web of Science</v>
      </c>
    </row>
    <row r="879" ht="12.75" customHeight="1">
      <c r="A879" s="1" t="s">
        <v>72</v>
      </c>
      <c r="B879" s="1" t="s">
        <v>7739</v>
      </c>
      <c r="C879" s="1" t="s">
        <v>74</v>
      </c>
      <c r="D879" s="1" t="s">
        <v>74</v>
      </c>
      <c r="E879" s="1" t="s">
        <v>74</v>
      </c>
      <c r="F879" s="1" t="s">
        <v>7740</v>
      </c>
      <c r="G879" s="1" t="s">
        <v>74</v>
      </c>
      <c r="H879" s="1" t="s">
        <v>74</v>
      </c>
      <c r="I879" s="1" t="s">
        <v>7741</v>
      </c>
      <c r="J879" s="1" t="s">
        <v>7420</v>
      </c>
      <c r="K879" s="1" t="s">
        <v>74</v>
      </c>
      <c r="L879" s="1" t="s">
        <v>74</v>
      </c>
      <c r="M879" s="1" t="s">
        <v>74</v>
      </c>
      <c r="N879" s="1" t="s">
        <v>78</v>
      </c>
      <c r="O879" s="1" t="s">
        <v>74</v>
      </c>
      <c r="P879" s="1" t="s">
        <v>74</v>
      </c>
      <c r="Q879" s="1" t="s">
        <v>74</v>
      </c>
      <c r="R879" s="1" t="s">
        <v>74</v>
      </c>
      <c r="S879" s="1" t="s">
        <v>74</v>
      </c>
      <c r="T879" s="1" t="s">
        <v>7742</v>
      </c>
      <c r="U879" s="1" t="s">
        <v>74</v>
      </c>
      <c r="V879" s="1" t="s">
        <v>7743</v>
      </c>
      <c r="W879" s="1" t="s">
        <v>74</v>
      </c>
      <c r="X879" s="1" t="s">
        <v>74</v>
      </c>
      <c r="Y879" s="1" t="s">
        <v>74</v>
      </c>
      <c r="Z879" s="1" t="s">
        <v>74</v>
      </c>
      <c r="AA879" s="1" t="s">
        <v>74</v>
      </c>
      <c r="AB879" s="1" t="s">
        <v>74</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7422</v>
      </c>
      <c r="AP879" s="1" t="s">
        <v>74</v>
      </c>
      <c r="AQ879" s="1" t="s">
        <v>74</v>
      </c>
      <c r="AR879" s="1" t="s">
        <v>74</v>
      </c>
      <c r="AS879" s="1" t="s">
        <v>74</v>
      </c>
      <c r="AT879" s="1" t="s">
        <v>225</v>
      </c>
      <c r="AU879" s="1">
        <v>2025.0</v>
      </c>
      <c r="AV879" s="1">
        <v>7.0</v>
      </c>
      <c r="AW879" s="1">
        <v>4.0</v>
      </c>
      <c r="AX879" s="1" t="s">
        <v>74</v>
      </c>
      <c r="AY879" s="1" t="s">
        <v>74</v>
      </c>
      <c r="AZ879" s="1" t="s">
        <v>74</v>
      </c>
      <c r="BA879" s="1" t="s">
        <v>74</v>
      </c>
      <c r="BB879" s="1" t="s">
        <v>74</v>
      </c>
      <c r="BC879" s="1" t="s">
        <v>74</v>
      </c>
      <c r="BD879" s="1" t="s">
        <v>7744</v>
      </c>
      <c r="BE879" s="1" t="s">
        <v>7745</v>
      </c>
      <c r="BF879" s="2" t="str">
        <f>HYPERLINK("http://dx.doi.org/10.1148/ryai.240476","http://dx.doi.org/10.1148/ryai.240476")</f>
        <v>http://dx.doi.org/10.1148/ryai.240476</v>
      </c>
      <c r="BG879" s="1" t="s">
        <v>74</v>
      </c>
      <c r="BH879" s="1" t="s">
        <v>74</v>
      </c>
      <c r="BI879" s="1" t="s">
        <v>74</v>
      </c>
      <c r="BJ879" s="1" t="s">
        <v>74</v>
      </c>
      <c r="BK879" s="1" t="s">
        <v>74</v>
      </c>
      <c r="BL879" s="1" t="s">
        <v>337</v>
      </c>
      <c r="BM879" s="1" t="s">
        <v>74</v>
      </c>
      <c r="BN879" s="1" t="s">
        <v>74</v>
      </c>
      <c r="BO879" s="1" t="s">
        <v>127</v>
      </c>
      <c r="BP879" s="1" t="s">
        <v>74</v>
      </c>
      <c r="BQ879" s="1" t="s">
        <v>74</v>
      </c>
      <c r="BR879" s="1" t="s">
        <v>74</v>
      </c>
      <c r="BS879" s="1" t="s">
        <v>7746</v>
      </c>
      <c r="BT879" s="1" t="str">
        <f>HYPERLINK("https%3A%2F%2Fwww.webofscience.com%2Fwos%2Fwoscc%2Ffull-record%2FWOS:001553736800014","View Full Record in Web of Science")</f>
        <v>View Full Record in Web of Science</v>
      </c>
    </row>
    <row r="880" ht="12.75" customHeight="1">
      <c r="A880" s="1" t="s">
        <v>72</v>
      </c>
      <c r="B880" s="1" t="s">
        <v>7747</v>
      </c>
      <c r="C880" s="1" t="s">
        <v>74</v>
      </c>
      <c r="D880" s="1" t="s">
        <v>74</v>
      </c>
      <c r="E880" s="1" t="s">
        <v>74</v>
      </c>
      <c r="F880" s="1" t="s">
        <v>7748</v>
      </c>
      <c r="G880" s="1" t="s">
        <v>74</v>
      </c>
      <c r="H880" s="1" t="s">
        <v>74</v>
      </c>
      <c r="I880" s="1" t="s">
        <v>7749</v>
      </c>
      <c r="J880" s="1" t="s">
        <v>3463</v>
      </c>
      <c r="K880" s="1" t="s">
        <v>74</v>
      </c>
      <c r="L880" s="1" t="s">
        <v>74</v>
      </c>
      <c r="M880" s="1" t="s">
        <v>74</v>
      </c>
      <c r="N880" s="1" t="s">
        <v>78</v>
      </c>
      <c r="O880" s="1" t="s">
        <v>74</v>
      </c>
      <c r="P880" s="1" t="s">
        <v>74</v>
      </c>
      <c r="Q880" s="1" t="s">
        <v>74</v>
      </c>
      <c r="R880" s="1" t="s">
        <v>74</v>
      </c>
      <c r="S880" s="1" t="s">
        <v>74</v>
      </c>
      <c r="T880" s="1" t="s">
        <v>7750</v>
      </c>
      <c r="U880" s="1" t="s">
        <v>7751</v>
      </c>
      <c r="V880" s="1" t="s">
        <v>7752</v>
      </c>
      <c r="W880" s="1" t="s">
        <v>74</v>
      </c>
      <c r="X880" s="1" t="s">
        <v>74</v>
      </c>
      <c r="Y880" s="1" t="s">
        <v>74</v>
      </c>
      <c r="Z880" s="1" t="s">
        <v>74</v>
      </c>
      <c r="AA880" s="1" t="s">
        <v>74</v>
      </c>
      <c r="AB880" s="1" t="s">
        <v>74</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3467</v>
      </c>
      <c r="AP880" s="1" t="s">
        <v>3468</v>
      </c>
      <c r="AQ880" s="1" t="s">
        <v>74</v>
      </c>
      <c r="AR880" s="1" t="s">
        <v>74</v>
      </c>
      <c r="AS880" s="1" t="s">
        <v>74</v>
      </c>
      <c r="AT880" s="1" t="s">
        <v>736</v>
      </c>
      <c r="AU880" s="1">
        <v>2026.0</v>
      </c>
      <c r="AV880" s="1">
        <v>53.0</v>
      </c>
      <c r="AW880" s="1">
        <v>1.0</v>
      </c>
      <c r="AX880" s="1" t="s">
        <v>74</v>
      </c>
      <c r="AY880" s="1" t="s">
        <v>74</v>
      </c>
      <c r="AZ880" s="1" t="s">
        <v>707</v>
      </c>
      <c r="BA880" s="1" t="s">
        <v>74</v>
      </c>
      <c r="BB880" s="1">
        <v>49.0</v>
      </c>
      <c r="BC880" s="1">
        <v>67.0</v>
      </c>
      <c r="BD880" s="1" t="s">
        <v>74</v>
      </c>
      <c r="BE880" s="1" t="s">
        <v>7753</v>
      </c>
      <c r="BF880" s="2" t="str">
        <f>HYPERLINK("http://dx.doi.org/10.1177/23998083251369143","http://dx.doi.org/10.1177/23998083251369143")</f>
        <v>http://dx.doi.org/10.1177/23998083251369143</v>
      </c>
      <c r="BG880" s="1" t="s">
        <v>74</v>
      </c>
      <c r="BH880" s="1" t="s">
        <v>738</v>
      </c>
      <c r="BI880" s="1" t="s">
        <v>74</v>
      </c>
      <c r="BJ880" s="1" t="s">
        <v>74</v>
      </c>
      <c r="BK880" s="1" t="s">
        <v>74</v>
      </c>
      <c r="BL880" s="1" t="s">
        <v>3470</v>
      </c>
      <c r="BM880" s="1" t="s">
        <v>74</v>
      </c>
      <c r="BN880" s="1" t="s">
        <v>74</v>
      </c>
      <c r="BO880" s="1" t="s">
        <v>114</v>
      </c>
      <c r="BP880" s="1" t="s">
        <v>74</v>
      </c>
      <c r="BQ880" s="1" t="s">
        <v>74</v>
      </c>
      <c r="BR880" s="1" t="s">
        <v>74</v>
      </c>
      <c r="BS880" s="1" t="s">
        <v>7754</v>
      </c>
      <c r="BT880" s="1" t="str">
        <f>HYPERLINK("https%3A%2F%2Fwww.webofscience.com%2Fwos%2Fwoscc%2Ffull-record%2FWOS:001598619400001","View Full Record in Web of Science")</f>
        <v>View Full Record in Web of Science</v>
      </c>
    </row>
    <row r="881" ht="12.75" customHeight="1">
      <c r="A881" s="1" t="s">
        <v>72</v>
      </c>
      <c r="B881" s="1" t="s">
        <v>7755</v>
      </c>
      <c r="C881" s="1" t="s">
        <v>74</v>
      </c>
      <c r="D881" s="1" t="s">
        <v>74</v>
      </c>
      <c r="E881" s="1" t="s">
        <v>74</v>
      </c>
      <c r="F881" s="1" t="s">
        <v>7756</v>
      </c>
      <c r="G881" s="1" t="s">
        <v>74</v>
      </c>
      <c r="H881" s="1" t="s">
        <v>74</v>
      </c>
      <c r="I881" s="1" t="s">
        <v>7757</v>
      </c>
      <c r="J881" s="1" t="s">
        <v>281</v>
      </c>
      <c r="K881" s="1" t="s">
        <v>74</v>
      </c>
      <c r="L881" s="1" t="s">
        <v>74</v>
      </c>
      <c r="M881" s="1" t="s">
        <v>74</v>
      </c>
      <c r="N881" s="1" t="s">
        <v>78</v>
      </c>
      <c r="O881" s="1" t="s">
        <v>74</v>
      </c>
      <c r="P881" s="1" t="s">
        <v>74</v>
      </c>
      <c r="Q881" s="1" t="s">
        <v>74</v>
      </c>
      <c r="R881" s="1" t="s">
        <v>74</v>
      </c>
      <c r="S881" s="1" t="s">
        <v>74</v>
      </c>
      <c r="T881" s="1" t="s">
        <v>7758</v>
      </c>
      <c r="U881" s="1" t="s">
        <v>74</v>
      </c>
      <c r="V881" s="1" t="s">
        <v>7759</v>
      </c>
      <c r="W881" s="1" t="s">
        <v>74</v>
      </c>
      <c r="X881" s="1" t="s">
        <v>74</v>
      </c>
      <c r="Y881" s="1" t="s">
        <v>74</v>
      </c>
      <c r="Z881" s="1" t="s">
        <v>74</v>
      </c>
      <c r="AA881" s="1" t="s">
        <v>74</v>
      </c>
      <c r="AB881" s="1" t="s">
        <v>74</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285</v>
      </c>
      <c r="AP881" s="1" t="s">
        <v>286</v>
      </c>
      <c r="AQ881" s="1" t="s">
        <v>74</v>
      </c>
      <c r="AR881" s="1" t="s">
        <v>74</v>
      </c>
      <c r="AS881" s="1" t="s">
        <v>74</v>
      </c>
      <c r="AT881" s="1" t="s">
        <v>5827</v>
      </c>
      <c r="AU881" s="1">
        <v>2024.0</v>
      </c>
      <c r="AV881" s="1">
        <v>31.0</v>
      </c>
      <c r="AW881" s="1">
        <v>6.0</v>
      </c>
      <c r="AX881" s="1" t="s">
        <v>74</v>
      </c>
      <c r="AY881" s="1" t="s">
        <v>74</v>
      </c>
      <c r="AZ881" s="1" t="s">
        <v>74</v>
      </c>
      <c r="BA881" s="1" t="s">
        <v>74</v>
      </c>
      <c r="BB881" s="1">
        <v>1341.0</v>
      </c>
      <c r="BC881" s="1">
        <v>1347.0</v>
      </c>
      <c r="BD881" s="1" t="s">
        <v>74</v>
      </c>
      <c r="BE881" s="1" t="s">
        <v>7760</v>
      </c>
      <c r="BF881" s="2" t="str">
        <f>HYPERLINK("http://dx.doi.org/10.1093/jamia/ocae067","http://dx.doi.org/10.1093/jamia/ocae067")</f>
        <v>http://dx.doi.org/10.1093/jamia/ocae067</v>
      </c>
      <c r="BG881" s="1" t="s">
        <v>74</v>
      </c>
      <c r="BH881" s="1" t="s">
        <v>126</v>
      </c>
      <c r="BI881" s="1" t="s">
        <v>74</v>
      </c>
      <c r="BJ881" s="1" t="s">
        <v>74</v>
      </c>
      <c r="BK881" s="1" t="s">
        <v>74</v>
      </c>
      <c r="BL881" s="1" t="s">
        <v>291</v>
      </c>
      <c r="BM881" s="1" t="s">
        <v>74</v>
      </c>
      <c r="BN881" s="1" t="s">
        <v>74</v>
      </c>
      <c r="BO881" s="1" t="s">
        <v>127</v>
      </c>
      <c r="BP881" s="1" t="s">
        <v>74</v>
      </c>
      <c r="BQ881" s="1" t="s">
        <v>74</v>
      </c>
      <c r="BR881" s="1" t="s">
        <v>74</v>
      </c>
      <c r="BS881" s="1" t="s">
        <v>7761</v>
      </c>
      <c r="BT881" s="1" t="str">
        <f>HYPERLINK("https%3A%2F%2Fwww.webofscience.com%2Fwos%2Fwoscc%2Ffull-record%2FWOS:001197188000001","View Full Record in Web of Science")</f>
        <v>View Full Record in Web of Science</v>
      </c>
    </row>
    <row r="882" ht="12.75" customHeight="1">
      <c r="A882" s="1" t="s">
        <v>72</v>
      </c>
      <c r="B882" s="1" t="s">
        <v>7762</v>
      </c>
      <c r="C882" s="1" t="s">
        <v>74</v>
      </c>
      <c r="D882" s="1" t="s">
        <v>74</v>
      </c>
      <c r="E882" s="1" t="s">
        <v>74</v>
      </c>
      <c r="F882" s="1" t="s">
        <v>7763</v>
      </c>
      <c r="G882" s="1" t="s">
        <v>74</v>
      </c>
      <c r="H882" s="1" t="s">
        <v>74</v>
      </c>
      <c r="I882" s="1" t="s">
        <v>7764</v>
      </c>
      <c r="J882" s="1" t="s">
        <v>4837</v>
      </c>
      <c r="K882" s="1" t="s">
        <v>74</v>
      </c>
      <c r="L882" s="1" t="s">
        <v>74</v>
      </c>
      <c r="M882" s="1" t="s">
        <v>74</v>
      </c>
      <c r="N882" s="1" t="s">
        <v>158</v>
      </c>
      <c r="O882" s="1" t="s">
        <v>74</v>
      </c>
      <c r="P882" s="1" t="s">
        <v>74</v>
      </c>
      <c r="Q882" s="1" t="s">
        <v>74</v>
      </c>
      <c r="R882" s="1" t="s">
        <v>74</v>
      </c>
      <c r="S882" s="1" t="s">
        <v>74</v>
      </c>
      <c r="T882" s="1" t="s">
        <v>7765</v>
      </c>
      <c r="U882" s="1" t="s">
        <v>7766</v>
      </c>
      <c r="V882" s="1" t="s">
        <v>7767</v>
      </c>
      <c r="W882" s="1" t="s">
        <v>74</v>
      </c>
      <c r="X882" s="1" t="s">
        <v>74</v>
      </c>
      <c r="Y882" s="1" t="s">
        <v>74</v>
      </c>
      <c r="Z882" s="1" t="s">
        <v>74</v>
      </c>
      <c r="AA882" s="1" t="s">
        <v>74</v>
      </c>
      <c r="AB882" s="1" t="s">
        <v>74</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4841</v>
      </c>
      <c r="AP882" s="1" t="s">
        <v>4842</v>
      </c>
      <c r="AQ882" s="1" t="s">
        <v>74</v>
      </c>
      <c r="AR882" s="1" t="s">
        <v>74</v>
      </c>
      <c r="AS882" s="1" t="s">
        <v>74</v>
      </c>
      <c r="AT882" s="1" t="s">
        <v>464</v>
      </c>
      <c r="AU882" s="1">
        <v>2025.0</v>
      </c>
      <c r="AV882" s="1">
        <v>268.0</v>
      </c>
      <c r="AW882" s="1" t="s">
        <v>74</v>
      </c>
      <c r="AX882" s="1" t="s">
        <v>74</v>
      </c>
      <c r="AY882" s="1" t="s">
        <v>74</v>
      </c>
      <c r="AZ882" s="1" t="s">
        <v>74</v>
      </c>
      <c r="BA882" s="1" t="s">
        <v>74</v>
      </c>
      <c r="BB882" s="1" t="s">
        <v>74</v>
      </c>
      <c r="BC882" s="1" t="s">
        <v>74</v>
      </c>
      <c r="BD882" s="1">
        <v>108870.0</v>
      </c>
      <c r="BE882" s="1" t="s">
        <v>7768</v>
      </c>
      <c r="BF882" s="2" t="str">
        <f>HYPERLINK("http://dx.doi.org/10.1016/j.cmpb.2025.108870","http://dx.doi.org/10.1016/j.cmpb.2025.108870")</f>
        <v>http://dx.doi.org/10.1016/j.cmpb.2025.108870</v>
      </c>
      <c r="BG882" s="1" t="s">
        <v>74</v>
      </c>
      <c r="BH882" s="1" t="s">
        <v>1150</v>
      </c>
      <c r="BI882" s="1" t="s">
        <v>74</v>
      </c>
      <c r="BJ882" s="1" t="s">
        <v>74</v>
      </c>
      <c r="BK882" s="1" t="s">
        <v>74</v>
      </c>
      <c r="BL882" s="1" t="s">
        <v>4777</v>
      </c>
      <c r="BM882" s="1" t="s">
        <v>74</v>
      </c>
      <c r="BN882" s="1" t="s">
        <v>74</v>
      </c>
      <c r="BO882" s="1" t="s">
        <v>74</v>
      </c>
      <c r="BP882" s="1" t="s">
        <v>74</v>
      </c>
      <c r="BQ882" s="1" t="s">
        <v>74</v>
      </c>
      <c r="BR882" s="1" t="s">
        <v>74</v>
      </c>
      <c r="BS882" s="1" t="s">
        <v>7769</v>
      </c>
      <c r="BT882" s="1" t="str">
        <f>HYPERLINK("https%3A%2F%2Fwww.webofscience.com%2Fwos%2Fwoscc%2Ffull-record%2FWOS:001501754500001","View Full Record in Web of Science")</f>
        <v>View Full Record in Web of Science</v>
      </c>
    </row>
    <row r="883" ht="12.75" customHeight="1">
      <c r="A883" s="1" t="s">
        <v>72</v>
      </c>
      <c r="B883" s="1" t="s">
        <v>7770</v>
      </c>
      <c r="C883" s="1" t="s">
        <v>74</v>
      </c>
      <c r="D883" s="1" t="s">
        <v>74</v>
      </c>
      <c r="E883" s="1" t="s">
        <v>74</v>
      </c>
      <c r="F883" s="1" t="s">
        <v>7771</v>
      </c>
      <c r="G883" s="1" t="s">
        <v>74</v>
      </c>
      <c r="H883" s="1" t="s">
        <v>74</v>
      </c>
      <c r="I883" s="1" t="s">
        <v>7772</v>
      </c>
      <c r="J883" s="1" t="s">
        <v>7773</v>
      </c>
      <c r="K883" s="1" t="s">
        <v>74</v>
      </c>
      <c r="L883" s="1" t="s">
        <v>74</v>
      </c>
      <c r="M883" s="1" t="s">
        <v>74</v>
      </c>
      <c r="N883" s="1" t="s">
        <v>78</v>
      </c>
      <c r="O883" s="1" t="s">
        <v>74</v>
      </c>
      <c r="P883" s="1" t="s">
        <v>74</v>
      </c>
      <c r="Q883" s="1" t="s">
        <v>74</v>
      </c>
      <c r="R883" s="1" t="s">
        <v>74</v>
      </c>
      <c r="S883" s="1" t="s">
        <v>74</v>
      </c>
      <c r="T883" s="1" t="s">
        <v>7774</v>
      </c>
      <c r="U883" s="1" t="s">
        <v>7775</v>
      </c>
      <c r="V883" s="1" t="s">
        <v>7776</v>
      </c>
      <c r="W883" s="1" t="s">
        <v>74</v>
      </c>
      <c r="X883" s="1" t="s">
        <v>74</v>
      </c>
      <c r="Y883" s="1" t="s">
        <v>74</v>
      </c>
      <c r="Z883" s="1" t="s">
        <v>74</v>
      </c>
      <c r="AA883" s="1" t="s">
        <v>74</v>
      </c>
      <c r="AB883" s="1" t="s">
        <v>74</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7777</v>
      </c>
      <c r="AP883" s="1" t="s">
        <v>7778</v>
      </c>
      <c r="AQ883" s="1" t="s">
        <v>74</v>
      </c>
      <c r="AR883" s="1" t="s">
        <v>74</v>
      </c>
      <c r="AS883" s="1" t="s">
        <v>74</v>
      </c>
      <c r="AT883" s="1" t="s">
        <v>124</v>
      </c>
      <c r="AU883" s="1">
        <v>2025.0</v>
      </c>
      <c r="AV883" s="1">
        <v>32.0</v>
      </c>
      <c r="AW883" s="1">
        <v>2.0</v>
      </c>
      <c r="AX883" s="1" t="s">
        <v>74</v>
      </c>
      <c r="AY883" s="1" t="s">
        <v>74</v>
      </c>
      <c r="AZ883" s="1" t="s">
        <v>74</v>
      </c>
      <c r="BA883" s="1" t="s">
        <v>74</v>
      </c>
      <c r="BB883" s="1">
        <v>625.0</v>
      </c>
      <c r="BC883" s="1">
        <v>655.0</v>
      </c>
      <c r="BD883" s="1" t="s">
        <v>74</v>
      </c>
      <c r="BE883" s="1" t="s">
        <v>7779</v>
      </c>
      <c r="BF883" s="2" t="str">
        <f>HYPERLINK("http://dx.doi.org/10.1007/s10797-024-09875-4","http://dx.doi.org/10.1007/s10797-024-09875-4")</f>
        <v>http://dx.doi.org/10.1007/s10797-024-09875-4</v>
      </c>
      <c r="BG883" s="1" t="s">
        <v>74</v>
      </c>
      <c r="BH883" s="1" t="s">
        <v>1080</v>
      </c>
      <c r="BI883" s="1" t="s">
        <v>74</v>
      </c>
      <c r="BJ883" s="1" t="s">
        <v>74</v>
      </c>
      <c r="BK883" s="1" t="s">
        <v>74</v>
      </c>
      <c r="BL883" s="1" t="s">
        <v>214</v>
      </c>
      <c r="BM883" s="1" t="s">
        <v>74</v>
      </c>
      <c r="BN883" s="1" t="s">
        <v>74</v>
      </c>
      <c r="BO883" s="1" t="s">
        <v>576</v>
      </c>
      <c r="BP883" s="1" t="s">
        <v>74</v>
      </c>
      <c r="BQ883" s="1" t="s">
        <v>74</v>
      </c>
      <c r="BR883" s="1" t="s">
        <v>74</v>
      </c>
      <c r="BS883" s="1" t="s">
        <v>7780</v>
      </c>
      <c r="BT883" s="1" t="str">
        <f>HYPERLINK("https%3A%2F%2Fwww.webofscience.com%2Fwos%2Fwoscc%2Ffull-record%2FWOS:001380428300001","View Full Record in Web of Science")</f>
        <v>View Full Record in Web of Science</v>
      </c>
    </row>
    <row r="884" ht="12.75" customHeight="1">
      <c r="A884" s="1" t="s">
        <v>72</v>
      </c>
      <c r="B884" s="1" t="s">
        <v>7781</v>
      </c>
      <c r="C884" s="1" t="s">
        <v>74</v>
      </c>
      <c r="D884" s="1" t="s">
        <v>74</v>
      </c>
      <c r="E884" s="1" t="s">
        <v>74</v>
      </c>
      <c r="F884" s="1" t="s">
        <v>7782</v>
      </c>
      <c r="G884" s="1" t="s">
        <v>74</v>
      </c>
      <c r="H884" s="1" t="s">
        <v>74</v>
      </c>
      <c r="I884" s="1" t="s">
        <v>7783</v>
      </c>
      <c r="J884" s="1" t="s">
        <v>2961</v>
      </c>
      <c r="K884" s="1" t="s">
        <v>74</v>
      </c>
      <c r="L884" s="1" t="s">
        <v>74</v>
      </c>
      <c r="M884" s="1" t="s">
        <v>74</v>
      </c>
      <c r="N884" s="1" t="s">
        <v>78</v>
      </c>
      <c r="O884" s="1" t="s">
        <v>74</v>
      </c>
      <c r="P884" s="1" t="s">
        <v>74</v>
      </c>
      <c r="Q884" s="1" t="s">
        <v>74</v>
      </c>
      <c r="R884" s="1" t="s">
        <v>74</v>
      </c>
      <c r="S884" s="1" t="s">
        <v>74</v>
      </c>
      <c r="T884" s="1" t="s">
        <v>7784</v>
      </c>
      <c r="U884" s="1" t="s">
        <v>74</v>
      </c>
      <c r="V884" s="1" t="s">
        <v>7785</v>
      </c>
      <c r="W884" s="1" t="s">
        <v>74</v>
      </c>
      <c r="X884" s="1" t="s">
        <v>74</v>
      </c>
      <c r="Y884" s="1" t="s">
        <v>74</v>
      </c>
      <c r="Z884" s="1" t="s">
        <v>74</v>
      </c>
      <c r="AA884" s="1" t="s">
        <v>74</v>
      </c>
      <c r="AB884" s="1" t="s">
        <v>74</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2964</v>
      </c>
      <c r="AP884" s="1" t="s">
        <v>2965</v>
      </c>
      <c r="AQ884" s="1" t="s">
        <v>74</v>
      </c>
      <c r="AR884" s="1" t="s">
        <v>74</v>
      </c>
      <c r="AS884" s="1" t="s">
        <v>74</v>
      </c>
      <c r="AT884" s="1" t="s">
        <v>225</v>
      </c>
      <c r="AU884" s="1">
        <v>2025.0</v>
      </c>
      <c r="AV884" s="1">
        <v>8.0</v>
      </c>
      <c r="AW884" s="1">
        <v>4.0</v>
      </c>
      <c r="AX884" s="1" t="s">
        <v>74</v>
      </c>
      <c r="AY884" s="1" t="s">
        <v>74</v>
      </c>
      <c r="AZ884" s="1" t="s">
        <v>74</v>
      </c>
      <c r="BA884" s="1" t="s">
        <v>74</v>
      </c>
      <c r="BB884" s="1">
        <v>148.0</v>
      </c>
      <c r="BC884" s="1">
        <v>155.0</v>
      </c>
      <c r="BD884" s="1" t="s">
        <v>74</v>
      </c>
      <c r="BE884" s="1" t="s">
        <v>7786</v>
      </c>
      <c r="BF884" s="2" t="str">
        <f>HYPERLINK("http://dx.doi.org/10.1109/IOTM.001.2400162","http://dx.doi.org/10.1109/IOTM.001.2400162")</f>
        <v>http://dx.doi.org/10.1109/IOTM.001.2400162</v>
      </c>
      <c r="BG884" s="1" t="s">
        <v>74</v>
      </c>
      <c r="BH884" s="1" t="s">
        <v>74</v>
      </c>
      <c r="BI884" s="1" t="s">
        <v>74</v>
      </c>
      <c r="BJ884" s="1" t="s">
        <v>74</v>
      </c>
      <c r="BK884" s="1" t="s">
        <v>74</v>
      </c>
      <c r="BL884" s="1" t="s">
        <v>152</v>
      </c>
      <c r="BM884" s="1" t="s">
        <v>74</v>
      </c>
      <c r="BN884" s="1" t="s">
        <v>74</v>
      </c>
      <c r="BO884" s="1" t="s">
        <v>127</v>
      </c>
      <c r="BP884" s="1" t="s">
        <v>74</v>
      </c>
      <c r="BQ884" s="1" t="s">
        <v>74</v>
      </c>
      <c r="BR884" s="1" t="s">
        <v>74</v>
      </c>
      <c r="BS884" s="1" t="s">
        <v>7787</v>
      </c>
      <c r="BT884" s="1" t="str">
        <f>HYPERLINK("https%3A%2F%2Fwww.webofscience.com%2Fwos%2Fwoscc%2Ffull-record%2FWOS:001635943200019","View Full Record in Web of Science")</f>
        <v>View Full Record in Web of Science</v>
      </c>
    </row>
    <row r="885" ht="12.75" customHeight="1">
      <c r="A885" s="1" t="s">
        <v>72</v>
      </c>
      <c r="B885" s="1" t="s">
        <v>7788</v>
      </c>
      <c r="C885" s="1" t="s">
        <v>74</v>
      </c>
      <c r="D885" s="1" t="s">
        <v>74</v>
      </c>
      <c r="E885" s="1" t="s">
        <v>74</v>
      </c>
      <c r="F885" s="1" t="s">
        <v>7789</v>
      </c>
      <c r="G885" s="1" t="s">
        <v>74</v>
      </c>
      <c r="H885" s="1" t="s">
        <v>74</v>
      </c>
      <c r="I885" s="1" t="s">
        <v>7790</v>
      </c>
      <c r="J885" s="1" t="s">
        <v>103</v>
      </c>
      <c r="K885" s="1" t="s">
        <v>74</v>
      </c>
      <c r="L885" s="1" t="s">
        <v>74</v>
      </c>
      <c r="M885" s="1" t="s">
        <v>74</v>
      </c>
      <c r="N885" s="1" t="s">
        <v>78</v>
      </c>
      <c r="O885" s="1" t="s">
        <v>74</v>
      </c>
      <c r="P885" s="1" t="s">
        <v>74</v>
      </c>
      <c r="Q885" s="1" t="s">
        <v>74</v>
      </c>
      <c r="R885" s="1" t="s">
        <v>74</v>
      </c>
      <c r="S885" s="1" t="s">
        <v>74</v>
      </c>
      <c r="T885" s="1" t="s">
        <v>7791</v>
      </c>
      <c r="U885" s="1" t="s">
        <v>7792</v>
      </c>
      <c r="V885" s="1" t="s">
        <v>7793</v>
      </c>
      <c r="W885" s="1" t="s">
        <v>74</v>
      </c>
      <c r="X885" s="1" t="s">
        <v>74</v>
      </c>
      <c r="Y885" s="1" t="s">
        <v>74</v>
      </c>
      <c r="Z885" s="1" t="s">
        <v>74</v>
      </c>
      <c r="AA885" s="1" t="s">
        <v>74</v>
      </c>
      <c r="AB885" s="1" t="s">
        <v>74</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107</v>
      </c>
      <c r="AP885" s="1" t="s">
        <v>108</v>
      </c>
      <c r="AQ885" s="1" t="s">
        <v>74</v>
      </c>
      <c r="AR885" s="1" t="s">
        <v>74</v>
      </c>
      <c r="AS885" s="1" t="s">
        <v>74</v>
      </c>
      <c r="AT885" s="1" t="s">
        <v>1864</v>
      </c>
      <c r="AU885" s="1">
        <v>2025.0</v>
      </c>
      <c r="AV885" s="1">
        <v>162.0</v>
      </c>
      <c r="AW885" s="1" t="s">
        <v>74</v>
      </c>
      <c r="AX885" s="1" t="s">
        <v>1865</v>
      </c>
      <c r="AY885" s="1" t="s">
        <v>74</v>
      </c>
      <c r="AZ885" s="1" t="s">
        <v>74</v>
      </c>
      <c r="BA885" s="1" t="s">
        <v>74</v>
      </c>
      <c r="BB885" s="1" t="s">
        <v>74</v>
      </c>
      <c r="BC885" s="1" t="s">
        <v>74</v>
      </c>
      <c r="BD885" s="1">
        <v>112740.0</v>
      </c>
      <c r="BE885" s="1" t="s">
        <v>7794</v>
      </c>
      <c r="BF885" s="2" t="str">
        <f>HYPERLINK("http://dx.doi.org/10.1016/j.engappai.2025.112740","http://dx.doi.org/10.1016/j.engappai.2025.112740")</f>
        <v>http://dx.doi.org/10.1016/j.engappai.2025.112740</v>
      </c>
      <c r="BG885" s="1" t="s">
        <v>74</v>
      </c>
      <c r="BH885" s="1" t="s">
        <v>811</v>
      </c>
      <c r="BI885" s="1" t="s">
        <v>74</v>
      </c>
      <c r="BJ885" s="1" t="s">
        <v>74</v>
      </c>
      <c r="BK885" s="1" t="s">
        <v>74</v>
      </c>
      <c r="BL885" s="1" t="s">
        <v>113</v>
      </c>
      <c r="BM885" s="1" t="s">
        <v>74</v>
      </c>
      <c r="BN885" s="1" t="s">
        <v>74</v>
      </c>
      <c r="BO885" s="1" t="s">
        <v>74</v>
      </c>
      <c r="BP885" s="1" t="s">
        <v>74</v>
      </c>
      <c r="BQ885" s="1" t="s">
        <v>74</v>
      </c>
      <c r="BR885" s="1" t="s">
        <v>74</v>
      </c>
      <c r="BS885" s="1" t="s">
        <v>7795</v>
      </c>
      <c r="BT885" s="1" t="str">
        <f>HYPERLINK("https%3A%2F%2Fwww.webofscience.com%2Fwos%2Fwoscc%2Ffull-record%2FWOS:001599364500005","View Full Record in Web of Science")</f>
        <v>View Full Record in Web of Science</v>
      </c>
    </row>
    <row r="886" ht="12.75" customHeight="1">
      <c r="A886" s="1" t="s">
        <v>72</v>
      </c>
      <c r="B886" s="1" t="s">
        <v>7796</v>
      </c>
      <c r="C886" s="1" t="s">
        <v>74</v>
      </c>
      <c r="D886" s="1" t="s">
        <v>74</v>
      </c>
      <c r="E886" s="1" t="s">
        <v>74</v>
      </c>
      <c r="F886" s="1" t="s">
        <v>7797</v>
      </c>
      <c r="G886" s="1" t="s">
        <v>74</v>
      </c>
      <c r="H886" s="1" t="s">
        <v>74</v>
      </c>
      <c r="I886" s="1" t="s">
        <v>7798</v>
      </c>
      <c r="J886" s="1" t="s">
        <v>7799</v>
      </c>
      <c r="K886" s="1" t="s">
        <v>74</v>
      </c>
      <c r="L886" s="1" t="s">
        <v>74</v>
      </c>
      <c r="M886" s="1" t="s">
        <v>74</v>
      </c>
      <c r="N886" s="1" t="s">
        <v>78</v>
      </c>
      <c r="O886" s="1" t="s">
        <v>74</v>
      </c>
      <c r="P886" s="1" t="s">
        <v>74</v>
      </c>
      <c r="Q886" s="1" t="s">
        <v>74</v>
      </c>
      <c r="R886" s="1" t="s">
        <v>74</v>
      </c>
      <c r="S886" s="1" t="s">
        <v>74</v>
      </c>
      <c r="T886" s="1" t="s">
        <v>7800</v>
      </c>
      <c r="U886" s="1" t="s">
        <v>7801</v>
      </c>
      <c r="V886" s="1" t="s">
        <v>7802</v>
      </c>
      <c r="W886" s="1" t="s">
        <v>74</v>
      </c>
      <c r="X886" s="1" t="s">
        <v>74</v>
      </c>
      <c r="Y886" s="1" t="s">
        <v>74</v>
      </c>
      <c r="Z886" s="1" t="s">
        <v>74</v>
      </c>
      <c r="AA886" s="1" t="s">
        <v>74</v>
      </c>
      <c r="AB886" s="1" t="s">
        <v>74</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7803</v>
      </c>
      <c r="AP886" s="1" t="s">
        <v>7804</v>
      </c>
      <c r="AQ886" s="1" t="s">
        <v>74</v>
      </c>
      <c r="AR886" s="1" t="s">
        <v>74</v>
      </c>
      <c r="AS886" s="1" t="s">
        <v>74</v>
      </c>
      <c r="AT886" s="1" t="s">
        <v>74</v>
      </c>
      <c r="AU886" s="1">
        <v>2023.0</v>
      </c>
      <c r="AV886" s="1">
        <v>4.0</v>
      </c>
      <c r="AW886" s="1">
        <v>1.0</v>
      </c>
      <c r="AX886" s="1" t="s">
        <v>74</v>
      </c>
      <c r="AY886" s="1" t="s">
        <v>74</v>
      </c>
      <c r="AZ886" s="1" t="s">
        <v>74</v>
      </c>
      <c r="BA886" s="1" t="s">
        <v>74</v>
      </c>
      <c r="BB886" s="1">
        <v>95.0</v>
      </c>
      <c r="BC886" s="1">
        <v>107.0</v>
      </c>
      <c r="BD886" s="1" t="s">
        <v>74</v>
      </c>
      <c r="BE886" s="1" t="s">
        <v>7805</v>
      </c>
      <c r="BF886" s="2" t="str">
        <f>HYPERLINK("http://dx.doi.org/10.1615/JMachLearnModelComput.2023048607","http://dx.doi.org/10.1615/JMachLearnModelComput.2023048607")</f>
        <v>http://dx.doi.org/10.1615/JMachLearnModelComput.2023048607</v>
      </c>
      <c r="BG886" s="1" t="s">
        <v>74</v>
      </c>
      <c r="BH886" s="1" t="s">
        <v>74</v>
      </c>
      <c r="BI886" s="1" t="s">
        <v>74</v>
      </c>
      <c r="BJ886" s="1" t="s">
        <v>74</v>
      </c>
      <c r="BK886" s="1" t="s">
        <v>74</v>
      </c>
      <c r="BL886" s="1" t="s">
        <v>5959</v>
      </c>
      <c r="BM886" s="1" t="s">
        <v>74</v>
      </c>
      <c r="BN886" s="1" t="s">
        <v>74</v>
      </c>
      <c r="BO886" s="1" t="s">
        <v>4952</v>
      </c>
      <c r="BP886" s="1" t="s">
        <v>74</v>
      </c>
      <c r="BQ886" s="1" t="s">
        <v>74</v>
      </c>
      <c r="BR886" s="1" t="s">
        <v>74</v>
      </c>
      <c r="BS886" s="1" t="s">
        <v>7806</v>
      </c>
      <c r="BT886" s="1" t="str">
        <f>HYPERLINK("https%3A%2F%2Fwww.webofscience.com%2Fwos%2Fwoscc%2Ffull-record%2FWOS:001467406000004","View Full Record in Web of Science")</f>
        <v>View Full Record in Web of Science</v>
      </c>
    </row>
    <row r="887" ht="12.75" customHeight="1">
      <c r="A887" s="1" t="s">
        <v>72</v>
      </c>
      <c r="B887" s="1" t="s">
        <v>7807</v>
      </c>
      <c r="C887" s="1" t="s">
        <v>74</v>
      </c>
      <c r="D887" s="1" t="s">
        <v>74</v>
      </c>
      <c r="E887" s="1" t="s">
        <v>74</v>
      </c>
      <c r="F887" s="1" t="s">
        <v>7808</v>
      </c>
      <c r="G887" s="1" t="s">
        <v>74</v>
      </c>
      <c r="H887" s="1" t="s">
        <v>74</v>
      </c>
      <c r="I887" s="1" t="s">
        <v>7809</v>
      </c>
      <c r="J887" s="1" t="s">
        <v>966</v>
      </c>
      <c r="K887" s="1" t="s">
        <v>74</v>
      </c>
      <c r="L887" s="1" t="s">
        <v>74</v>
      </c>
      <c r="M887" s="1" t="s">
        <v>74</v>
      </c>
      <c r="N887" s="1" t="s">
        <v>78</v>
      </c>
      <c r="O887" s="1" t="s">
        <v>74</v>
      </c>
      <c r="P887" s="1" t="s">
        <v>74</v>
      </c>
      <c r="Q887" s="1" t="s">
        <v>74</v>
      </c>
      <c r="R887" s="1" t="s">
        <v>74</v>
      </c>
      <c r="S887" s="1" t="s">
        <v>74</v>
      </c>
      <c r="T887" s="1" t="s">
        <v>7810</v>
      </c>
      <c r="U887" s="1" t="s">
        <v>7811</v>
      </c>
      <c r="V887" s="1" t="s">
        <v>7812</v>
      </c>
      <c r="W887" s="1" t="s">
        <v>74</v>
      </c>
      <c r="X887" s="1" t="s">
        <v>74</v>
      </c>
      <c r="Y887" s="1" t="s">
        <v>74</v>
      </c>
      <c r="Z887" s="1" t="s">
        <v>74</v>
      </c>
      <c r="AA887" s="1" t="s">
        <v>74</v>
      </c>
      <c r="AB887" s="1" t="s">
        <v>74</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969</v>
      </c>
      <c r="AP887" s="1" t="s">
        <v>970</v>
      </c>
      <c r="AQ887" s="1" t="s">
        <v>74</v>
      </c>
      <c r="AR887" s="1" t="s">
        <v>74</v>
      </c>
      <c r="AS887" s="1" t="s">
        <v>74</v>
      </c>
      <c r="AT887" s="1" t="s">
        <v>7813</v>
      </c>
      <c r="AU887" s="1">
        <v>2024.0</v>
      </c>
      <c r="AV887" s="1">
        <v>284.0</v>
      </c>
      <c r="AW887" s="1" t="s">
        <v>74</v>
      </c>
      <c r="AX887" s="1" t="s">
        <v>74</v>
      </c>
      <c r="AY887" s="1" t="s">
        <v>74</v>
      </c>
      <c r="AZ887" s="1" t="s">
        <v>74</v>
      </c>
      <c r="BA887" s="1" t="s">
        <v>74</v>
      </c>
      <c r="BB887" s="1" t="s">
        <v>74</v>
      </c>
      <c r="BC887" s="1" t="s">
        <v>74</v>
      </c>
      <c r="BD887" s="1">
        <v>111300.0</v>
      </c>
      <c r="BE887" s="1" t="s">
        <v>7814</v>
      </c>
      <c r="BF887" s="2" t="str">
        <f>HYPERLINK("http://dx.doi.org/10.1016/j.knosys.2023.111300","http://dx.doi.org/10.1016/j.knosys.2023.111300")</f>
        <v>http://dx.doi.org/10.1016/j.knosys.2023.111300</v>
      </c>
      <c r="BG887" s="1" t="s">
        <v>74</v>
      </c>
      <c r="BH887" s="1" t="s">
        <v>4525</v>
      </c>
      <c r="BI887" s="1" t="s">
        <v>74</v>
      </c>
      <c r="BJ887" s="1" t="s">
        <v>74</v>
      </c>
      <c r="BK887" s="1" t="s">
        <v>74</v>
      </c>
      <c r="BL887" s="1" t="s">
        <v>174</v>
      </c>
      <c r="BM887" s="1" t="s">
        <v>74</v>
      </c>
      <c r="BN887" s="1" t="s">
        <v>74</v>
      </c>
      <c r="BO887" s="1" t="s">
        <v>576</v>
      </c>
      <c r="BP887" s="1" t="s">
        <v>74</v>
      </c>
      <c r="BQ887" s="1" t="s">
        <v>74</v>
      </c>
      <c r="BR887" s="1" t="s">
        <v>74</v>
      </c>
      <c r="BS887" s="1" t="s">
        <v>7815</v>
      </c>
      <c r="BT887" s="1" t="str">
        <f>HYPERLINK("https%3A%2F%2Fwww.webofscience.com%2Fwos%2Fwoscc%2Ffull-record%2FWOS:001144496600001","View Full Record in Web of Science")</f>
        <v>View Full Record in Web of Science</v>
      </c>
    </row>
    <row r="888" ht="12.75" customHeight="1">
      <c r="A888" s="1" t="s">
        <v>72</v>
      </c>
      <c r="B888" s="1" t="s">
        <v>7816</v>
      </c>
      <c r="C888" s="1" t="s">
        <v>74</v>
      </c>
      <c r="D888" s="1" t="s">
        <v>74</v>
      </c>
      <c r="E888" s="1" t="s">
        <v>74</v>
      </c>
      <c r="F888" s="1" t="s">
        <v>7817</v>
      </c>
      <c r="G888" s="1" t="s">
        <v>74</v>
      </c>
      <c r="H888" s="1" t="s">
        <v>74</v>
      </c>
      <c r="I888" s="1" t="s">
        <v>7818</v>
      </c>
      <c r="J888" s="1" t="s">
        <v>7819</v>
      </c>
      <c r="K888" s="1" t="s">
        <v>74</v>
      </c>
      <c r="L888" s="1" t="s">
        <v>74</v>
      </c>
      <c r="M888" s="1" t="s">
        <v>74</v>
      </c>
      <c r="N888" s="1" t="s">
        <v>78</v>
      </c>
      <c r="O888" s="1" t="s">
        <v>74</v>
      </c>
      <c r="P888" s="1" t="s">
        <v>74</v>
      </c>
      <c r="Q888" s="1" t="s">
        <v>74</v>
      </c>
      <c r="R888" s="1" t="s">
        <v>74</v>
      </c>
      <c r="S888" s="1" t="s">
        <v>74</v>
      </c>
      <c r="T888" s="1" t="s">
        <v>7820</v>
      </c>
      <c r="U888" s="1" t="s">
        <v>74</v>
      </c>
      <c r="V888" s="1" t="s">
        <v>7821</v>
      </c>
      <c r="W888" s="1" t="s">
        <v>74</v>
      </c>
      <c r="X888" s="1" t="s">
        <v>74</v>
      </c>
      <c r="Y888" s="1" t="s">
        <v>74</v>
      </c>
      <c r="Z888" s="1" t="s">
        <v>74</v>
      </c>
      <c r="AA888" s="1" t="s">
        <v>74</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7822</v>
      </c>
      <c r="AP888" s="1" t="s">
        <v>7823</v>
      </c>
      <c r="AQ888" s="1" t="s">
        <v>74</v>
      </c>
      <c r="AR888" s="1" t="s">
        <v>74</v>
      </c>
      <c r="AS888" s="1" t="s">
        <v>74</v>
      </c>
      <c r="AT888" s="1" t="s">
        <v>357</v>
      </c>
      <c r="AU888" s="1">
        <v>2025.0</v>
      </c>
      <c r="AV888" s="1">
        <v>171.0</v>
      </c>
      <c r="AW888" s="1" t="s">
        <v>74</v>
      </c>
      <c r="AX888" s="1" t="s">
        <v>74</v>
      </c>
      <c r="AY888" s="1" t="s">
        <v>74</v>
      </c>
      <c r="AZ888" s="1" t="s">
        <v>74</v>
      </c>
      <c r="BA888" s="1" t="s">
        <v>74</v>
      </c>
      <c r="BB888" s="1" t="s">
        <v>74</v>
      </c>
      <c r="BC888" s="1" t="s">
        <v>74</v>
      </c>
      <c r="BD888" s="1">
        <v>104329.0</v>
      </c>
      <c r="BE888" s="1" t="s">
        <v>7824</v>
      </c>
      <c r="BF888" s="2" t="str">
        <f>HYPERLINK("http://dx.doi.org/10.1016/j.compind.2025.104329","http://dx.doi.org/10.1016/j.compind.2025.104329")</f>
        <v>http://dx.doi.org/10.1016/j.compind.2025.104329</v>
      </c>
      <c r="BG888" s="1" t="s">
        <v>74</v>
      </c>
      <c r="BH888" s="1" t="s">
        <v>973</v>
      </c>
      <c r="BI888" s="1" t="s">
        <v>74</v>
      </c>
      <c r="BJ888" s="1" t="s">
        <v>74</v>
      </c>
      <c r="BK888" s="1" t="s">
        <v>74</v>
      </c>
      <c r="BL888" s="1" t="s">
        <v>174</v>
      </c>
      <c r="BM888" s="1" t="s">
        <v>74</v>
      </c>
      <c r="BN888" s="1" t="s">
        <v>74</v>
      </c>
      <c r="BO888" s="1" t="s">
        <v>74</v>
      </c>
      <c r="BP888" s="1" t="s">
        <v>74</v>
      </c>
      <c r="BQ888" s="1" t="s">
        <v>74</v>
      </c>
      <c r="BR888" s="1" t="s">
        <v>74</v>
      </c>
      <c r="BS888" s="1" t="s">
        <v>7825</v>
      </c>
      <c r="BT888" s="1" t="str">
        <f>HYPERLINK("https%3A%2F%2Fwww.webofscience.com%2Fwos%2Fwoscc%2Ffull-record%2FWOS:001534870800001","View Full Record in Web of Science")</f>
        <v>View Full Record in Web of Science</v>
      </c>
    </row>
    <row r="889" ht="12.75" customHeight="1">
      <c r="A889" s="1" t="s">
        <v>72</v>
      </c>
      <c r="B889" s="1" t="s">
        <v>7826</v>
      </c>
      <c r="C889" s="1" t="s">
        <v>74</v>
      </c>
      <c r="D889" s="1" t="s">
        <v>74</v>
      </c>
      <c r="E889" s="1" t="s">
        <v>74</v>
      </c>
      <c r="F889" s="1" t="s">
        <v>7827</v>
      </c>
      <c r="G889" s="1" t="s">
        <v>74</v>
      </c>
      <c r="H889" s="1" t="s">
        <v>74</v>
      </c>
      <c r="I889" s="1" t="s">
        <v>7828</v>
      </c>
      <c r="J889" s="1" t="s">
        <v>92</v>
      </c>
      <c r="K889" s="1" t="s">
        <v>74</v>
      </c>
      <c r="L889" s="1" t="s">
        <v>74</v>
      </c>
      <c r="M889" s="1" t="s">
        <v>74</v>
      </c>
      <c r="N889" s="1" t="s">
        <v>78</v>
      </c>
      <c r="O889" s="1" t="s">
        <v>74</v>
      </c>
      <c r="P889" s="1" t="s">
        <v>74</v>
      </c>
      <c r="Q889" s="1" t="s">
        <v>74</v>
      </c>
      <c r="R889" s="1" t="s">
        <v>74</v>
      </c>
      <c r="S889" s="1" t="s">
        <v>74</v>
      </c>
      <c r="T889" s="1" t="s">
        <v>7829</v>
      </c>
      <c r="U889" s="1" t="s">
        <v>7830</v>
      </c>
      <c r="V889" s="1" t="s">
        <v>7831</v>
      </c>
      <c r="W889" s="1" t="s">
        <v>74</v>
      </c>
      <c r="X889" s="1" t="s">
        <v>74</v>
      </c>
      <c r="Y889" s="1" t="s">
        <v>74</v>
      </c>
      <c r="Z889" s="1" t="s">
        <v>74</v>
      </c>
      <c r="AA889" s="1" t="s">
        <v>74</v>
      </c>
      <c r="AB889" s="1" t="s">
        <v>74</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95</v>
      </c>
      <c r="AP889" s="1" t="s">
        <v>96</v>
      </c>
      <c r="AQ889" s="1" t="s">
        <v>74</v>
      </c>
      <c r="AR889" s="1" t="s">
        <v>74</v>
      </c>
      <c r="AS889" s="1" t="s">
        <v>74</v>
      </c>
      <c r="AT889" s="1" t="s">
        <v>262</v>
      </c>
      <c r="AU889" s="1">
        <v>2025.0</v>
      </c>
      <c r="AV889" s="1">
        <v>37.0</v>
      </c>
      <c r="AW889" s="1">
        <v>9.0</v>
      </c>
      <c r="AX889" s="1" t="s">
        <v>74</v>
      </c>
      <c r="AY889" s="1" t="s">
        <v>74</v>
      </c>
      <c r="AZ889" s="1" t="s">
        <v>74</v>
      </c>
      <c r="BA889" s="1" t="s">
        <v>74</v>
      </c>
      <c r="BB889" s="1">
        <v>4935.0</v>
      </c>
      <c r="BC889" s="1">
        <v>4947.0</v>
      </c>
      <c r="BD889" s="1" t="s">
        <v>74</v>
      </c>
      <c r="BE889" s="1" t="s">
        <v>7832</v>
      </c>
      <c r="BF889" s="2" t="str">
        <f>HYPERLINK("http://dx.doi.org/10.1109/TKDE.2025.3581963","http://dx.doi.org/10.1109/TKDE.2025.3581963")</f>
        <v>http://dx.doi.org/10.1109/TKDE.2025.3581963</v>
      </c>
      <c r="BG889" s="1" t="s">
        <v>74</v>
      </c>
      <c r="BH889" s="1" t="s">
        <v>74</v>
      </c>
      <c r="BI889" s="1" t="s">
        <v>74</v>
      </c>
      <c r="BJ889" s="1" t="s">
        <v>74</v>
      </c>
      <c r="BK889" s="1" t="s">
        <v>74</v>
      </c>
      <c r="BL889" s="1" t="s">
        <v>98</v>
      </c>
      <c r="BM889" s="1" t="s">
        <v>74</v>
      </c>
      <c r="BN889" s="1" t="s">
        <v>74</v>
      </c>
      <c r="BO889" s="1" t="s">
        <v>74</v>
      </c>
      <c r="BP889" s="1" t="s">
        <v>74</v>
      </c>
      <c r="BQ889" s="1" t="s">
        <v>74</v>
      </c>
      <c r="BR889" s="1" t="s">
        <v>74</v>
      </c>
      <c r="BS889" s="1" t="s">
        <v>7833</v>
      </c>
      <c r="BT889" s="1" t="str">
        <f>HYPERLINK("https%3A%2F%2Fwww.webofscience.com%2Fwos%2Fwoscc%2Ffull-record%2FWOS:001547502000017","View Full Record in Web of Science")</f>
        <v>View Full Record in Web of Science</v>
      </c>
    </row>
    <row r="890" ht="12.75" customHeight="1">
      <c r="A890" s="1" t="s">
        <v>72</v>
      </c>
      <c r="B890" s="1" t="s">
        <v>7834</v>
      </c>
      <c r="C890" s="1" t="s">
        <v>74</v>
      </c>
      <c r="D890" s="1" t="s">
        <v>74</v>
      </c>
      <c r="E890" s="1" t="s">
        <v>74</v>
      </c>
      <c r="F890" s="1" t="s">
        <v>7835</v>
      </c>
      <c r="G890" s="1" t="s">
        <v>74</v>
      </c>
      <c r="H890" s="1" t="s">
        <v>74</v>
      </c>
      <c r="I890" s="1" t="s">
        <v>7836</v>
      </c>
      <c r="J890" s="1" t="s">
        <v>7837</v>
      </c>
      <c r="K890" s="1" t="s">
        <v>74</v>
      </c>
      <c r="L890" s="1" t="s">
        <v>74</v>
      </c>
      <c r="M890" s="1" t="s">
        <v>74</v>
      </c>
      <c r="N890" s="1" t="s">
        <v>78</v>
      </c>
      <c r="O890" s="1" t="s">
        <v>74</v>
      </c>
      <c r="P890" s="1" t="s">
        <v>74</v>
      </c>
      <c r="Q890" s="1" t="s">
        <v>74</v>
      </c>
      <c r="R890" s="1" t="s">
        <v>74</v>
      </c>
      <c r="S890" s="1" t="s">
        <v>74</v>
      </c>
      <c r="T890" s="1" t="s">
        <v>74</v>
      </c>
      <c r="U890" s="1" t="s">
        <v>7838</v>
      </c>
      <c r="V890" s="1" t="s">
        <v>7839</v>
      </c>
      <c r="W890" s="1" t="s">
        <v>74</v>
      </c>
      <c r="X890" s="1" t="s">
        <v>74</v>
      </c>
      <c r="Y890" s="1" t="s">
        <v>74</v>
      </c>
      <c r="Z890" s="1" t="s">
        <v>74</v>
      </c>
      <c r="AA890" s="1" t="s">
        <v>74</v>
      </c>
      <c r="AB890" s="1" t="s">
        <v>74</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7840</v>
      </c>
      <c r="AP890" s="1" t="s">
        <v>7841</v>
      </c>
      <c r="AQ890" s="1" t="s">
        <v>74</v>
      </c>
      <c r="AR890" s="1" t="s">
        <v>74</v>
      </c>
      <c r="AS890" s="1" t="s">
        <v>74</v>
      </c>
      <c r="AT890" s="1" t="s">
        <v>688</v>
      </c>
      <c r="AU890" s="1">
        <v>2024.0</v>
      </c>
      <c r="AV890" s="1">
        <v>8.0</v>
      </c>
      <c r="AW890" s="1">
        <v>2.0</v>
      </c>
      <c r="AX890" s="1" t="s">
        <v>74</v>
      </c>
      <c r="AY890" s="1" t="s">
        <v>74</v>
      </c>
      <c r="AZ890" s="1" t="s">
        <v>74</v>
      </c>
      <c r="BA890" s="1" t="s">
        <v>74</v>
      </c>
      <c r="BB890" s="1">
        <v>205.0</v>
      </c>
      <c r="BC890" s="1">
        <v>220.0</v>
      </c>
      <c r="BD890" s="1" t="s">
        <v>74</v>
      </c>
      <c r="BE890" s="1" t="s">
        <v>7842</v>
      </c>
      <c r="BF890" s="2" t="str">
        <f>HYPERLINK("http://dx.doi.org/10.1007/s41669-024-00476-9","http://dx.doi.org/10.1007/s41669-024-00476-9")</f>
        <v>http://dx.doi.org/10.1007/s41669-024-00476-9</v>
      </c>
      <c r="BG890" s="1" t="s">
        <v>74</v>
      </c>
      <c r="BH890" s="1" t="s">
        <v>3033</v>
      </c>
      <c r="BI890" s="1" t="s">
        <v>74</v>
      </c>
      <c r="BJ890" s="1" t="s">
        <v>74</v>
      </c>
      <c r="BK890" s="1" t="s">
        <v>74</v>
      </c>
      <c r="BL890" s="1" t="s">
        <v>7843</v>
      </c>
      <c r="BM890" s="1" t="s">
        <v>74</v>
      </c>
      <c r="BN890" s="1" t="s">
        <v>74</v>
      </c>
      <c r="BO890" s="1" t="s">
        <v>153</v>
      </c>
      <c r="BP890" s="1" t="s">
        <v>74</v>
      </c>
      <c r="BQ890" s="1" t="s">
        <v>74</v>
      </c>
      <c r="BR890" s="1" t="s">
        <v>74</v>
      </c>
      <c r="BS890" s="1" t="s">
        <v>7844</v>
      </c>
      <c r="BT890" s="1" t="str">
        <f>HYPERLINK("https%3A%2F%2Fwww.webofscience.com%2Fwos%2Fwoscc%2Ffull-record%2FWOS:001160660900001","View Full Record in Web of Science")</f>
        <v>View Full Record in Web of Science</v>
      </c>
    </row>
    <row r="891" ht="12.75" customHeight="1">
      <c r="A891" s="1" t="s">
        <v>72</v>
      </c>
      <c r="B891" s="1" t="s">
        <v>7845</v>
      </c>
      <c r="C891" s="1" t="s">
        <v>74</v>
      </c>
      <c r="D891" s="1" t="s">
        <v>74</v>
      </c>
      <c r="E891" s="1" t="s">
        <v>74</v>
      </c>
      <c r="F891" s="1" t="s">
        <v>7846</v>
      </c>
      <c r="G891" s="1" t="s">
        <v>74</v>
      </c>
      <c r="H891" s="1" t="s">
        <v>74</v>
      </c>
      <c r="I891" s="1" t="s">
        <v>7847</v>
      </c>
      <c r="J891" s="1" t="s">
        <v>4230</v>
      </c>
      <c r="K891" s="1" t="s">
        <v>74</v>
      </c>
      <c r="L891" s="1" t="s">
        <v>74</v>
      </c>
      <c r="M891" s="1" t="s">
        <v>74</v>
      </c>
      <c r="N891" s="1" t="s">
        <v>953</v>
      </c>
      <c r="O891" s="1" t="s">
        <v>74</v>
      </c>
      <c r="P891" s="1" t="s">
        <v>74</v>
      </c>
      <c r="Q891" s="1" t="s">
        <v>74</v>
      </c>
      <c r="R891" s="1" t="s">
        <v>74</v>
      </c>
      <c r="S891" s="1" t="s">
        <v>74</v>
      </c>
      <c r="T891" s="1" t="s">
        <v>7848</v>
      </c>
      <c r="U891" s="1" t="s">
        <v>7849</v>
      </c>
      <c r="V891" s="1" t="s">
        <v>7850</v>
      </c>
      <c r="W891" s="1" t="s">
        <v>74</v>
      </c>
      <c r="X891" s="1" t="s">
        <v>74</v>
      </c>
      <c r="Y891" s="1" t="s">
        <v>74</v>
      </c>
      <c r="Z891" s="1" t="s">
        <v>74</v>
      </c>
      <c r="AA891" s="1" t="s">
        <v>74</v>
      </c>
      <c r="AB891" s="1" t="s">
        <v>74</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4234</v>
      </c>
      <c r="AP891" s="1" t="s">
        <v>4235</v>
      </c>
      <c r="AQ891" s="1" t="s">
        <v>74</v>
      </c>
      <c r="AR891" s="1" t="s">
        <v>74</v>
      </c>
      <c r="AS891" s="1" t="s">
        <v>74</v>
      </c>
      <c r="AT891" s="1" t="s">
        <v>7851</v>
      </c>
      <c r="AU891" s="1">
        <v>2025.0</v>
      </c>
      <c r="AV891" s="1" t="s">
        <v>74</v>
      </c>
      <c r="AW891" s="1" t="s">
        <v>74</v>
      </c>
      <c r="AX891" s="1" t="s">
        <v>74</v>
      </c>
      <c r="AY891" s="1" t="s">
        <v>74</v>
      </c>
      <c r="AZ891" s="1" t="s">
        <v>74</v>
      </c>
      <c r="BA891" s="1" t="s">
        <v>74</v>
      </c>
      <c r="BB891" s="1" t="s">
        <v>74</v>
      </c>
      <c r="BC891" s="1" t="s">
        <v>74</v>
      </c>
      <c r="BD891" s="1" t="s">
        <v>74</v>
      </c>
      <c r="BE891" s="1" t="s">
        <v>7852</v>
      </c>
      <c r="BF891" s="2" t="str">
        <f>HYPERLINK("http://dx.doi.org/10.1007/s00146-025-02617-y","http://dx.doi.org/10.1007/s00146-025-02617-y")</f>
        <v>http://dx.doi.org/10.1007/s00146-025-02617-y</v>
      </c>
      <c r="BG891" s="1" t="s">
        <v>74</v>
      </c>
      <c r="BH891" s="1" t="s">
        <v>811</v>
      </c>
      <c r="BI891" s="1" t="s">
        <v>74</v>
      </c>
      <c r="BJ891" s="1" t="s">
        <v>74</v>
      </c>
      <c r="BK891" s="1" t="s">
        <v>74</v>
      </c>
      <c r="BL891" s="1" t="s">
        <v>174</v>
      </c>
      <c r="BM891" s="1" t="s">
        <v>74</v>
      </c>
      <c r="BN891" s="1" t="s">
        <v>74</v>
      </c>
      <c r="BO891" s="1" t="s">
        <v>74</v>
      </c>
      <c r="BP891" s="1" t="s">
        <v>74</v>
      </c>
      <c r="BQ891" s="1" t="s">
        <v>74</v>
      </c>
      <c r="BR891" s="1" t="s">
        <v>74</v>
      </c>
      <c r="BS891" s="1" t="s">
        <v>7853</v>
      </c>
      <c r="BT891" s="1" t="str">
        <f>HYPERLINK("https%3A%2F%2Fwww.webofscience.com%2Fwos%2Fwoscc%2Ffull-record%2FWOS:001590038300001","View Full Record in Web of Science")</f>
        <v>View Full Record in Web of Science</v>
      </c>
    </row>
    <row r="892" ht="12.75" customHeight="1">
      <c r="A892" s="1" t="s">
        <v>72</v>
      </c>
      <c r="B892" s="1" t="s">
        <v>7854</v>
      </c>
      <c r="C892" s="1" t="s">
        <v>74</v>
      </c>
      <c r="D892" s="1" t="s">
        <v>74</v>
      </c>
      <c r="E892" s="1" t="s">
        <v>74</v>
      </c>
      <c r="F892" s="1" t="s">
        <v>7855</v>
      </c>
      <c r="G892" s="1" t="s">
        <v>74</v>
      </c>
      <c r="H892" s="1" t="s">
        <v>74</v>
      </c>
      <c r="I892" s="1" t="s">
        <v>7856</v>
      </c>
      <c r="J892" s="1" t="s">
        <v>7857</v>
      </c>
      <c r="K892" s="1" t="s">
        <v>74</v>
      </c>
      <c r="L892" s="1" t="s">
        <v>74</v>
      </c>
      <c r="M892" s="1" t="s">
        <v>74</v>
      </c>
      <c r="N892" s="1" t="s">
        <v>78</v>
      </c>
      <c r="O892" s="1" t="s">
        <v>74</v>
      </c>
      <c r="P892" s="1" t="s">
        <v>74</v>
      </c>
      <c r="Q892" s="1" t="s">
        <v>74</v>
      </c>
      <c r="R892" s="1" t="s">
        <v>74</v>
      </c>
      <c r="S892" s="1" t="s">
        <v>74</v>
      </c>
      <c r="T892" s="1" t="s">
        <v>7858</v>
      </c>
      <c r="U892" s="1" t="s">
        <v>74</v>
      </c>
      <c r="V892" s="1" t="s">
        <v>7859</v>
      </c>
      <c r="W892" s="1" t="s">
        <v>74</v>
      </c>
      <c r="X892" s="1" t="s">
        <v>74</v>
      </c>
      <c r="Y892" s="1" t="s">
        <v>74</v>
      </c>
      <c r="Z892" s="1" t="s">
        <v>74</v>
      </c>
      <c r="AA892" s="1" t="s">
        <v>74</v>
      </c>
      <c r="AB892" s="1" t="s">
        <v>74</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7860</v>
      </c>
      <c r="AP892" s="1" t="s">
        <v>7861</v>
      </c>
      <c r="AQ892" s="1" t="s">
        <v>74</v>
      </c>
      <c r="AR892" s="1" t="s">
        <v>74</v>
      </c>
      <c r="AS892" s="1" t="s">
        <v>74</v>
      </c>
      <c r="AT892" s="1" t="s">
        <v>262</v>
      </c>
      <c r="AU892" s="1">
        <v>2025.0</v>
      </c>
      <c r="AV892" s="1">
        <v>22.0</v>
      </c>
      <c r="AW892" s="1">
        <v>3.0</v>
      </c>
      <c r="AX892" s="1" t="s">
        <v>74</v>
      </c>
      <c r="AY892" s="1" t="s">
        <v>74</v>
      </c>
      <c r="AZ892" s="1" t="s">
        <v>707</v>
      </c>
      <c r="BA892" s="1" t="s">
        <v>74</v>
      </c>
      <c r="BB892" s="1">
        <v>573.0</v>
      </c>
      <c r="BC892" s="1">
        <v>586.0</v>
      </c>
      <c r="BD892" s="1" t="s">
        <v>74</v>
      </c>
      <c r="BE892" s="1" t="s">
        <v>7862</v>
      </c>
      <c r="BF892" s="2" t="str">
        <f>HYPERLINK("http://dx.doi.org/10.1007/s11673-025-10480-1","http://dx.doi.org/10.1007/s11673-025-10480-1")</f>
        <v>http://dx.doi.org/10.1007/s11673-025-10480-1</v>
      </c>
      <c r="BG892" s="1" t="s">
        <v>74</v>
      </c>
      <c r="BH892" s="1" t="s">
        <v>738</v>
      </c>
      <c r="BI892" s="1" t="s">
        <v>74</v>
      </c>
      <c r="BJ892" s="1" t="s">
        <v>74</v>
      </c>
      <c r="BK892" s="1" t="s">
        <v>74</v>
      </c>
      <c r="BL892" s="1" t="s">
        <v>2064</v>
      </c>
      <c r="BM892" s="1" t="s">
        <v>74</v>
      </c>
      <c r="BN892" s="1" t="s">
        <v>74</v>
      </c>
      <c r="BO892" s="1" t="s">
        <v>576</v>
      </c>
      <c r="BP892" s="1" t="s">
        <v>74</v>
      </c>
      <c r="BQ892" s="1" t="s">
        <v>74</v>
      </c>
      <c r="BR892" s="1" t="s">
        <v>74</v>
      </c>
      <c r="BS892" s="1" t="s">
        <v>7863</v>
      </c>
      <c r="BT892" s="1" t="str">
        <f>HYPERLINK("https%3A%2F%2Fwww.webofscience.com%2Fwos%2Fwoscc%2Ffull-record%2FWOS:001568692400001","View Full Record in Web of Science")</f>
        <v>View Full Record in Web of Science</v>
      </c>
    </row>
    <row r="893" ht="12.75" customHeight="1">
      <c r="A893" s="1" t="s">
        <v>72</v>
      </c>
      <c r="B893" s="1" t="s">
        <v>7864</v>
      </c>
      <c r="C893" s="1" t="s">
        <v>74</v>
      </c>
      <c r="D893" s="1" t="s">
        <v>74</v>
      </c>
      <c r="E893" s="1" t="s">
        <v>74</v>
      </c>
      <c r="F893" s="1" t="s">
        <v>7865</v>
      </c>
      <c r="G893" s="1" t="s">
        <v>74</v>
      </c>
      <c r="H893" s="1" t="s">
        <v>74</v>
      </c>
      <c r="I893" s="1" t="s">
        <v>7866</v>
      </c>
      <c r="J893" s="1" t="s">
        <v>147</v>
      </c>
      <c r="K893" s="1" t="s">
        <v>74</v>
      </c>
      <c r="L893" s="1" t="s">
        <v>74</v>
      </c>
      <c r="M893" s="1" t="s">
        <v>74</v>
      </c>
      <c r="N893" s="1" t="s">
        <v>78</v>
      </c>
      <c r="O893" s="1" t="s">
        <v>74</v>
      </c>
      <c r="P893" s="1" t="s">
        <v>74</v>
      </c>
      <c r="Q893" s="1" t="s">
        <v>74</v>
      </c>
      <c r="R893" s="1" t="s">
        <v>74</v>
      </c>
      <c r="S893" s="1" t="s">
        <v>74</v>
      </c>
      <c r="T893" s="1" t="s">
        <v>7867</v>
      </c>
      <c r="U893" s="1" t="s">
        <v>74</v>
      </c>
      <c r="V893" s="1" t="s">
        <v>7868</v>
      </c>
      <c r="W893" s="1" t="s">
        <v>74</v>
      </c>
      <c r="X893" s="1" t="s">
        <v>74</v>
      </c>
      <c r="Y893" s="1" t="s">
        <v>74</v>
      </c>
      <c r="Z893" s="1" t="s">
        <v>74</v>
      </c>
      <c r="AA893" s="1" t="s">
        <v>74</v>
      </c>
      <c r="AB893" s="1" t="s">
        <v>74</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150</v>
      </c>
      <c r="AP893" s="1" t="s">
        <v>74</v>
      </c>
      <c r="AQ893" s="1" t="s">
        <v>74</v>
      </c>
      <c r="AR893" s="1" t="s">
        <v>74</v>
      </c>
      <c r="AS893" s="1" t="s">
        <v>74</v>
      </c>
      <c r="AT893" s="1" t="s">
        <v>74</v>
      </c>
      <c r="AU893" s="1">
        <v>2022.0</v>
      </c>
      <c r="AV893" s="1">
        <v>10.0</v>
      </c>
      <c r="AW893" s="1" t="s">
        <v>74</v>
      </c>
      <c r="AX893" s="1" t="s">
        <v>74</v>
      </c>
      <c r="AY893" s="1" t="s">
        <v>74</v>
      </c>
      <c r="AZ893" s="1" t="s">
        <v>74</v>
      </c>
      <c r="BA893" s="1" t="s">
        <v>74</v>
      </c>
      <c r="BB893" s="1">
        <v>21517.0</v>
      </c>
      <c r="BC893" s="1">
        <v>21525.0</v>
      </c>
      <c r="BD893" s="1" t="s">
        <v>74</v>
      </c>
      <c r="BE893" s="1" t="s">
        <v>7869</v>
      </c>
      <c r="BF893" s="2" t="str">
        <f>HYPERLINK("http://dx.doi.org/10.1109/ACCESS.2022.3152828","http://dx.doi.org/10.1109/ACCESS.2022.3152828")</f>
        <v>http://dx.doi.org/10.1109/ACCESS.2022.3152828</v>
      </c>
      <c r="BG893" s="1" t="s">
        <v>74</v>
      </c>
      <c r="BH893" s="1" t="s">
        <v>74</v>
      </c>
      <c r="BI893" s="1" t="s">
        <v>74</v>
      </c>
      <c r="BJ893" s="1" t="s">
        <v>74</v>
      </c>
      <c r="BK893" s="1" t="s">
        <v>74</v>
      </c>
      <c r="BL893" s="1" t="s">
        <v>152</v>
      </c>
      <c r="BM893" s="1" t="s">
        <v>74</v>
      </c>
      <c r="BN893" s="1" t="s">
        <v>74</v>
      </c>
      <c r="BO893" s="1" t="s">
        <v>153</v>
      </c>
      <c r="BP893" s="1" t="s">
        <v>74</v>
      </c>
      <c r="BQ893" s="1" t="s">
        <v>74</v>
      </c>
      <c r="BR893" s="1" t="s">
        <v>74</v>
      </c>
      <c r="BS893" s="1" t="s">
        <v>7870</v>
      </c>
      <c r="BT893" s="1" t="str">
        <f>HYPERLINK("https%3A%2F%2Fwww.webofscience.com%2Fwos%2Fwoscc%2Ffull-record%2FWOS:000764063400001","View Full Record in Web of Science")</f>
        <v>View Full Record in Web of Science</v>
      </c>
    </row>
    <row r="894" ht="12.75" customHeight="1">
      <c r="A894" s="1" t="s">
        <v>72</v>
      </c>
      <c r="B894" s="1" t="s">
        <v>7871</v>
      </c>
      <c r="C894" s="1" t="s">
        <v>74</v>
      </c>
      <c r="D894" s="1" t="s">
        <v>74</v>
      </c>
      <c r="E894" s="1" t="s">
        <v>74</v>
      </c>
      <c r="F894" s="1" t="s">
        <v>7872</v>
      </c>
      <c r="G894" s="1" t="s">
        <v>74</v>
      </c>
      <c r="H894" s="1" t="s">
        <v>74</v>
      </c>
      <c r="I894" s="1" t="s">
        <v>7873</v>
      </c>
      <c r="J894" s="1" t="s">
        <v>147</v>
      </c>
      <c r="K894" s="1" t="s">
        <v>74</v>
      </c>
      <c r="L894" s="1" t="s">
        <v>74</v>
      </c>
      <c r="M894" s="1" t="s">
        <v>74</v>
      </c>
      <c r="N894" s="1" t="s">
        <v>78</v>
      </c>
      <c r="O894" s="1" t="s">
        <v>74</v>
      </c>
      <c r="P894" s="1" t="s">
        <v>74</v>
      </c>
      <c r="Q894" s="1" t="s">
        <v>74</v>
      </c>
      <c r="R894" s="1" t="s">
        <v>74</v>
      </c>
      <c r="S894" s="1" t="s">
        <v>74</v>
      </c>
      <c r="T894" s="1" t="s">
        <v>7874</v>
      </c>
      <c r="U894" s="1" t="s">
        <v>74</v>
      </c>
      <c r="V894" s="1" t="s">
        <v>7875</v>
      </c>
      <c r="W894" s="1" t="s">
        <v>74</v>
      </c>
      <c r="X894" s="1" t="s">
        <v>74</v>
      </c>
      <c r="Y894" s="1" t="s">
        <v>74</v>
      </c>
      <c r="Z894" s="1" t="s">
        <v>74</v>
      </c>
      <c r="AA894" s="1" t="s">
        <v>74</v>
      </c>
      <c r="AB894" s="1" t="s">
        <v>74</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150</v>
      </c>
      <c r="AP894" s="1" t="s">
        <v>74</v>
      </c>
      <c r="AQ894" s="1" t="s">
        <v>74</v>
      </c>
      <c r="AR894" s="1" t="s">
        <v>74</v>
      </c>
      <c r="AS894" s="1" t="s">
        <v>74</v>
      </c>
      <c r="AT894" s="1" t="s">
        <v>74</v>
      </c>
      <c r="AU894" s="1">
        <v>2025.0</v>
      </c>
      <c r="AV894" s="1">
        <v>13.0</v>
      </c>
      <c r="AW894" s="1" t="s">
        <v>74</v>
      </c>
      <c r="AX894" s="1" t="s">
        <v>74</v>
      </c>
      <c r="AY894" s="1" t="s">
        <v>74</v>
      </c>
      <c r="AZ894" s="1" t="s">
        <v>74</v>
      </c>
      <c r="BA894" s="1" t="s">
        <v>74</v>
      </c>
      <c r="BB894" s="1">
        <v>178693.0</v>
      </c>
      <c r="BC894" s="1">
        <v>178710.0</v>
      </c>
      <c r="BD894" s="1" t="s">
        <v>74</v>
      </c>
      <c r="BE894" s="1" t="s">
        <v>7876</v>
      </c>
      <c r="BF894" s="2" t="str">
        <f>HYPERLINK("http://dx.doi.org/10.1109/ACCESS.2025.3610286","http://dx.doi.org/10.1109/ACCESS.2025.3610286")</f>
        <v>http://dx.doi.org/10.1109/ACCESS.2025.3610286</v>
      </c>
      <c r="BG894" s="1" t="s">
        <v>74</v>
      </c>
      <c r="BH894" s="1" t="s">
        <v>74</v>
      </c>
      <c r="BI894" s="1" t="s">
        <v>74</v>
      </c>
      <c r="BJ894" s="1" t="s">
        <v>74</v>
      </c>
      <c r="BK894" s="1" t="s">
        <v>74</v>
      </c>
      <c r="BL894" s="1" t="s">
        <v>152</v>
      </c>
      <c r="BM894" s="1" t="s">
        <v>74</v>
      </c>
      <c r="BN894" s="1" t="s">
        <v>74</v>
      </c>
      <c r="BO894" s="1" t="s">
        <v>153</v>
      </c>
      <c r="BP894" s="1" t="s">
        <v>74</v>
      </c>
      <c r="BQ894" s="1" t="s">
        <v>74</v>
      </c>
      <c r="BR894" s="1" t="s">
        <v>74</v>
      </c>
      <c r="BS894" s="1" t="s">
        <v>7877</v>
      </c>
      <c r="BT894" s="1" t="str">
        <f>HYPERLINK("https%3A%2F%2Fwww.webofscience.com%2Fwos%2Fwoscc%2Ffull-record%2FWOS:001598805800013","View Full Record in Web of Science")</f>
        <v>View Full Record in Web of Science</v>
      </c>
    </row>
    <row r="895" ht="12.75" customHeight="1">
      <c r="A895" s="1" t="s">
        <v>72</v>
      </c>
      <c r="B895" s="1" t="s">
        <v>7878</v>
      </c>
      <c r="C895" s="1" t="s">
        <v>74</v>
      </c>
      <c r="D895" s="1" t="s">
        <v>74</v>
      </c>
      <c r="E895" s="1" t="s">
        <v>74</v>
      </c>
      <c r="F895" s="1" t="s">
        <v>7879</v>
      </c>
      <c r="G895" s="1" t="s">
        <v>74</v>
      </c>
      <c r="H895" s="1" t="s">
        <v>74</v>
      </c>
      <c r="I895" s="1" t="s">
        <v>7880</v>
      </c>
      <c r="J895" s="1" t="s">
        <v>147</v>
      </c>
      <c r="K895" s="1" t="s">
        <v>74</v>
      </c>
      <c r="L895" s="1" t="s">
        <v>74</v>
      </c>
      <c r="M895" s="1" t="s">
        <v>74</v>
      </c>
      <c r="N895" s="1" t="s">
        <v>158</v>
      </c>
      <c r="O895" s="1" t="s">
        <v>74</v>
      </c>
      <c r="P895" s="1" t="s">
        <v>74</v>
      </c>
      <c r="Q895" s="1" t="s">
        <v>74</v>
      </c>
      <c r="R895" s="1" t="s">
        <v>74</v>
      </c>
      <c r="S895" s="1" t="s">
        <v>74</v>
      </c>
      <c r="T895" s="1" t="s">
        <v>7881</v>
      </c>
      <c r="U895" s="1" t="s">
        <v>7882</v>
      </c>
      <c r="V895" s="1" t="s">
        <v>7883</v>
      </c>
      <c r="W895" s="1" t="s">
        <v>74</v>
      </c>
      <c r="X895" s="1" t="s">
        <v>74</v>
      </c>
      <c r="Y895" s="1" t="s">
        <v>74</v>
      </c>
      <c r="Z895" s="1" t="s">
        <v>74</v>
      </c>
      <c r="AA895" s="1" t="s">
        <v>74</v>
      </c>
      <c r="AB895" s="1" t="s">
        <v>74</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150</v>
      </c>
      <c r="AP895" s="1" t="s">
        <v>74</v>
      </c>
      <c r="AQ895" s="1" t="s">
        <v>74</v>
      </c>
      <c r="AR895" s="1" t="s">
        <v>74</v>
      </c>
      <c r="AS895" s="1" t="s">
        <v>74</v>
      </c>
      <c r="AT895" s="1" t="s">
        <v>74</v>
      </c>
      <c r="AU895" s="1">
        <v>2025.0</v>
      </c>
      <c r="AV895" s="1">
        <v>13.0</v>
      </c>
      <c r="AW895" s="1" t="s">
        <v>74</v>
      </c>
      <c r="AX895" s="1" t="s">
        <v>74</v>
      </c>
      <c r="AY895" s="1" t="s">
        <v>74</v>
      </c>
      <c r="AZ895" s="1" t="s">
        <v>74</v>
      </c>
      <c r="BA895" s="1" t="s">
        <v>74</v>
      </c>
      <c r="BB895" s="1">
        <v>178302.0</v>
      </c>
      <c r="BC895" s="1">
        <v>178341.0</v>
      </c>
      <c r="BD895" s="1" t="s">
        <v>74</v>
      </c>
      <c r="BE895" s="1" t="s">
        <v>7884</v>
      </c>
      <c r="BF895" s="2" t="str">
        <f>HYPERLINK("http://dx.doi.org/10.1109/ACCESS.2025.3621344","http://dx.doi.org/10.1109/ACCESS.2025.3621344")</f>
        <v>http://dx.doi.org/10.1109/ACCESS.2025.3621344</v>
      </c>
      <c r="BG895" s="1" t="s">
        <v>74</v>
      </c>
      <c r="BH895" s="1" t="s">
        <v>74</v>
      </c>
      <c r="BI895" s="1" t="s">
        <v>74</v>
      </c>
      <c r="BJ895" s="1" t="s">
        <v>74</v>
      </c>
      <c r="BK895" s="1" t="s">
        <v>74</v>
      </c>
      <c r="BL895" s="1" t="s">
        <v>152</v>
      </c>
      <c r="BM895" s="1" t="s">
        <v>74</v>
      </c>
      <c r="BN895" s="1" t="s">
        <v>74</v>
      </c>
      <c r="BO895" s="1" t="s">
        <v>153</v>
      </c>
      <c r="BP895" s="1" t="s">
        <v>74</v>
      </c>
      <c r="BQ895" s="1" t="s">
        <v>74</v>
      </c>
      <c r="BR895" s="1" t="s">
        <v>74</v>
      </c>
      <c r="BS895" s="1" t="s">
        <v>7885</v>
      </c>
      <c r="BT895" s="1" t="str">
        <f>HYPERLINK("https%3A%2F%2Fwww.webofscience.com%2Fwos%2Fwoscc%2Ffull-record%2FWOS:001598805800037","View Full Record in Web of Science")</f>
        <v>View Full Record in Web of Science</v>
      </c>
    </row>
    <row r="896" ht="12.75" customHeight="1">
      <c r="A896" s="1" t="s">
        <v>72</v>
      </c>
      <c r="B896" s="1" t="s">
        <v>7886</v>
      </c>
      <c r="C896" s="1" t="s">
        <v>74</v>
      </c>
      <c r="D896" s="1" t="s">
        <v>74</v>
      </c>
      <c r="E896" s="1" t="s">
        <v>74</v>
      </c>
      <c r="F896" s="1" t="s">
        <v>7887</v>
      </c>
      <c r="G896" s="1" t="s">
        <v>74</v>
      </c>
      <c r="H896" s="1" t="s">
        <v>74</v>
      </c>
      <c r="I896" s="1" t="s">
        <v>7888</v>
      </c>
      <c r="J896" s="1" t="s">
        <v>720</v>
      </c>
      <c r="K896" s="1" t="s">
        <v>74</v>
      </c>
      <c r="L896" s="1" t="s">
        <v>74</v>
      </c>
      <c r="M896" s="1" t="s">
        <v>74</v>
      </c>
      <c r="N896" s="1" t="s">
        <v>78</v>
      </c>
      <c r="O896" s="1" t="s">
        <v>74</v>
      </c>
      <c r="P896" s="1" t="s">
        <v>74</v>
      </c>
      <c r="Q896" s="1" t="s">
        <v>74</v>
      </c>
      <c r="R896" s="1" t="s">
        <v>74</v>
      </c>
      <c r="S896" s="1" t="s">
        <v>74</v>
      </c>
      <c r="T896" s="1" t="s">
        <v>7889</v>
      </c>
      <c r="U896" s="1" t="s">
        <v>7890</v>
      </c>
      <c r="V896" s="1" t="s">
        <v>7891</v>
      </c>
      <c r="W896" s="1" t="s">
        <v>74</v>
      </c>
      <c r="X896" s="1" t="s">
        <v>74</v>
      </c>
      <c r="Y896" s="1" t="s">
        <v>74</v>
      </c>
      <c r="Z896" s="1" t="s">
        <v>74</v>
      </c>
      <c r="AA896" s="1" t="s">
        <v>74</v>
      </c>
      <c r="AB896" s="1" t="s">
        <v>74</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723</v>
      </c>
      <c r="AP896" s="1" t="s">
        <v>724</v>
      </c>
      <c r="AQ896" s="1" t="s">
        <v>74</v>
      </c>
      <c r="AR896" s="1" t="s">
        <v>74</v>
      </c>
      <c r="AS896" s="1" t="s">
        <v>74</v>
      </c>
      <c r="AT896" s="1" t="s">
        <v>1891</v>
      </c>
      <c r="AU896" s="1">
        <v>2025.0</v>
      </c>
      <c r="AV896" s="1">
        <v>611.0</v>
      </c>
      <c r="AW896" s="1" t="s">
        <v>74</v>
      </c>
      <c r="AX896" s="1" t="s">
        <v>74</v>
      </c>
      <c r="AY896" s="1" t="s">
        <v>74</v>
      </c>
      <c r="AZ896" s="1" t="s">
        <v>74</v>
      </c>
      <c r="BA896" s="1" t="s">
        <v>74</v>
      </c>
      <c r="BB896" s="1" t="s">
        <v>74</v>
      </c>
      <c r="BC896" s="1" t="s">
        <v>74</v>
      </c>
      <c r="BD896" s="1">
        <v>128701.0</v>
      </c>
      <c r="BE896" s="1" t="s">
        <v>7892</v>
      </c>
      <c r="BF896" s="2" t="str">
        <f>HYPERLINK("http://dx.doi.org/10.1016/j.neucom.2024.128701","http://dx.doi.org/10.1016/j.neucom.2024.128701")</f>
        <v>http://dx.doi.org/10.1016/j.neucom.2024.128701</v>
      </c>
      <c r="BG896" s="1" t="s">
        <v>74</v>
      </c>
      <c r="BH896" s="1" t="s">
        <v>1747</v>
      </c>
      <c r="BI896" s="1" t="s">
        <v>74</v>
      </c>
      <c r="BJ896" s="1" t="s">
        <v>74</v>
      </c>
      <c r="BK896" s="1" t="s">
        <v>74</v>
      </c>
      <c r="BL896" s="1" t="s">
        <v>174</v>
      </c>
      <c r="BM896" s="1" t="s">
        <v>74</v>
      </c>
      <c r="BN896" s="1" t="s">
        <v>74</v>
      </c>
      <c r="BO896" s="1" t="s">
        <v>74</v>
      </c>
      <c r="BP896" s="1" t="s">
        <v>74</v>
      </c>
      <c r="BQ896" s="1" t="s">
        <v>74</v>
      </c>
      <c r="BR896" s="1" t="s">
        <v>74</v>
      </c>
      <c r="BS896" s="1" t="s">
        <v>7893</v>
      </c>
      <c r="BT896" s="1" t="str">
        <f>HYPERLINK("https%3A%2F%2Fwww.webofscience.com%2Fwos%2Fwoscc%2Ffull-record%2FWOS:001332480300001","View Full Record in Web of Science")</f>
        <v>View Full Record in Web of Science</v>
      </c>
    </row>
    <row r="897" ht="12.75" customHeight="1">
      <c r="A897" s="1" t="s">
        <v>72</v>
      </c>
      <c r="B897" s="1" t="s">
        <v>7894</v>
      </c>
      <c r="C897" s="1" t="s">
        <v>74</v>
      </c>
      <c r="D897" s="1" t="s">
        <v>74</v>
      </c>
      <c r="E897" s="1" t="s">
        <v>74</v>
      </c>
      <c r="F897" s="1" t="s">
        <v>7895</v>
      </c>
      <c r="G897" s="1" t="s">
        <v>74</v>
      </c>
      <c r="H897" s="1" t="s">
        <v>74</v>
      </c>
      <c r="I897" s="1" t="s">
        <v>7896</v>
      </c>
      <c r="J897" s="1" t="s">
        <v>147</v>
      </c>
      <c r="K897" s="1" t="s">
        <v>74</v>
      </c>
      <c r="L897" s="1" t="s">
        <v>74</v>
      </c>
      <c r="M897" s="1" t="s">
        <v>74</v>
      </c>
      <c r="N897" s="1" t="s">
        <v>78</v>
      </c>
      <c r="O897" s="1" t="s">
        <v>74</v>
      </c>
      <c r="P897" s="1" t="s">
        <v>74</v>
      </c>
      <c r="Q897" s="1" t="s">
        <v>74</v>
      </c>
      <c r="R897" s="1" t="s">
        <v>74</v>
      </c>
      <c r="S897" s="1" t="s">
        <v>74</v>
      </c>
      <c r="T897" s="1" t="s">
        <v>7897</v>
      </c>
      <c r="U897" s="1" t="s">
        <v>7898</v>
      </c>
      <c r="V897" s="1" t="s">
        <v>7899</v>
      </c>
      <c r="W897" s="1" t="s">
        <v>74</v>
      </c>
      <c r="X897" s="1" t="s">
        <v>74</v>
      </c>
      <c r="Y897" s="1" t="s">
        <v>74</v>
      </c>
      <c r="Z897" s="1" t="s">
        <v>74</v>
      </c>
      <c r="AA897" s="1" t="s">
        <v>74</v>
      </c>
      <c r="AB897" s="1" t="s">
        <v>74</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150</v>
      </c>
      <c r="AP897" s="1" t="s">
        <v>74</v>
      </c>
      <c r="AQ897" s="1" t="s">
        <v>74</v>
      </c>
      <c r="AR897" s="1" t="s">
        <v>74</v>
      </c>
      <c r="AS897" s="1" t="s">
        <v>74</v>
      </c>
      <c r="AT897" s="1" t="s">
        <v>74</v>
      </c>
      <c r="AU897" s="1">
        <v>2024.0</v>
      </c>
      <c r="AV897" s="1">
        <v>12.0</v>
      </c>
      <c r="AW897" s="1" t="s">
        <v>74</v>
      </c>
      <c r="AX897" s="1" t="s">
        <v>74</v>
      </c>
      <c r="AY897" s="1" t="s">
        <v>74</v>
      </c>
      <c r="AZ897" s="1" t="s">
        <v>74</v>
      </c>
      <c r="BA897" s="1" t="s">
        <v>74</v>
      </c>
      <c r="BB897" s="1">
        <v>115895.0</v>
      </c>
      <c r="BC897" s="1">
        <v>115904.0</v>
      </c>
      <c r="BD897" s="1" t="s">
        <v>74</v>
      </c>
      <c r="BE897" s="1" t="s">
        <v>7900</v>
      </c>
      <c r="BF897" s="2" t="str">
        <f>HYPERLINK("http://dx.doi.org/10.1109/ACCESS.2024.3444788","http://dx.doi.org/10.1109/ACCESS.2024.3444788")</f>
        <v>http://dx.doi.org/10.1109/ACCESS.2024.3444788</v>
      </c>
      <c r="BG897" s="1" t="s">
        <v>74</v>
      </c>
      <c r="BH897" s="1" t="s">
        <v>74</v>
      </c>
      <c r="BI897" s="1" t="s">
        <v>74</v>
      </c>
      <c r="BJ897" s="1" t="s">
        <v>74</v>
      </c>
      <c r="BK897" s="1" t="s">
        <v>74</v>
      </c>
      <c r="BL897" s="1" t="s">
        <v>152</v>
      </c>
      <c r="BM897" s="1" t="s">
        <v>74</v>
      </c>
      <c r="BN897" s="1" t="s">
        <v>74</v>
      </c>
      <c r="BO897" s="1" t="s">
        <v>153</v>
      </c>
      <c r="BP897" s="1" t="s">
        <v>74</v>
      </c>
      <c r="BQ897" s="1" t="s">
        <v>74</v>
      </c>
      <c r="BR897" s="1" t="s">
        <v>74</v>
      </c>
      <c r="BS897" s="1" t="s">
        <v>7901</v>
      </c>
      <c r="BT897" s="1" t="str">
        <f>HYPERLINK("https%3A%2F%2Fwww.webofscience.com%2Fwos%2Fwoscc%2Ffull-record%2FWOS:001303353000001","View Full Record in Web of Science")</f>
        <v>View Full Record in Web of Science</v>
      </c>
    </row>
    <row r="898" ht="12.75" customHeight="1">
      <c r="A898" s="1" t="s">
        <v>72</v>
      </c>
      <c r="B898" s="1" t="s">
        <v>7902</v>
      </c>
      <c r="C898" s="1" t="s">
        <v>74</v>
      </c>
      <c r="D898" s="1" t="s">
        <v>74</v>
      </c>
      <c r="E898" s="1" t="s">
        <v>74</v>
      </c>
      <c r="F898" s="1" t="s">
        <v>7903</v>
      </c>
      <c r="G898" s="1" t="s">
        <v>74</v>
      </c>
      <c r="H898" s="1" t="s">
        <v>74</v>
      </c>
      <c r="I898" s="1" t="s">
        <v>7904</v>
      </c>
      <c r="J898" s="1" t="s">
        <v>2572</v>
      </c>
      <c r="K898" s="1" t="s">
        <v>74</v>
      </c>
      <c r="L898" s="1" t="s">
        <v>74</v>
      </c>
      <c r="M898" s="1" t="s">
        <v>74</v>
      </c>
      <c r="N898" s="1" t="s">
        <v>78</v>
      </c>
      <c r="O898" s="1" t="s">
        <v>74</v>
      </c>
      <c r="P898" s="1" t="s">
        <v>74</v>
      </c>
      <c r="Q898" s="1" t="s">
        <v>74</v>
      </c>
      <c r="R898" s="1" t="s">
        <v>74</v>
      </c>
      <c r="S898" s="1" t="s">
        <v>74</v>
      </c>
      <c r="T898" s="1" t="s">
        <v>7905</v>
      </c>
      <c r="U898" s="1" t="s">
        <v>74</v>
      </c>
      <c r="V898" s="1" t="s">
        <v>7906</v>
      </c>
      <c r="W898" s="1" t="s">
        <v>74</v>
      </c>
      <c r="X898" s="1" t="s">
        <v>74</v>
      </c>
      <c r="Y898" s="1" t="s">
        <v>74</v>
      </c>
      <c r="Z898" s="1" t="s">
        <v>74</v>
      </c>
      <c r="AA898" s="1" t="s">
        <v>74</v>
      </c>
      <c r="AB898" s="1" t="s">
        <v>74</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2575</v>
      </c>
      <c r="AP898" s="1" t="s">
        <v>74</v>
      </c>
      <c r="AQ898" s="1" t="s">
        <v>74</v>
      </c>
      <c r="AR898" s="1" t="s">
        <v>74</v>
      </c>
      <c r="AS898" s="1" t="s">
        <v>74</v>
      </c>
      <c r="AT898" s="1" t="s">
        <v>2762</v>
      </c>
      <c r="AU898" s="1">
        <v>2025.0</v>
      </c>
      <c r="AV898" s="1">
        <v>12.0</v>
      </c>
      <c r="AW898" s="1">
        <v>10.0</v>
      </c>
      <c r="AX898" s="1" t="s">
        <v>74</v>
      </c>
      <c r="AY898" s="1" t="s">
        <v>74</v>
      </c>
      <c r="AZ898" s="1" t="s">
        <v>74</v>
      </c>
      <c r="BA898" s="1" t="s">
        <v>74</v>
      </c>
      <c r="BB898" s="1">
        <v>13119.0</v>
      </c>
      <c r="BC898" s="1">
        <v>13131.0</v>
      </c>
      <c r="BD898" s="1" t="s">
        <v>74</v>
      </c>
      <c r="BE898" s="1" t="s">
        <v>7907</v>
      </c>
      <c r="BF898" s="2" t="str">
        <f>HYPERLINK("http://dx.doi.org/10.1109/JIOT.2024.3524255","http://dx.doi.org/10.1109/JIOT.2024.3524255")</f>
        <v>http://dx.doi.org/10.1109/JIOT.2024.3524255</v>
      </c>
      <c r="BG898" s="1" t="s">
        <v>74</v>
      </c>
      <c r="BH898" s="1" t="s">
        <v>74</v>
      </c>
      <c r="BI898" s="1" t="s">
        <v>74</v>
      </c>
      <c r="BJ898" s="1" t="s">
        <v>74</v>
      </c>
      <c r="BK898" s="1" t="s">
        <v>74</v>
      </c>
      <c r="BL898" s="1" t="s">
        <v>152</v>
      </c>
      <c r="BM898" s="1" t="s">
        <v>74</v>
      </c>
      <c r="BN898" s="1" t="s">
        <v>74</v>
      </c>
      <c r="BO898" s="1" t="s">
        <v>74</v>
      </c>
      <c r="BP898" s="1" t="s">
        <v>74</v>
      </c>
      <c r="BQ898" s="1" t="s">
        <v>74</v>
      </c>
      <c r="BR898" s="1" t="s">
        <v>74</v>
      </c>
      <c r="BS898" s="1" t="s">
        <v>7908</v>
      </c>
      <c r="BT898" s="1" t="str">
        <f>HYPERLINK("https%3A%2F%2Fwww.webofscience.com%2Fwos%2Fwoscc%2Ffull-record%2FWOS:001484711600021","View Full Record in Web of Science")</f>
        <v>View Full Record in Web of Science</v>
      </c>
    </row>
    <row r="899" ht="12.75" customHeight="1">
      <c r="A899" s="1" t="s">
        <v>72</v>
      </c>
      <c r="B899" s="1" t="s">
        <v>7909</v>
      </c>
      <c r="C899" s="1" t="s">
        <v>74</v>
      </c>
      <c r="D899" s="1" t="s">
        <v>74</v>
      </c>
      <c r="E899" s="1" t="s">
        <v>74</v>
      </c>
      <c r="F899" s="1" t="s">
        <v>7910</v>
      </c>
      <c r="G899" s="1" t="s">
        <v>74</v>
      </c>
      <c r="H899" s="1" t="s">
        <v>74</v>
      </c>
      <c r="I899" s="1" t="s">
        <v>7911</v>
      </c>
      <c r="J899" s="1" t="s">
        <v>1021</v>
      </c>
      <c r="K899" s="1" t="s">
        <v>74</v>
      </c>
      <c r="L899" s="1" t="s">
        <v>74</v>
      </c>
      <c r="M899" s="1" t="s">
        <v>74</v>
      </c>
      <c r="N899" s="1" t="s">
        <v>78</v>
      </c>
      <c r="O899" s="1" t="s">
        <v>74</v>
      </c>
      <c r="P899" s="1" t="s">
        <v>74</v>
      </c>
      <c r="Q899" s="1" t="s">
        <v>74</v>
      </c>
      <c r="R899" s="1" t="s">
        <v>74</v>
      </c>
      <c r="S899" s="1" t="s">
        <v>74</v>
      </c>
      <c r="T899" s="1" t="s">
        <v>7912</v>
      </c>
      <c r="U899" s="1" t="s">
        <v>7913</v>
      </c>
      <c r="V899" s="1" t="s">
        <v>7914</v>
      </c>
      <c r="W899" s="1" t="s">
        <v>74</v>
      </c>
      <c r="X899" s="1" t="s">
        <v>74</v>
      </c>
      <c r="Y899" s="1" t="s">
        <v>74</v>
      </c>
      <c r="Z899" s="1" t="s">
        <v>74</v>
      </c>
      <c r="AA899" s="1" t="s">
        <v>74</v>
      </c>
      <c r="AB899" s="1" t="s">
        <v>74</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1025</v>
      </c>
      <c r="AP899" s="1" t="s">
        <v>1026</v>
      </c>
      <c r="AQ899" s="1" t="s">
        <v>74</v>
      </c>
      <c r="AR899" s="1" t="s">
        <v>74</v>
      </c>
      <c r="AS899" s="1" t="s">
        <v>74</v>
      </c>
      <c r="AT899" s="1" t="s">
        <v>172</v>
      </c>
      <c r="AU899" s="1">
        <v>2025.0</v>
      </c>
      <c r="AV899" s="1">
        <v>42.0</v>
      </c>
      <c r="AW899" s="1">
        <v>11.0</v>
      </c>
      <c r="AX899" s="1" t="s">
        <v>74</v>
      </c>
      <c r="AY899" s="1" t="s">
        <v>74</v>
      </c>
      <c r="AZ899" s="1" t="s">
        <v>74</v>
      </c>
      <c r="BA899" s="1" t="s">
        <v>74</v>
      </c>
      <c r="BB899" s="1" t="s">
        <v>74</v>
      </c>
      <c r="BC899" s="1" t="s">
        <v>74</v>
      </c>
      <c r="BD899" s="1" t="s">
        <v>7915</v>
      </c>
      <c r="BE899" s="1" t="s">
        <v>7916</v>
      </c>
      <c r="BF899" s="2" t="str">
        <f>HYPERLINK("http://dx.doi.org/10.1111/exsy.70147","http://dx.doi.org/10.1111/exsy.70147")</f>
        <v>http://dx.doi.org/10.1111/exsy.70147</v>
      </c>
      <c r="BG899" s="1" t="s">
        <v>74</v>
      </c>
      <c r="BH899" s="1" t="s">
        <v>74</v>
      </c>
      <c r="BI899" s="1" t="s">
        <v>74</v>
      </c>
      <c r="BJ899" s="1" t="s">
        <v>74</v>
      </c>
      <c r="BK899" s="1" t="s">
        <v>74</v>
      </c>
      <c r="BL899" s="1" t="s">
        <v>174</v>
      </c>
      <c r="BM899" s="1" t="s">
        <v>74</v>
      </c>
      <c r="BN899" s="1" t="s">
        <v>74</v>
      </c>
      <c r="BO899" s="1" t="s">
        <v>114</v>
      </c>
      <c r="BP899" s="1" t="s">
        <v>74</v>
      </c>
      <c r="BQ899" s="1" t="s">
        <v>74</v>
      </c>
      <c r="BR899" s="1" t="s">
        <v>74</v>
      </c>
      <c r="BS899" s="1" t="s">
        <v>7917</v>
      </c>
      <c r="BT899" s="1" t="str">
        <f>HYPERLINK("https%3A%2F%2Fwww.webofscience.com%2Fwos%2Fwoscc%2Ffull-record%2FWOS:001595824100004","View Full Record in Web of Science")</f>
        <v>View Full Record in Web of Science</v>
      </c>
    </row>
    <row r="900" ht="12.75" customHeight="1">
      <c r="A900" s="1" t="s">
        <v>72</v>
      </c>
      <c r="B900" s="1" t="s">
        <v>7918</v>
      </c>
      <c r="C900" s="1" t="s">
        <v>74</v>
      </c>
      <c r="D900" s="1" t="s">
        <v>74</v>
      </c>
      <c r="E900" s="1" t="s">
        <v>74</v>
      </c>
      <c r="F900" s="1" t="s">
        <v>7919</v>
      </c>
      <c r="G900" s="1" t="s">
        <v>74</v>
      </c>
      <c r="H900" s="1" t="s">
        <v>74</v>
      </c>
      <c r="I900" s="1" t="s">
        <v>7920</v>
      </c>
      <c r="J900" s="1" t="s">
        <v>1453</v>
      </c>
      <c r="K900" s="1" t="s">
        <v>74</v>
      </c>
      <c r="L900" s="1" t="s">
        <v>74</v>
      </c>
      <c r="M900" s="1" t="s">
        <v>74</v>
      </c>
      <c r="N900" s="1" t="s">
        <v>78</v>
      </c>
      <c r="O900" s="1" t="s">
        <v>74</v>
      </c>
      <c r="P900" s="1" t="s">
        <v>74</v>
      </c>
      <c r="Q900" s="1" t="s">
        <v>74</v>
      </c>
      <c r="R900" s="1" t="s">
        <v>74</v>
      </c>
      <c r="S900" s="1" t="s">
        <v>74</v>
      </c>
      <c r="T900" s="1" t="s">
        <v>7921</v>
      </c>
      <c r="U900" s="1" t="s">
        <v>74</v>
      </c>
      <c r="V900" s="1" t="s">
        <v>7922</v>
      </c>
      <c r="W900" s="1" t="s">
        <v>74</v>
      </c>
      <c r="X900" s="1" t="s">
        <v>74</v>
      </c>
      <c r="Y900" s="1" t="s">
        <v>74</v>
      </c>
      <c r="Z900" s="1" t="s">
        <v>74</v>
      </c>
      <c r="AA900" s="1" t="s">
        <v>74</v>
      </c>
      <c r="AB900" s="1" t="s">
        <v>74</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1456</v>
      </c>
      <c r="AP900" s="1" t="s">
        <v>1457</v>
      </c>
      <c r="AQ900" s="1" t="s">
        <v>74</v>
      </c>
      <c r="AR900" s="1" t="s">
        <v>74</v>
      </c>
      <c r="AS900" s="1" t="s">
        <v>74</v>
      </c>
      <c r="AT900" s="1" t="s">
        <v>657</v>
      </c>
      <c r="AU900" s="1">
        <v>2025.0</v>
      </c>
      <c r="AV900" s="1">
        <v>17.0</v>
      </c>
      <c r="AW900" s="1">
        <v>2.0</v>
      </c>
      <c r="AX900" s="1" t="s">
        <v>74</v>
      </c>
      <c r="AY900" s="1" t="s">
        <v>74</v>
      </c>
      <c r="AZ900" s="1" t="s">
        <v>74</v>
      </c>
      <c r="BA900" s="1" t="s">
        <v>74</v>
      </c>
      <c r="BB900" s="1" t="s">
        <v>74</v>
      </c>
      <c r="BC900" s="1" t="s">
        <v>74</v>
      </c>
      <c r="BD900" s="1">
        <v>77.0</v>
      </c>
      <c r="BE900" s="1" t="s">
        <v>7923</v>
      </c>
      <c r="BF900" s="2" t="str">
        <f>HYPERLINK("http://dx.doi.org/10.1007/s12559-025-10432-2","http://dx.doi.org/10.1007/s12559-025-10432-2")</f>
        <v>http://dx.doi.org/10.1007/s12559-025-10432-2</v>
      </c>
      <c r="BG900" s="1" t="s">
        <v>74</v>
      </c>
      <c r="BH900" s="1" t="s">
        <v>74</v>
      </c>
      <c r="BI900" s="1" t="s">
        <v>74</v>
      </c>
      <c r="BJ900" s="1" t="s">
        <v>74</v>
      </c>
      <c r="BK900" s="1" t="s">
        <v>74</v>
      </c>
      <c r="BL900" s="1" t="s">
        <v>1460</v>
      </c>
      <c r="BM900" s="1" t="s">
        <v>74</v>
      </c>
      <c r="BN900" s="1" t="s">
        <v>74</v>
      </c>
      <c r="BO900" s="1" t="s">
        <v>74</v>
      </c>
      <c r="BP900" s="1" t="s">
        <v>74</v>
      </c>
      <c r="BQ900" s="1" t="s">
        <v>74</v>
      </c>
      <c r="BR900" s="1" t="s">
        <v>74</v>
      </c>
      <c r="BS900" s="1" t="s">
        <v>7924</v>
      </c>
      <c r="BT900" s="1" t="str">
        <f>HYPERLINK("https%3A%2F%2Fwww.webofscience.com%2Fwos%2Fwoscc%2Ffull-record%2FWOS:001439384800001","View Full Record in Web of Science")</f>
        <v>View Full Record in Web of Science</v>
      </c>
    </row>
    <row r="901" ht="12.75" customHeight="1">
      <c r="A901" s="1" t="s">
        <v>72</v>
      </c>
      <c r="B901" s="1" t="s">
        <v>7925</v>
      </c>
      <c r="C901" s="1" t="s">
        <v>74</v>
      </c>
      <c r="D901" s="1" t="s">
        <v>74</v>
      </c>
      <c r="E901" s="1" t="s">
        <v>74</v>
      </c>
      <c r="F901" s="1" t="s">
        <v>7926</v>
      </c>
      <c r="G901" s="1" t="s">
        <v>74</v>
      </c>
      <c r="H901" s="1" t="s">
        <v>74</v>
      </c>
      <c r="I901" s="1" t="s">
        <v>7927</v>
      </c>
      <c r="J901" s="1" t="s">
        <v>147</v>
      </c>
      <c r="K901" s="1" t="s">
        <v>74</v>
      </c>
      <c r="L901" s="1" t="s">
        <v>74</v>
      </c>
      <c r="M901" s="1" t="s">
        <v>74</v>
      </c>
      <c r="N901" s="1" t="s">
        <v>78</v>
      </c>
      <c r="O901" s="1" t="s">
        <v>74</v>
      </c>
      <c r="P901" s="1" t="s">
        <v>74</v>
      </c>
      <c r="Q901" s="1" t="s">
        <v>74</v>
      </c>
      <c r="R901" s="1" t="s">
        <v>74</v>
      </c>
      <c r="S901" s="1" t="s">
        <v>74</v>
      </c>
      <c r="T901" s="1" t="s">
        <v>7928</v>
      </c>
      <c r="U901" s="1" t="s">
        <v>74</v>
      </c>
      <c r="V901" s="1" t="s">
        <v>7929</v>
      </c>
      <c r="W901" s="1" t="s">
        <v>74</v>
      </c>
      <c r="X901" s="1" t="s">
        <v>74</v>
      </c>
      <c r="Y901" s="1" t="s">
        <v>74</v>
      </c>
      <c r="Z901" s="1" t="s">
        <v>74</v>
      </c>
      <c r="AA901" s="1" t="s">
        <v>74</v>
      </c>
      <c r="AB901" s="1" t="s">
        <v>74</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150</v>
      </c>
      <c r="AP901" s="1" t="s">
        <v>74</v>
      </c>
      <c r="AQ901" s="1" t="s">
        <v>74</v>
      </c>
      <c r="AR901" s="1" t="s">
        <v>74</v>
      </c>
      <c r="AS901" s="1" t="s">
        <v>74</v>
      </c>
      <c r="AT901" s="1" t="s">
        <v>74</v>
      </c>
      <c r="AU901" s="1">
        <v>2024.0</v>
      </c>
      <c r="AV901" s="1">
        <v>12.0</v>
      </c>
      <c r="AW901" s="1" t="s">
        <v>74</v>
      </c>
      <c r="AX901" s="1" t="s">
        <v>74</v>
      </c>
      <c r="AY901" s="1" t="s">
        <v>74</v>
      </c>
      <c r="AZ901" s="1" t="s">
        <v>74</v>
      </c>
      <c r="BA901" s="1" t="s">
        <v>74</v>
      </c>
      <c r="BB901" s="1">
        <v>10120.0</v>
      </c>
      <c r="BC901" s="1">
        <v>10134.0</v>
      </c>
      <c r="BD901" s="1" t="s">
        <v>74</v>
      </c>
      <c r="BE901" s="1" t="s">
        <v>7930</v>
      </c>
      <c r="BF901" s="2" t="str">
        <f>HYPERLINK("http://dx.doi.org/10.1109/ACCESS.2024.3353056","http://dx.doi.org/10.1109/ACCESS.2024.3353056")</f>
        <v>http://dx.doi.org/10.1109/ACCESS.2024.3353056</v>
      </c>
      <c r="BG901" s="1" t="s">
        <v>74</v>
      </c>
      <c r="BH901" s="1" t="s">
        <v>74</v>
      </c>
      <c r="BI901" s="1" t="s">
        <v>74</v>
      </c>
      <c r="BJ901" s="1" t="s">
        <v>74</v>
      </c>
      <c r="BK901" s="1" t="s">
        <v>74</v>
      </c>
      <c r="BL901" s="1" t="s">
        <v>152</v>
      </c>
      <c r="BM901" s="1" t="s">
        <v>74</v>
      </c>
      <c r="BN901" s="1" t="s">
        <v>74</v>
      </c>
      <c r="BO901" s="1" t="s">
        <v>153</v>
      </c>
      <c r="BP901" s="1" t="s">
        <v>74</v>
      </c>
      <c r="BQ901" s="1" t="s">
        <v>74</v>
      </c>
      <c r="BR901" s="1" t="s">
        <v>74</v>
      </c>
      <c r="BS901" s="1" t="s">
        <v>7931</v>
      </c>
      <c r="BT901" s="1" t="str">
        <f>HYPERLINK("https%3A%2F%2Fwww.webofscience.com%2Fwos%2Fwoscc%2Ffull-record%2FWOS:001150256200001","View Full Record in Web of Science")</f>
        <v>View Full Record in Web of Science</v>
      </c>
    </row>
    <row r="902" ht="12.75" customHeight="1">
      <c r="A902" s="1" t="s">
        <v>72</v>
      </c>
      <c r="B902" s="1" t="s">
        <v>7932</v>
      </c>
      <c r="C902" s="1" t="s">
        <v>74</v>
      </c>
      <c r="D902" s="1" t="s">
        <v>74</v>
      </c>
      <c r="E902" s="1" t="s">
        <v>74</v>
      </c>
      <c r="F902" s="1" t="s">
        <v>7933</v>
      </c>
      <c r="G902" s="1" t="s">
        <v>74</v>
      </c>
      <c r="H902" s="1" t="s">
        <v>74</v>
      </c>
      <c r="I902" s="1" t="s">
        <v>7934</v>
      </c>
      <c r="J902" s="1" t="s">
        <v>1559</v>
      </c>
      <c r="K902" s="1" t="s">
        <v>74</v>
      </c>
      <c r="L902" s="1" t="s">
        <v>74</v>
      </c>
      <c r="M902" s="1" t="s">
        <v>74</v>
      </c>
      <c r="N902" s="1" t="s">
        <v>78</v>
      </c>
      <c r="O902" s="1" t="s">
        <v>74</v>
      </c>
      <c r="P902" s="1" t="s">
        <v>74</v>
      </c>
      <c r="Q902" s="1" t="s">
        <v>74</v>
      </c>
      <c r="R902" s="1" t="s">
        <v>74</v>
      </c>
      <c r="S902" s="1" t="s">
        <v>74</v>
      </c>
      <c r="T902" s="1" t="s">
        <v>7935</v>
      </c>
      <c r="U902" s="1" t="s">
        <v>7936</v>
      </c>
      <c r="V902" s="1" t="s">
        <v>7937</v>
      </c>
      <c r="W902" s="1" t="s">
        <v>74</v>
      </c>
      <c r="X902" s="1" t="s">
        <v>74</v>
      </c>
      <c r="Y902" s="1" t="s">
        <v>74</v>
      </c>
      <c r="Z902" s="1" t="s">
        <v>74</v>
      </c>
      <c r="AA902" s="1" t="s">
        <v>74</v>
      </c>
      <c r="AB902" s="1" t="s">
        <v>74</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1563</v>
      </c>
      <c r="AP902" s="1" t="s">
        <v>1564</v>
      </c>
      <c r="AQ902" s="1" t="s">
        <v>74</v>
      </c>
      <c r="AR902" s="1" t="s">
        <v>74</v>
      </c>
      <c r="AS902" s="1" t="s">
        <v>74</v>
      </c>
      <c r="AT902" s="1" t="s">
        <v>736</v>
      </c>
      <c r="AU902" s="1">
        <v>2026.0</v>
      </c>
      <c r="AV902" s="1">
        <v>56.0</v>
      </c>
      <c r="AW902" s="1">
        <v>1.0</v>
      </c>
      <c r="AX902" s="1" t="s">
        <v>74</v>
      </c>
      <c r="AY902" s="1" t="s">
        <v>74</v>
      </c>
      <c r="AZ902" s="1" t="s">
        <v>74</v>
      </c>
      <c r="BA902" s="1" t="s">
        <v>74</v>
      </c>
      <c r="BB902" s="1">
        <v>32.0</v>
      </c>
      <c r="BC902" s="1">
        <v>45.0</v>
      </c>
      <c r="BD902" s="1" t="s">
        <v>74</v>
      </c>
      <c r="BE902" s="1" t="s">
        <v>7938</v>
      </c>
      <c r="BF902" s="2" t="str">
        <f>HYPERLINK("http://dx.doi.org/10.1109/TSMC.2025.3618120","http://dx.doi.org/10.1109/TSMC.2025.3618120")</f>
        <v>http://dx.doi.org/10.1109/TSMC.2025.3618120</v>
      </c>
      <c r="BG902" s="1" t="s">
        <v>74</v>
      </c>
      <c r="BH902" s="1" t="s">
        <v>811</v>
      </c>
      <c r="BI902" s="1" t="s">
        <v>74</v>
      </c>
      <c r="BJ902" s="1" t="s">
        <v>74</v>
      </c>
      <c r="BK902" s="1" t="s">
        <v>74</v>
      </c>
      <c r="BL902" s="1" t="s">
        <v>780</v>
      </c>
      <c r="BM902" s="1" t="s">
        <v>74</v>
      </c>
      <c r="BN902" s="1" t="s">
        <v>74</v>
      </c>
      <c r="BO902" s="1" t="s">
        <v>74</v>
      </c>
      <c r="BP902" s="1" t="s">
        <v>74</v>
      </c>
      <c r="BQ902" s="1" t="s">
        <v>74</v>
      </c>
      <c r="BR902" s="1" t="s">
        <v>74</v>
      </c>
      <c r="BS902" s="1" t="s">
        <v>7939</v>
      </c>
      <c r="BT902" s="1" t="str">
        <f>HYPERLINK("https%3A%2F%2Fwww.webofscience.com%2Fwos%2Fwoscc%2Ffull-record%2FWOS:001606775600001","View Full Record in Web of Science")</f>
        <v>View Full Record in Web of Science</v>
      </c>
    </row>
    <row r="903" ht="12.75" customHeight="1">
      <c r="A903" s="1" t="s">
        <v>72</v>
      </c>
      <c r="B903" s="1" t="s">
        <v>7940</v>
      </c>
      <c r="C903" s="1" t="s">
        <v>74</v>
      </c>
      <c r="D903" s="1" t="s">
        <v>74</v>
      </c>
      <c r="E903" s="1" t="s">
        <v>74</v>
      </c>
      <c r="F903" s="1" t="s">
        <v>7941</v>
      </c>
      <c r="G903" s="1" t="s">
        <v>74</v>
      </c>
      <c r="H903" s="1" t="s">
        <v>74</v>
      </c>
      <c r="I903" s="1" t="s">
        <v>7942</v>
      </c>
      <c r="J903" s="1" t="s">
        <v>147</v>
      </c>
      <c r="K903" s="1" t="s">
        <v>74</v>
      </c>
      <c r="L903" s="1" t="s">
        <v>74</v>
      </c>
      <c r="M903" s="1" t="s">
        <v>74</v>
      </c>
      <c r="N903" s="1" t="s">
        <v>78</v>
      </c>
      <c r="O903" s="1" t="s">
        <v>74</v>
      </c>
      <c r="P903" s="1" t="s">
        <v>74</v>
      </c>
      <c r="Q903" s="1" t="s">
        <v>74</v>
      </c>
      <c r="R903" s="1" t="s">
        <v>74</v>
      </c>
      <c r="S903" s="1" t="s">
        <v>74</v>
      </c>
      <c r="T903" s="1" t="s">
        <v>7943</v>
      </c>
      <c r="U903" s="1" t="s">
        <v>7944</v>
      </c>
      <c r="V903" s="1" t="s">
        <v>7945</v>
      </c>
      <c r="W903" s="1" t="s">
        <v>74</v>
      </c>
      <c r="X903" s="1" t="s">
        <v>74</v>
      </c>
      <c r="Y903" s="1" t="s">
        <v>74</v>
      </c>
      <c r="Z903" s="1" t="s">
        <v>74</v>
      </c>
      <c r="AA903" s="1" t="s">
        <v>74</v>
      </c>
      <c r="AB903" s="1" t="s">
        <v>74</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150</v>
      </c>
      <c r="AP903" s="1" t="s">
        <v>74</v>
      </c>
      <c r="AQ903" s="1" t="s">
        <v>74</v>
      </c>
      <c r="AR903" s="1" t="s">
        <v>74</v>
      </c>
      <c r="AS903" s="1" t="s">
        <v>74</v>
      </c>
      <c r="AT903" s="1" t="s">
        <v>74</v>
      </c>
      <c r="AU903" s="1">
        <v>2025.0</v>
      </c>
      <c r="AV903" s="1">
        <v>13.0</v>
      </c>
      <c r="AW903" s="1" t="s">
        <v>74</v>
      </c>
      <c r="AX903" s="1" t="s">
        <v>74</v>
      </c>
      <c r="AY903" s="1" t="s">
        <v>74</v>
      </c>
      <c r="AZ903" s="1" t="s">
        <v>74</v>
      </c>
      <c r="BA903" s="1" t="s">
        <v>74</v>
      </c>
      <c r="BB903" s="1">
        <v>71503.0</v>
      </c>
      <c r="BC903" s="1">
        <v>71520.0</v>
      </c>
      <c r="BD903" s="1" t="s">
        <v>74</v>
      </c>
      <c r="BE903" s="1" t="s">
        <v>7946</v>
      </c>
      <c r="BF903" s="2" t="str">
        <f>HYPERLINK("http://dx.doi.org/10.1109/ACCESS.2025.3562259","http://dx.doi.org/10.1109/ACCESS.2025.3562259")</f>
        <v>http://dx.doi.org/10.1109/ACCESS.2025.3562259</v>
      </c>
      <c r="BG903" s="1" t="s">
        <v>74</v>
      </c>
      <c r="BH903" s="1" t="s">
        <v>74</v>
      </c>
      <c r="BI903" s="1" t="s">
        <v>74</v>
      </c>
      <c r="BJ903" s="1" t="s">
        <v>74</v>
      </c>
      <c r="BK903" s="1" t="s">
        <v>74</v>
      </c>
      <c r="BL903" s="1" t="s">
        <v>152</v>
      </c>
      <c r="BM903" s="1" t="s">
        <v>74</v>
      </c>
      <c r="BN903" s="1" t="s">
        <v>74</v>
      </c>
      <c r="BO903" s="1" t="s">
        <v>153</v>
      </c>
      <c r="BP903" s="1" t="s">
        <v>74</v>
      </c>
      <c r="BQ903" s="1" t="s">
        <v>74</v>
      </c>
      <c r="BR903" s="1" t="s">
        <v>74</v>
      </c>
      <c r="BS903" s="1" t="s">
        <v>7947</v>
      </c>
      <c r="BT903" s="1" t="str">
        <f>HYPERLINK("https%3A%2F%2Fwww.webofscience.com%2Fwos%2Fwoscc%2Ffull-record%2FWOS:001479454700004","View Full Record in Web of Science")</f>
        <v>View Full Record in Web of Science</v>
      </c>
    </row>
    <row r="904" ht="12.75" customHeight="1">
      <c r="A904" s="1" t="s">
        <v>72</v>
      </c>
      <c r="B904" s="1" t="s">
        <v>7948</v>
      </c>
      <c r="C904" s="1" t="s">
        <v>74</v>
      </c>
      <c r="D904" s="1" t="s">
        <v>74</v>
      </c>
      <c r="E904" s="1" t="s">
        <v>74</v>
      </c>
      <c r="F904" s="1" t="s">
        <v>7949</v>
      </c>
      <c r="G904" s="1" t="s">
        <v>74</v>
      </c>
      <c r="H904" s="1" t="s">
        <v>74</v>
      </c>
      <c r="I904" s="1" t="s">
        <v>7950</v>
      </c>
      <c r="J904" s="1" t="s">
        <v>296</v>
      </c>
      <c r="K904" s="1" t="s">
        <v>74</v>
      </c>
      <c r="L904" s="1" t="s">
        <v>74</v>
      </c>
      <c r="M904" s="1" t="s">
        <v>74</v>
      </c>
      <c r="N904" s="1" t="s">
        <v>78</v>
      </c>
      <c r="O904" s="1" t="s">
        <v>74</v>
      </c>
      <c r="P904" s="1" t="s">
        <v>74</v>
      </c>
      <c r="Q904" s="1" t="s">
        <v>74</v>
      </c>
      <c r="R904" s="1" t="s">
        <v>74</v>
      </c>
      <c r="S904" s="1" t="s">
        <v>74</v>
      </c>
      <c r="T904" s="1" t="s">
        <v>7951</v>
      </c>
      <c r="U904" s="1" t="s">
        <v>74</v>
      </c>
      <c r="V904" s="1" t="s">
        <v>7952</v>
      </c>
      <c r="W904" s="1" t="s">
        <v>74</v>
      </c>
      <c r="X904" s="1" t="s">
        <v>74</v>
      </c>
      <c r="Y904" s="1" t="s">
        <v>74</v>
      </c>
      <c r="Z904" s="1" t="s">
        <v>74</v>
      </c>
      <c r="AA904" s="1" t="s">
        <v>74</v>
      </c>
      <c r="AB904" s="1" t="s">
        <v>74</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299</v>
      </c>
      <c r="AP904" s="1" t="s">
        <v>300</v>
      </c>
      <c r="AQ904" s="1" t="s">
        <v>74</v>
      </c>
      <c r="AR904" s="1" t="s">
        <v>74</v>
      </c>
      <c r="AS904" s="1" t="s">
        <v>74</v>
      </c>
      <c r="AT904" s="1" t="s">
        <v>74</v>
      </c>
      <c r="AU904" s="1">
        <v>2025.0</v>
      </c>
      <c r="AV904" s="1">
        <v>84.0</v>
      </c>
      <c r="AW904" s="1">
        <v>1.0</v>
      </c>
      <c r="AX904" s="1" t="s">
        <v>74</v>
      </c>
      <c r="AY904" s="1" t="s">
        <v>74</v>
      </c>
      <c r="AZ904" s="1" t="s">
        <v>74</v>
      </c>
      <c r="BA904" s="1" t="s">
        <v>74</v>
      </c>
      <c r="BB904" s="1">
        <v>1883.0</v>
      </c>
      <c r="BC904" s="1">
        <v>1899.0</v>
      </c>
      <c r="BD904" s="1" t="s">
        <v>74</v>
      </c>
      <c r="BE904" s="1" t="s">
        <v>7953</v>
      </c>
      <c r="BF904" s="2" t="str">
        <f>HYPERLINK("http://dx.doi.org/10.32604/cmc.2025.063560","http://dx.doi.org/10.32604/cmc.2025.063560")</f>
        <v>http://dx.doi.org/10.32604/cmc.2025.063560</v>
      </c>
      <c r="BG904" s="1" t="s">
        <v>74</v>
      </c>
      <c r="BH904" s="1" t="s">
        <v>74</v>
      </c>
      <c r="BI904" s="1" t="s">
        <v>74</v>
      </c>
      <c r="BJ904" s="1" t="s">
        <v>74</v>
      </c>
      <c r="BK904" s="1" t="s">
        <v>74</v>
      </c>
      <c r="BL904" s="1" t="s">
        <v>302</v>
      </c>
      <c r="BM904" s="1" t="s">
        <v>74</v>
      </c>
      <c r="BN904" s="1" t="s">
        <v>74</v>
      </c>
      <c r="BO904" s="1" t="s">
        <v>163</v>
      </c>
      <c r="BP904" s="1" t="s">
        <v>74</v>
      </c>
      <c r="BQ904" s="1" t="s">
        <v>74</v>
      </c>
      <c r="BR904" s="1" t="s">
        <v>74</v>
      </c>
      <c r="BS904" s="1" t="s">
        <v>7954</v>
      </c>
      <c r="BT904" s="1" t="str">
        <f>HYPERLINK("https%3A%2F%2Fwww.webofscience.com%2Fwos%2Fwoscc%2Ffull-record%2FWOS:001512573200001","View Full Record in Web of Science")</f>
        <v>View Full Record in Web of Science</v>
      </c>
    </row>
    <row r="905" ht="12.75" customHeight="1">
      <c r="A905" s="1" t="s">
        <v>72</v>
      </c>
      <c r="B905" s="1" t="s">
        <v>7955</v>
      </c>
      <c r="C905" s="1" t="s">
        <v>74</v>
      </c>
      <c r="D905" s="1" t="s">
        <v>74</v>
      </c>
      <c r="E905" s="1" t="s">
        <v>74</v>
      </c>
      <c r="F905" s="1" t="s">
        <v>7956</v>
      </c>
      <c r="G905" s="1" t="s">
        <v>74</v>
      </c>
      <c r="H905" s="1" t="s">
        <v>74</v>
      </c>
      <c r="I905" s="1" t="s">
        <v>7957</v>
      </c>
      <c r="J905" s="1" t="s">
        <v>816</v>
      </c>
      <c r="K905" s="1" t="s">
        <v>74</v>
      </c>
      <c r="L905" s="1" t="s">
        <v>74</v>
      </c>
      <c r="M905" s="1" t="s">
        <v>74</v>
      </c>
      <c r="N905" s="1" t="s">
        <v>78</v>
      </c>
      <c r="O905" s="1" t="s">
        <v>74</v>
      </c>
      <c r="P905" s="1" t="s">
        <v>74</v>
      </c>
      <c r="Q905" s="1" t="s">
        <v>74</v>
      </c>
      <c r="R905" s="1" t="s">
        <v>74</v>
      </c>
      <c r="S905" s="1" t="s">
        <v>74</v>
      </c>
      <c r="T905" s="1" t="s">
        <v>7958</v>
      </c>
      <c r="U905" s="1" t="s">
        <v>7959</v>
      </c>
      <c r="V905" s="1" t="s">
        <v>7960</v>
      </c>
      <c r="W905" s="1" t="s">
        <v>74</v>
      </c>
      <c r="X905" s="1" t="s">
        <v>74</v>
      </c>
      <c r="Y905" s="1" t="s">
        <v>74</v>
      </c>
      <c r="Z905" s="1" t="s">
        <v>74</v>
      </c>
      <c r="AA905" s="1" t="s">
        <v>74</v>
      </c>
      <c r="AB905" s="1" t="s">
        <v>74</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820</v>
      </c>
      <c r="AP905" s="1" t="s">
        <v>821</v>
      </c>
      <c r="AQ905" s="1" t="s">
        <v>74</v>
      </c>
      <c r="AR905" s="1" t="s">
        <v>74</v>
      </c>
      <c r="AS905" s="1" t="s">
        <v>74</v>
      </c>
      <c r="AT905" s="1" t="s">
        <v>688</v>
      </c>
      <c r="AU905" s="1">
        <v>2024.0</v>
      </c>
      <c r="AV905" s="1">
        <v>151.0</v>
      </c>
      <c r="AW905" s="1" t="s">
        <v>74</v>
      </c>
      <c r="AX905" s="1" t="s">
        <v>74</v>
      </c>
      <c r="AY905" s="1" t="s">
        <v>74</v>
      </c>
      <c r="AZ905" s="1" t="s">
        <v>74</v>
      </c>
      <c r="BA905" s="1" t="s">
        <v>74</v>
      </c>
      <c r="BB905" s="1" t="s">
        <v>74</v>
      </c>
      <c r="BC905" s="1" t="s">
        <v>74</v>
      </c>
      <c r="BD905" s="1">
        <v>104620.0</v>
      </c>
      <c r="BE905" s="1" t="s">
        <v>7961</v>
      </c>
      <c r="BF905" s="2" t="str">
        <f>HYPERLINK("http://dx.doi.org/10.1016/j.jbi.2024.104620","http://dx.doi.org/10.1016/j.jbi.2024.104620")</f>
        <v>http://dx.doi.org/10.1016/j.jbi.2024.104620</v>
      </c>
      <c r="BG905" s="1" t="s">
        <v>74</v>
      </c>
      <c r="BH905" s="1" t="s">
        <v>86</v>
      </c>
      <c r="BI905" s="1" t="s">
        <v>74</v>
      </c>
      <c r="BJ905" s="1" t="s">
        <v>74</v>
      </c>
      <c r="BK905" s="1" t="s">
        <v>74</v>
      </c>
      <c r="BL905" s="1" t="s">
        <v>823</v>
      </c>
      <c r="BM905" s="1" t="s">
        <v>74</v>
      </c>
      <c r="BN905" s="1" t="s">
        <v>74</v>
      </c>
      <c r="BO905" s="1" t="s">
        <v>74</v>
      </c>
      <c r="BP905" s="1" t="s">
        <v>74</v>
      </c>
      <c r="BQ905" s="1" t="s">
        <v>74</v>
      </c>
      <c r="BR905" s="1" t="s">
        <v>74</v>
      </c>
      <c r="BS905" s="1" t="s">
        <v>7962</v>
      </c>
      <c r="BT905" s="1" t="str">
        <f>HYPERLINK("https%3A%2F%2Fwww.webofscience.com%2Fwos%2Fwoscc%2Ffull-record%2FWOS:001218826900001","View Full Record in Web of Science")</f>
        <v>View Full Record in Web of Science</v>
      </c>
    </row>
    <row r="906" ht="12.75" customHeight="1">
      <c r="A906" s="1" t="s">
        <v>72</v>
      </c>
      <c r="B906" s="1" t="s">
        <v>7963</v>
      </c>
      <c r="C906" s="1" t="s">
        <v>74</v>
      </c>
      <c r="D906" s="1" t="s">
        <v>74</v>
      </c>
      <c r="E906" s="1" t="s">
        <v>74</v>
      </c>
      <c r="F906" s="1" t="s">
        <v>7964</v>
      </c>
      <c r="G906" s="1" t="s">
        <v>74</v>
      </c>
      <c r="H906" s="1" t="s">
        <v>74</v>
      </c>
      <c r="I906" s="1" t="s">
        <v>7965</v>
      </c>
      <c r="J906" s="1" t="s">
        <v>7966</v>
      </c>
      <c r="K906" s="1" t="s">
        <v>74</v>
      </c>
      <c r="L906" s="1" t="s">
        <v>74</v>
      </c>
      <c r="M906" s="1" t="s">
        <v>74</v>
      </c>
      <c r="N906" s="1" t="s">
        <v>78</v>
      </c>
      <c r="O906" s="1" t="s">
        <v>74</v>
      </c>
      <c r="P906" s="1" t="s">
        <v>74</v>
      </c>
      <c r="Q906" s="1" t="s">
        <v>74</v>
      </c>
      <c r="R906" s="1" t="s">
        <v>74</v>
      </c>
      <c r="S906" s="1" t="s">
        <v>74</v>
      </c>
      <c r="T906" s="1" t="s">
        <v>7967</v>
      </c>
      <c r="U906" s="1" t="s">
        <v>74</v>
      </c>
      <c r="V906" s="1" t="s">
        <v>7968</v>
      </c>
      <c r="W906" s="1" t="s">
        <v>74</v>
      </c>
      <c r="X906" s="1" t="s">
        <v>74</v>
      </c>
      <c r="Y906" s="1" t="s">
        <v>74</v>
      </c>
      <c r="Z906" s="1" t="s">
        <v>74</v>
      </c>
      <c r="AA906" s="1" t="s">
        <v>74</v>
      </c>
      <c r="AB906" s="1" t="s">
        <v>74</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7969</v>
      </c>
      <c r="AP906" s="1" t="s">
        <v>74</v>
      </c>
      <c r="AQ906" s="1" t="s">
        <v>74</v>
      </c>
      <c r="AR906" s="1" t="s">
        <v>74</v>
      </c>
      <c r="AS906" s="1" t="s">
        <v>74</v>
      </c>
      <c r="AT906" s="1" t="s">
        <v>736</v>
      </c>
      <c r="AU906" s="1">
        <v>2025.0</v>
      </c>
      <c r="AV906" s="1">
        <v>4.0</v>
      </c>
      <c r="AW906" s="1">
        <v>1.0</v>
      </c>
      <c r="AX906" s="1" t="s">
        <v>74</v>
      </c>
      <c r="AY906" s="1" t="s">
        <v>74</v>
      </c>
      <c r="AZ906" s="1" t="s">
        <v>74</v>
      </c>
      <c r="BA906" s="1" t="s">
        <v>74</v>
      </c>
      <c r="BB906" s="1" t="s">
        <v>74</v>
      </c>
      <c r="BC906" s="1" t="s">
        <v>74</v>
      </c>
      <c r="BD906" s="1" t="s">
        <v>7970</v>
      </c>
      <c r="BE906" s="1" t="s">
        <v>7971</v>
      </c>
      <c r="BF906" s="2" t="str">
        <f>HYPERLINK("http://dx.doi.org/10.1175/AIES-D-24-0029.1","http://dx.doi.org/10.1175/AIES-D-24-0029.1")</f>
        <v>http://dx.doi.org/10.1175/AIES-D-24-0029.1</v>
      </c>
      <c r="BG906" s="1" t="s">
        <v>74</v>
      </c>
      <c r="BH906" s="1" t="s">
        <v>74</v>
      </c>
      <c r="BI906" s="1" t="s">
        <v>74</v>
      </c>
      <c r="BJ906" s="1" t="s">
        <v>74</v>
      </c>
      <c r="BK906" s="1" t="s">
        <v>74</v>
      </c>
      <c r="BL906" s="1" t="s">
        <v>7972</v>
      </c>
      <c r="BM906" s="1" t="s">
        <v>74</v>
      </c>
      <c r="BN906" s="1" t="s">
        <v>74</v>
      </c>
      <c r="BO906" s="1" t="s">
        <v>74</v>
      </c>
      <c r="BP906" s="1" t="s">
        <v>74</v>
      </c>
      <c r="BQ906" s="1" t="s">
        <v>74</v>
      </c>
      <c r="BR906" s="1" t="s">
        <v>74</v>
      </c>
      <c r="BS906" s="1" t="s">
        <v>7973</v>
      </c>
      <c r="BT906" s="1" t="str">
        <f>HYPERLINK("https%3A%2F%2Fwww.webofscience.com%2Fwos%2Fwoscc%2Ffull-record%2FWOS:001627608100001","View Full Record in Web of Science")</f>
        <v>View Full Record in Web of Science</v>
      </c>
    </row>
    <row r="907" ht="12.75" customHeight="1">
      <c r="A907" s="1" t="s">
        <v>72</v>
      </c>
      <c r="B907" s="1" t="s">
        <v>7974</v>
      </c>
      <c r="C907" s="1" t="s">
        <v>74</v>
      </c>
      <c r="D907" s="1" t="s">
        <v>74</v>
      </c>
      <c r="E907" s="1" t="s">
        <v>74</v>
      </c>
      <c r="F907" s="1" t="s">
        <v>7975</v>
      </c>
      <c r="G907" s="1" t="s">
        <v>74</v>
      </c>
      <c r="H907" s="1" t="s">
        <v>74</v>
      </c>
      <c r="I907" s="1" t="s">
        <v>7976</v>
      </c>
      <c r="J907" s="1" t="s">
        <v>1155</v>
      </c>
      <c r="K907" s="1" t="s">
        <v>74</v>
      </c>
      <c r="L907" s="1" t="s">
        <v>74</v>
      </c>
      <c r="M907" s="1" t="s">
        <v>74</v>
      </c>
      <c r="N907" s="1" t="s">
        <v>953</v>
      </c>
      <c r="O907" s="1" t="s">
        <v>74</v>
      </c>
      <c r="P907" s="1" t="s">
        <v>74</v>
      </c>
      <c r="Q907" s="1" t="s">
        <v>74</v>
      </c>
      <c r="R907" s="1" t="s">
        <v>74</v>
      </c>
      <c r="S907" s="1" t="s">
        <v>74</v>
      </c>
      <c r="T907" s="1" t="s">
        <v>7977</v>
      </c>
      <c r="U907" s="1" t="s">
        <v>74</v>
      </c>
      <c r="V907" s="1" t="s">
        <v>7978</v>
      </c>
      <c r="W907" s="1" t="s">
        <v>74</v>
      </c>
      <c r="X907" s="1" t="s">
        <v>74</v>
      </c>
      <c r="Y907" s="1" t="s">
        <v>74</v>
      </c>
      <c r="Z907" s="1" t="s">
        <v>74</v>
      </c>
      <c r="AA907" s="1" t="s">
        <v>74</v>
      </c>
      <c r="AB907" s="1" t="s">
        <v>74</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1158</v>
      </c>
      <c r="AP907" s="1" t="s">
        <v>74</v>
      </c>
      <c r="AQ907" s="1" t="s">
        <v>74</v>
      </c>
      <c r="AR907" s="1" t="s">
        <v>74</v>
      </c>
      <c r="AS907" s="1" t="s">
        <v>74</v>
      </c>
      <c r="AT907" s="1" t="s">
        <v>7979</v>
      </c>
      <c r="AU907" s="1">
        <v>2025.0</v>
      </c>
      <c r="AV907" s="1" t="s">
        <v>74</v>
      </c>
      <c r="AW907" s="1" t="s">
        <v>74</v>
      </c>
      <c r="AX907" s="1" t="s">
        <v>74</v>
      </c>
      <c r="AY907" s="1" t="s">
        <v>74</v>
      </c>
      <c r="AZ907" s="1" t="s">
        <v>74</v>
      </c>
      <c r="BA907" s="1" t="s">
        <v>74</v>
      </c>
      <c r="BB907" s="1" t="s">
        <v>74</v>
      </c>
      <c r="BC907" s="1" t="s">
        <v>74</v>
      </c>
      <c r="BD907" s="1" t="s">
        <v>74</v>
      </c>
      <c r="BE907" s="1" t="s">
        <v>7980</v>
      </c>
      <c r="BF907" s="2" t="str">
        <f>HYPERLINK("http://dx.doi.org/10.1109/TCSS.2025.3623200","http://dx.doi.org/10.1109/TCSS.2025.3623200")</f>
        <v>http://dx.doi.org/10.1109/TCSS.2025.3623200</v>
      </c>
      <c r="BG907" s="1" t="s">
        <v>74</v>
      </c>
      <c r="BH907" s="1" t="s">
        <v>255</v>
      </c>
      <c r="BI907" s="1" t="s">
        <v>74</v>
      </c>
      <c r="BJ907" s="1" t="s">
        <v>74</v>
      </c>
      <c r="BK907" s="1" t="s">
        <v>74</v>
      </c>
      <c r="BL907" s="1" t="s">
        <v>174</v>
      </c>
      <c r="BM907" s="1" t="s">
        <v>74</v>
      </c>
      <c r="BN907" s="1" t="s">
        <v>74</v>
      </c>
      <c r="BO907" s="1" t="s">
        <v>74</v>
      </c>
      <c r="BP907" s="1" t="s">
        <v>74</v>
      </c>
      <c r="BQ907" s="1" t="s">
        <v>74</v>
      </c>
      <c r="BR907" s="1" t="s">
        <v>74</v>
      </c>
      <c r="BS907" s="1" t="s">
        <v>7981</v>
      </c>
      <c r="BT907" s="1" t="str">
        <f>HYPERLINK("https%3A%2F%2Fwww.webofscience.com%2Fwos%2Fwoscc%2Ffull-record%2FWOS:001627698800001","View Full Record in Web of Science")</f>
        <v>View Full Record in Web of Science</v>
      </c>
    </row>
    <row r="908" ht="12.75" customHeight="1">
      <c r="A908" s="1" t="s">
        <v>72</v>
      </c>
      <c r="B908" s="1" t="s">
        <v>7982</v>
      </c>
      <c r="C908" s="1" t="s">
        <v>74</v>
      </c>
      <c r="D908" s="1" t="s">
        <v>74</v>
      </c>
      <c r="E908" s="1" t="s">
        <v>74</v>
      </c>
      <c r="F908" s="1" t="s">
        <v>7983</v>
      </c>
      <c r="G908" s="1" t="s">
        <v>74</v>
      </c>
      <c r="H908" s="1" t="s">
        <v>74</v>
      </c>
      <c r="I908" s="1" t="s">
        <v>7984</v>
      </c>
      <c r="J908" s="1" t="s">
        <v>249</v>
      </c>
      <c r="K908" s="1" t="s">
        <v>74</v>
      </c>
      <c r="L908" s="1" t="s">
        <v>74</v>
      </c>
      <c r="M908" s="1" t="s">
        <v>74</v>
      </c>
      <c r="N908" s="1" t="s">
        <v>78</v>
      </c>
      <c r="O908" s="1" t="s">
        <v>74</v>
      </c>
      <c r="P908" s="1" t="s">
        <v>74</v>
      </c>
      <c r="Q908" s="1" t="s">
        <v>74</v>
      </c>
      <c r="R908" s="1" t="s">
        <v>74</v>
      </c>
      <c r="S908" s="1" t="s">
        <v>74</v>
      </c>
      <c r="T908" s="1" t="s">
        <v>7985</v>
      </c>
      <c r="U908" s="1" t="s">
        <v>7986</v>
      </c>
      <c r="V908" s="1" t="s">
        <v>7987</v>
      </c>
      <c r="W908" s="1" t="s">
        <v>74</v>
      </c>
      <c r="X908" s="1" t="s">
        <v>74</v>
      </c>
      <c r="Y908" s="1" t="s">
        <v>74</v>
      </c>
      <c r="Z908" s="1" t="s">
        <v>74</v>
      </c>
      <c r="AA908" s="1" t="s">
        <v>74</v>
      </c>
      <c r="AB908" s="1" t="s">
        <v>74</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74</v>
      </c>
      <c r="AP908" s="1" t="s">
        <v>253</v>
      </c>
      <c r="AQ908" s="1" t="s">
        <v>74</v>
      </c>
      <c r="AR908" s="1" t="s">
        <v>74</v>
      </c>
      <c r="AS908" s="1" t="s">
        <v>74</v>
      </c>
      <c r="AT908" s="1" t="s">
        <v>262</v>
      </c>
      <c r="AU908" s="1">
        <v>2024.0</v>
      </c>
      <c r="AV908" s="1">
        <v>23.0</v>
      </c>
      <c r="AW908" s="1" t="s">
        <v>74</v>
      </c>
      <c r="AX908" s="1" t="s">
        <v>74</v>
      </c>
      <c r="AY908" s="1" t="s">
        <v>74</v>
      </c>
      <c r="AZ908" s="1" t="s">
        <v>74</v>
      </c>
      <c r="BA908" s="1" t="s">
        <v>74</v>
      </c>
      <c r="BB908" s="1" t="s">
        <v>74</v>
      </c>
      <c r="BC908" s="1" t="s">
        <v>74</v>
      </c>
      <c r="BD908" s="1">
        <v>200431.0</v>
      </c>
      <c r="BE908" s="1" t="s">
        <v>7988</v>
      </c>
      <c r="BF908" s="2" t="str">
        <f>HYPERLINK("http://dx.doi.org/10.1016/j.iswa.2024.200431","http://dx.doi.org/10.1016/j.iswa.2024.200431")</f>
        <v>http://dx.doi.org/10.1016/j.iswa.2024.200431</v>
      </c>
      <c r="BG908" s="1" t="s">
        <v>74</v>
      </c>
      <c r="BH908" s="1" t="s">
        <v>453</v>
      </c>
      <c r="BI908" s="1" t="s">
        <v>74</v>
      </c>
      <c r="BJ908" s="1" t="s">
        <v>74</v>
      </c>
      <c r="BK908" s="1" t="s">
        <v>74</v>
      </c>
      <c r="BL908" s="1" t="s">
        <v>174</v>
      </c>
      <c r="BM908" s="1" t="s">
        <v>74</v>
      </c>
      <c r="BN908" s="1" t="s">
        <v>74</v>
      </c>
      <c r="BO908" s="1" t="s">
        <v>163</v>
      </c>
      <c r="BP908" s="1" t="s">
        <v>74</v>
      </c>
      <c r="BQ908" s="1" t="s">
        <v>74</v>
      </c>
      <c r="BR908" s="1" t="s">
        <v>74</v>
      </c>
      <c r="BS908" s="1" t="s">
        <v>7989</v>
      </c>
      <c r="BT908" s="1" t="str">
        <f>HYPERLINK("https%3A%2F%2Fwww.webofscience.com%2Fwos%2Fwoscc%2Ffull-record%2FWOS:001311284900001","View Full Record in Web of Science")</f>
        <v>View Full Record in Web of Science</v>
      </c>
    </row>
    <row r="909" ht="12.75" customHeight="1">
      <c r="A909" s="1" t="s">
        <v>72</v>
      </c>
      <c r="B909" s="1" t="s">
        <v>7990</v>
      </c>
      <c r="C909" s="1" t="s">
        <v>74</v>
      </c>
      <c r="D909" s="1" t="s">
        <v>74</v>
      </c>
      <c r="E909" s="1" t="s">
        <v>74</v>
      </c>
      <c r="F909" s="1" t="s">
        <v>7991</v>
      </c>
      <c r="G909" s="1" t="s">
        <v>74</v>
      </c>
      <c r="H909" s="1" t="s">
        <v>74</v>
      </c>
      <c r="I909" s="1" t="s">
        <v>7992</v>
      </c>
      <c r="J909" s="1" t="s">
        <v>1230</v>
      </c>
      <c r="K909" s="1" t="s">
        <v>74</v>
      </c>
      <c r="L909" s="1" t="s">
        <v>74</v>
      </c>
      <c r="M909" s="1" t="s">
        <v>74</v>
      </c>
      <c r="N909" s="1" t="s">
        <v>78</v>
      </c>
      <c r="O909" s="1" t="s">
        <v>74</v>
      </c>
      <c r="P909" s="1" t="s">
        <v>74</v>
      </c>
      <c r="Q909" s="1" t="s">
        <v>74</v>
      </c>
      <c r="R909" s="1" t="s">
        <v>74</v>
      </c>
      <c r="S909" s="1" t="s">
        <v>74</v>
      </c>
      <c r="T909" s="1" t="s">
        <v>7993</v>
      </c>
      <c r="U909" s="1" t="s">
        <v>7994</v>
      </c>
      <c r="V909" s="1" t="s">
        <v>7995</v>
      </c>
      <c r="W909" s="1" t="s">
        <v>74</v>
      </c>
      <c r="X909" s="1" t="s">
        <v>74</v>
      </c>
      <c r="Y909" s="1" t="s">
        <v>74</v>
      </c>
      <c r="Z909" s="1" t="s">
        <v>74</v>
      </c>
      <c r="AA909" s="1" t="s">
        <v>74</v>
      </c>
      <c r="AB909" s="1" t="s">
        <v>74</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1233</v>
      </c>
      <c r="AP909" s="1" t="s">
        <v>1234</v>
      </c>
      <c r="AQ909" s="1" t="s">
        <v>74</v>
      </c>
      <c r="AR909" s="1" t="s">
        <v>74</v>
      </c>
      <c r="AS909" s="1" t="s">
        <v>74</v>
      </c>
      <c r="AT909" s="1" t="s">
        <v>1078</v>
      </c>
      <c r="AU909" s="1">
        <v>2025.0</v>
      </c>
      <c r="AV909" s="1">
        <v>261.0</v>
      </c>
      <c r="AW909" s="1" t="s">
        <v>74</v>
      </c>
      <c r="AX909" s="1" t="s">
        <v>74</v>
      </c>
      <c r="AY909" s="1" t="s">
        <v>74</v>
      </c>
      <c r="AZ909" s="1" t="s">
        <v>74</v>
      </c>
      <c r="BA909" s="1" t="s">
        <v>74</v>
      </c>
      <c r="BB909" s="1" t="s">
        <v>74</v>
      </c>
      <c r="BC909" s="1" t="s">
        <v>74</v>
      </c>
      <c r="BD909" s="1">
        <v>125524.0</v>
      </c>
      <c r="BE909" s="1" t="s">
        <v>7996</v>
      </c>
      <c r="BF909" s="2" t="str">
        <f>HYPERLINK("http://dx.doi.org/10.1016/j.eswa.2024.125524","http://dx.doi.org/10.1016/j.eswa.2024.125524")</f>
        <v>http://dx.doi.org/10.1016/j.eswa.2024.125524</v>
      </c>
      <c r="BG909" s="1" t="s">
        <v>74</v>
      </c>
      <c r="BH909" s="1" t="s">
        <v>1747</v>
      </c>
      <c r="BI909" s="1" t="s">
        <v>74</v>
      </c>
      <c r="BJ909" s="1" t="s">
        <v>74</v>
      </c>
      <c r="BK909" s="1" t="s">
        <v>74</v>
      </c>
      <c r="BL909" s="1" t="s">
        <v>1237</v>
      </c>
      <c r="BM909" s="1" t="s">
        <v>74</v>
      </c>
      <c r="BN909" s="1" t="s">
        <v>74</v>
      </c>
      <c r="BO909" s="1" t="s">
        <v>74</v>
      </c>
      <c r="BP909" s="1" t="s">
        <v>74</v>
      </c>
      <c r="BQ909" s="1" t="s">
        <v>74</v>
      </c>
      <c r="BR909" s="1" t="s">
        <v>74</v>
      </c>
      <c r="BS909" s="1" t="s">
        <v>7997</v>
      </c>
      <c r="BT909" s="1" t="str">
        <f>HYPERLINK("https%3A%2F%2Fwww.webofscience.com%2Fwos%2Fwoscc%2Ffull-record%2FWOS:001338984800001","View Full Record in Web of Science")</f>
        <v>View Full Record in Web of Science</v>
      </c>
    </row>
    <row r="910" ht="12.75" customHeight="1">
      <c r="A910" s="1" t="s">
        <v>72</v>
      </c>
      <c r="B910" s="1" t="s">
        <v>7998</v>
      </c>
      <c r="C910" s="1" t="s">
        <v>74</v>
      </c>
      <c r="D910" s="1" t="s">
        <v>74</v>
      </c>
      <c r="E910" s="1" t="s">
        <v>74</v>
      </c>
      <c r="F910" s="1" t="s">
        <v>7999</v>
      </c>
      <c r="G910" s="1" t="s">
        <v>74</v>
      </c>
      <c r="H910" s="1" t="s">
        <v>74</v>
      </c>
      <c r="I910" s="1" t="s">
        <v>8000</v>
      </c>
      <c r="J910" s="1" t="s">
        <v>8001</v>
      </c>
      <c r="K910" s="1" t="s">
        <v>74</v>
      </c>
      <c r="L910" s="1" t="s">
        <v>74</v>
      </c>
      <c r="M910" s="1" t="s">
        <v>74</v>
      </c>
      <c r="N910" s="1" t="s">
        <v>282</v>
      </c>
      <c r="O910" s="1" t="s">
        <v>74</v>
      </c>
      <c r="P910" s="1" t="s">
        <v>74</v>
      </c>
      <c r="Q910" s="1" t="s">
        <v>74</v>
      </c>
      <c r="R910" s="1" t="s">
        <v>74</v>
      </c>
      <c r="S910" s="1" t="s">
        <v>74</v>
      </c>
      <c r="T910" s="1" t="s">
        <v>8002</v>
      </c>
      <c r="U910" s="1" t="s">
        <v>8003</v>
      </c>
      <c r="V910" s="1" t="s">
        <v>8004</v>
      </c>
      <c r="W910" s="1" t="s">
        <v>74</v>
      </c>
      <c r="X910" s="1" t="s">
        <v>74</v>
      </c>
      <c r="Y910" s="1" t="s">
        <v>74</v>
      </c>
      <c r="Z910" s="1" t="s">
        <v>74</v>
      </c>
      <c r="AA910" s="1" t="s">
        <v>74</v>
      </c>
      <c r="AB910" s="1" t="s">
        <v>74</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8005</v>
      </c>
      <c r="AP910" s="1" t="s">
        <v>8006</v>
      </c>
      <c r="AQ910" s="1" t="s">
        <v>74</v>
      </c>
      <c r="AR910" s="1" t="s">
        <v>74</v>
      </c>
      <c r="AS910" s="1" t="s">
        <v>74</v>
      </c>
      <c r="AT910" s="1" t="s">
        <v>7022</v>
      </c>
      <c r="AU910" s="1">
        <v>2025.0</v>
      </c>
      <c r="AV910" s="1" t="s">
        <v>74</v>
      </c>
      <c r="AW910" s="1" t="s">
        <v>74</v>
      </c>
      <c r="AX910" s="1" t="s">
        <v>74</v>
      </c>
      <c r="AY910" s="1" t="s">
        <v>74</v>
      </c>
      <c r="AZ910" s="1" t="s">
        <v>74</v>
      </c>
      <c r="BA910" s="1" t="s">
        <v>74</v>
      </c>
      <c r="BB910" s="1" t="s">
        <v>74</v>
      </c>
      <c r="BC910" s="1" t="s">
        <v>74</v>
      </c>
      <c r="BD910" s="1" t="s">
        <v>74</v>
      </c>
      <c r="BE910" s="1" t="s">
        <v>8007</v>
      </c>
      <c r="BF910" s="2" t="str">
        <f>HYPERLINK("http://dx.doi.org/10.1108/JAL-12-2024-0357","http://dx.doi.org/10.1108/JAL-12-2024-0357")</f>
        <v>http://dx.doi.org/10.1108/JAL-12-2024-0357</v>
      </c>
      <c r="BG910" s="1" t="s">
        <v>74</v>
      </c>
      <c r="BH910" s="1" t="s">
        <v>1150</v>
      </c>
      <c r="BI910" s="1" t="s">
        <v>74</v>
      </c>
      <c r="BJ910" s="1" t="s">
        <v>74</v>
      </c>
      <c r="BK910" s="1" t="s">
        <v>74</v>
      </c>
      <c r="BL910" s="1" t="s">
        <v>214</v>
      </c>
      <c r="BM910" s="1" t="s">
        <v>74</v>
      </c>
      <c r="BN910" s="1" t="s">
        <v>74</v>
      </c>
      <c r="BO910" s="1" t="s">
        <v>74</v>
      </c>
      <c r="BP910" s="1" t="s">
        <v>74</v>
      </c>
      <c r="BQ910" s="1" t="s">
        <v>74</v>
      </c>
      <c r="BR910" s="1" t="s">
        <v>74</v>
      </c>
      <c r="BS910" s="1" t="s">
        <v>8008</v>
      </c>
      <c r="BT910" s="1" t="str">
        <f>HYPERLINK("https%3A%2F%2Fwww.webofscience.com%2Fwos%2Fwoscc%2Ffull-record%2FWOS:001483668600001","View Full Record in Web of Science")</f>
        <v>View Full Record in Web of Science</v>
      </c>
    </row>
    <row r="911" ht="12.75" customHeight="1">
      <c r="A911" s="1" t="s">
        <v>72</v>
      </c>
      <c r="B911" s="1" t="s">
        <v>8009</v>
      </c>
      <c r="C911" s="1" t="s">
        <v>74</v>
      </c>
      <c r="D911" s="1" t="s">
        <v>74</v>
      </c>
      <c r="E911" s="1" t="s">
        <v>74</v>
      </c>
      <c r="F911" s="1" t="s">
        <v>8010</v>
      </c>
      <c r="G911" s="1" t="s">
        <v>74</v>
      </c>
      <c r="H911" s="1" t="s">
        <v>74</v>
      </c>
      <c r="I911" s="1" t="s">
        <v>8011</v>
      </c>
      <c r="J911" s="1" t="s">
        <v>720</v>
      </c>
      <c r="K911" s="1" t="s">
        <v>74</v>
      </c>
      <c r="L911" s="1" t="s">
        <v>74</v>
      </c>
      <c r="M911" s="1" t="s">
        <v>74</v>
      </c>
      <c r="N911" s="1" t="s">
        <v>78</v>
      </c>
      <c r="O911" s="1" t="s">
        <v>74</v>
      </c>
      <c r="P911" s="1" t="s">
        <v>74</v>
      </c>
      <c r="Q911" s="1" t="s">
        <v>74</v>
      </c>
      <c r="R911" s="1" t="s">
        <v>74</v>
      </c>
      <c r="S911" s="1" t="s">
        <v>74</v>
      </c>
      <c r="T911" s="1" t="s">
        <v>8012</v>
      </c>
      <c r="U911" s="1" t="s">
        <v>74</v>
      </c>
      <c r="V911" s="1" t="s">
        <v>8013</v>
      </c>
      <c r="W911" s="1" t="s">
        <v>74</v>
      </c>
      <c r="X911" s="1" t="s">
        <v>74</v>
      </c>
      <c r="Y911" s="1" t="s">
        <v>74</v>
      </c>
      <c r="Z911" s="1" t="s">
        <v>74</v>
      </c>
      <c r="AA911" s="1" t="s">
        <v>74</v>
      </c>
      <c r="AB911" s="1" t="s">
        <v>74</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723</v>
      </c>
      <c r="AP911" s="1" t="s">
        <v>724</v>
      </c>
      <c r="AQ911" s="1" t="s">
        <v>74</v>
      </c>
      <c r="AR911" s="1" t="s">
        <v>74</v>
      </c>
      <c r="AS911" s="1" t="s">
        <v>74</v>
      </c>
      <c r="AT911" s="1" t="s">
        <v>8014</v>
      </c>
      <c r="AU911" s="1">
        <v>2025.0</v>
      </c>
      <c r="AV911" s="1">
        <v>657.0</v>
      </c>
      <c r="AW911" s="1" t="s">
        <v>74</v>
      </c>
      <c r="AX911" s="1" t="s">
        <v>74</v>
      </c>
      <c r="AY911" s="1" t="s">
        <v>74</v>
      </c>
      <c r="AZ911" s="1" t="s">
        <v>74</v>
      </c>
      <c r="BA911" s="1" t="s">
        <v>74</v>
      </c>
      <c r="BB911" s="1" t="s">
        <v>74</v>
      </c>
      <c r="BC911" s="1" t="s">
        <v>74</v>
      </c>
      <c r="BD911" s="1">
        <v>131619.0</v>
      </c>
      <c r="BE911" s="1" t="s">
        <v>8015</v>
      </c>
      <c r="BF911" s="2" t="str">
        <f>HYPERLINK("http://dx.doi.org/10.1016/j.neucom.2025.131619","http://dx.doi.org/10.1016/j.neucom.2025.131619")</f>
        <v>http://dx.doi.org/10.1016/j.neucom.2025.131619</v>
      </c>
      <c r="BG911" s="1" t="s">
        <v>74</v>
      </c>
      <c r="BH911" s="1" t="s">
        <v>738</v>
      </c>
      <c r="BI911" s="1" t="s">
        <v>74</v>
      </c>
      <c r="BJ911" s="1" t="s">
        <v>74</v>
      </c>
      <c r="BK911" s="1" t="s">
        <v>74</v>
      </c>
      <c r="BL911" s="1" t="s">
        <v>174</v>
      </c>
      <c r="BM911" s="1" t="s">
        <v>74</v>
      </c>
      <c r="BN911" s="1" t="s">
        <v>74</v>
      </c>
      <c r="BO911" s="1" t="s">
        <v>74</v>
      </c>
      <c r="BP911" s="1" t="s">
        <v>74</v>
      </c>
      <c r="BQ911" s="1" t="s">
        <v>74</v>
      </c>
      <c r="BR911" s="1" t="s">
        <v>74</v>
      </c>
      <c r="BS911" s="1" t="s">
        <v>8016</v>
      </c>
      <c r="BT911" s="1" t="str">
        <f>HYPERLINK("https%3A%2F%2Fwww.webofscience.com%2Fwos%2Fwoscc%2Ffull-record%2FWOS:001585605700001","View Full Record in Web of Science")</f>
        <v>View Full Record in Web of Science</v>
      </c>
    </row>
    <row r="912" ht="12.75" customHeight="1">
      <c r="A912" s="1" t="s">
        <v>3206</v>
      </c>
      <c r="B912" s="1" t="s">
        <v>8017</v>
      </c>
      <c r="C912" s="1" t="s">
        <v>8018</v>
      </c>
      <c r="D912" s="1" t="s">
        <v>74</v>
      </c>
      <c r="E912" s="1" t="s">
        <v>74</v>
      </c>
      <c r="F912" s="1" t="s">
        <v>8019</v>
      </c>
      <c r="G912" s="1" t="s">
        <v>8018</v>
      </c>
      <c r="H912" s="1" t="s">
        <v>74</v>
      </c>
      <c r="I912" s="1" t="s">
        <v>8020</v>
      </c>
      <c r="J912" s="1" t="s">
        <v>8021</v>
      </c>
      <c r="K912" s="1" t="s">
        <v>8022</v>
      </c>
      <c r="L912" s="1" t="s">
        <v>74</v>
      </c>
      <c r="M912" s="1" t="s">
        <v>74</v>
      </c>
      <c r="N912" s="1" t="s">
        <v>8023</v>
      </c>
      <c r="O912" s="1" t="s">
        <v>74</v>
      </c>
      <c r="P912" s="1" t="s">
        <v>74</v>
      </c>
      <c r="Q912" s="1" t="s">
        <v>74</v>
      </c>
      <c r="R912" s="1" t="s">
        <v>74</v>
      </c>
      <c r="S912" s="1" t="s">
        <v>74</v>
      </c>
      <c r="T912" s="1" t="s">
        <v>74</v>
      </c>
      <c r="U912" s="1" t="s">
        <v>74</v>
      </c>
      <c r="V912" s="1" t="s">
        <v>8024</v>
      </c>
      <c r="W912" s="1" t="s">
        <v>74</v>
      </c>
      <c r="X912" s="1" t="s">
        <v>74</v>
      </c>
      <c r="Y912" s="1" t="s">
        <v>74</v>
      </c>
      <c r="Z912" s="1" t="s">
        <v>74</v>
      </c>
      <c r="AA912" s="1" t="s">
        <v>74</v>
      </c>
      <c r="AB912" s="1" t="s">
        <v>74</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8025</v>
      </c>
      <c r="AP912" s="1" t="s">
        <v>8026</v>
      </c>
      <c r="AQ912" s="1" t="s">
        <v>8027</v>
      </c>
      <c r="AR912" s="1" t="s">
        <v>74</v>
      </c>
      <c r="AS912" s="1" t="s">
        <v>74</v>
      </c>
      <c r="AT912" s="1" t="s">
        <v>74</v>
      </c>
      <c r="AU912" s="1">
        <v>2024.0</v>
      </c>
      <c r="AV912" s="1" t="s">
        <v>74</v>
      </c>
      <c r="AW912" s="1" t="s">
        <v>74</v>
      </c>
      <c r="AX912" s="1" t="s">
        <v>74</v>
      </c>
      <c r="AY912" s="1" t="s">
        <v>74</v>
      </c>
      <c r="AZ912" s="1" t="s">
        <v>74</v>
      </c>
      <c r="BA912" s="1" t="s">
        <v>74</v>
      </c>
      <c r="BB912" s="1">
        <v>436.0</v>
      </c>
      <c r="BC912" s="1">
        <v>458.0</v>
      </c>
      <c r="BD912" s="1" t="s">
        <v>74</v>
      </c>
      <c r="BE912" s="1" t="s">
        <v>8028</v>
      </c>
      <c r="BF912" s="2" t="str">
        <f>HYPERLINK("http://dx.doi.org/10.4018/979-8-3693-2440-0.ch025","http://dx.doi.org/10.4018/979-8-3693-2440-0.ch025")</f>
        <v>http://dx.doi.org/10.4018/979-8-3693-2440-0.ch025</v>
      </c>
      <c r="BG912" s="1" t="s">
        <v>8029</v>
      </c>
      <c r="BH912" s="1" t="s">
        <v>74</v>
      </c>
      <c r="BI912" s="1" t="s">
        <v>74</v>
      </c>
      <c r="BJ912" s="1" t="s">
        <v>74</v>
      </c>
      <c r="BK912" s="1" t="s">
        <v>74</v>
      </c>
      <c r="BL912" s="1" t="s">
        <v>2404</v>
      </c>
      <c r="BM912" s="1" t="s">
        <v>74</v>
      </c>
      <c r="BN912" s="1" t="s">
        <v>74</v>
      </c>
      <c r="BO912" s="1" t="s">
        <v>74</v>
      </c>
      <c r="BP912" s="1" t="s">
        <v>74</v>
      </c>
      <c r="BQ912" s="1" t="s">
        <v>74</v>
      </c>
      <c r="BR912" s="1" t="s">
        <v>74</v>
      </c>
      <c r="BS912" s="1" t="s">
        <v>8030</v>
      </c>
      <c r="BT912" s="1" t="str">
        <f>HYPERLINK("https%3A%2F%2Fwww.webofscience.com%2Fwos%2Fwoscc%2Ffull-record%2FWOS:001271037500027","View Full Record in Web of Science")</f>
        <v>View Full Record in Web of Science</v>
      </c>
    </row>
    <row r="913" ht="12.75" customHeight="1">
      <c r="A913" s="1" t="s">
        <v>72</v>
      </c>
      <c r="B913" s="1" t="s">
        <v>8031</v>
      </c>
      <c r="C913" s="1" t="s">
        <v>74</v>
      </c>
      <c r="D913" s="1" t="s">
        <v>74</v>
      </c>
      <c r="E913" s="1" t="s">
        <v>74</v>
      </c>
      <c r="F913" s="1" t="s">
        <v>8032</v>
      </c>
      <c r="G913" s="1" t="s">
        <v>74</v>
      </c>
      <c r="H913" s="1" t="s">
        <v>74</v>
      </c>
      <c r="I913" s="1" t="s">
        <v>8033</v>
      </c>
      <c r="J913" s="1" t="s">
        <v>8034</v>
      </c>
      <c r="K913" s="1" t="s">
        <v>74</v>
      </c>
      <c r="L913" s="1" t="s">
        <v>74</v>
      </c>
      <c r="M913" s="1" t="s">
        <v>74</v>
      </c>
      <c r="N913" s="1" t="s">
        <v>78</v>
      </c>
      <c r="O913" s="1" t="s">
        <v>74</v>
      </c>
      <c r="P913" s="1" t="s">
        <v>74</v>
      </c>
      <c r="Q913" s="1" t="s">
        <v>74</v>
      </c>
      <c r="R913" s="1" t="s">
        <v>74</v>
      </c>
      <c r="S913" s="1" t="s">
        <v>74</v>
      </c>
      <c r="T913" s="1" t="s">
        <v>8035</v>
      </c>
      <c r="U913" s="1" t="s">
        <v>8036</v>
      </c>
      <c r="V913" s="1" t="s">
        <v>8037</v>
      </c>
      <c r="W913" s="1" t="s">
        <v>74</v>
      </c>
      <c r="X913" s="1" t="s">
        <v>74</v>
      </c>
      <c r="Y913" s="1" t="s">
        <v>74</v>
      </c>
      <c r="Z913" s="1" t="s">
        <v>74</v>
      </c>
      <c r="AA913" s="1" t="s">
        <v>74</v>
      </c>
      <c r="AB913" s="1" t="s">
        <v>74</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8038</v>
      </c>
      <c r="AP913" s="1" t="s">
        <v>8039</v>
      </c>
      <c r="AQ913" s="1" t="s">
        <v>74</v>
      </c>
      <c r="AR913" s="1" t="s">
        <v>74</v>
      </c>
      <c r="AS913" s="1" t="s">
        <v>74</v>
      </c>
      <c r="AT913" s="1" t="s">
        <v>200</v>
      </c>
      <c r="AU913" s="1">
        <v>2025.0</v>
      </c>
      <c r="AV913" s="1">
        <v>26.0</v>
      </c>
      <c r="AW913" s="1">
        <v>12.0</v>
      </c>
      <c r="AX913" s="1" t="s">
        <v>74</v>
      </c>
      <c r="AY913" s="1" t="s">
        <v>74</v>
      </c>
      <c r="AZ913" s="1" t="s">
        <v>707</v>
      </c>
      <c r="BA913" s="1" t="s">
        <v>74</v>
      </c>
      <c r="BB913" s="1">
        <v>2511.0</v>
      </c>
      <c r="BC913" s="1">
        <v>2528.0</v>
      </c>
      <c r="BD913" s="1" t="s">
        <v>74</v>
      </c>
      <c r="BE913" s="1" t="s">
        <v>8040</v>
      </c>
      <c r="BF913" s="2" t="str">
        <f>HYPERLINK("http://dx.doi.org/10.1631/FITEE.2500100","http://dx.doi.org/10.1631/FITEE.2500100")</f>
        <v>http://dx.doi.org/10.1631/FITEE.2500100</v>
      </c>
      <c r="BG913" s="1" t="s">
        <v>74</v>
      </c>
      <c r="BH913" s="1" t="s">
        <v>605</v>
      </c>
      <c r="BI913" s="1" t="s">
        <v>74</v>
      </c>
      <c r="BJ913" s="1" t="s">
        <v>74</v>
      </c>
      <c r="BK913" s="1" t="s">
        <v>74</v>
      </c>
      <c r="BL913" s="1" t="s">
        <v>98</v>
      </c>
      <c r="BM913" s="1" t="s">
        <v>74</v>
      </c>
      <c r="BN913" s="1" t="s">
        <v>74</v>
      </c>
      <c r="BO913" s="1" t="s">
        <v>74</v>
      </c>
      <c r="BP913" s="1" t="s">
        <v>74</v>
      </c>
      <c r="BQ913" s="1" t="s">
        <v>74</v>
      </c>
      <c r="BR913" s="1" t="s">
        <v>74</v>
      </c>
      <c r="BS913" s="1" t="s">
        <v>8041</v>
      </c>
      <c r="BT913" s="1" t="str">
        <f>HYPERLINK("https%3A%2F%2Fwww.webofscience.com%2Fwos%2Fwoscc%2Ffull-record%2FWOS:001636993700001","View Full Record in Web of Science")</f>
        <v>View Full Record in Web of Science</v>
      </c>
    </row>
    <row r="914" ht="12.75" customHeight="1">
      <c r="A914" s="1" t="s">
        <v>72</v>
      </c>
      <c r="B914" s="1" t="s">
        <v>8042</v>
      </c>
      <c r="C914" s="1" t="s">
        <v>74</v>
      </c>
      <c r="D914" s="1" t="s">
        <v>74</v>
      </c>
      <c r="E914" s="1" t="s">
        <v>74</v>
      </c>
      <c r="F914" s="1" t="s">
        <v>8043</v>
      </c>
      <c r="G914" s="1" t="s">
        <v>74</v>
      </c>
      <c r="H914" s="1" t="s">
        <v>74</v>
      </c>
      <c r="I914" s="1" t="s">
        <v>8044</v>
      </c>
      <c r="J914" s="1" t="s">
        <v>5400</v>
      </c>
      <c r="K914" s="1" t="s">
        <v>74</v>
      </c>
      <c r="L914" s="1" t="s">
        <v>74</v>
      </c>
      <c r="M914" s="1" t="s">
        <v>74</v>
      </c>
      <c r="N914" s="1" t="s">
        <v>78</v>
      </c>
      <c r="O914" s="1" t="s">
        <v>74</v>
      </c>
      <c r="P914" s="1" t="s">
        <v>74</v>
      </c>
      <c r="Q914" s="1" t="s">
        <v>74</v>
      </c>
      <c r="R914" s="1" t="s">
        <v>74</v>
      </c>
      <c r="S914" s="1" t="s">
        <v>74</v>
      </c>
      <c r="T914" s="1" t="s">
        <v>8045</v>
      </c>
      <c r="U914" s="1" t="s">
        <v>6133</v>
      </c>
      <c r="V914" s="1" t="s">
        <v>8046</v>
      </c>
      <c r="W914" s="1" t="s">
        <v>74</v>
      </c>
      <c r="X914" s="1" t="s">
        <v>74</v>
      </c>
      <c r="Y914" s="1" t="s">
        <v>74</v>
      </c>
      <c r="Z914" s="1" t="s">
        <v>74</v>
      </c>
      <c r="AA914" s="1" t="s">
        <v>74</v>
      </c>
      <c r="AB914" s="1" t="s">
        <v>74</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5403</v>
      </c>
      <c r="AP914" s="1" t="s">
        <v>5404</v>
      </c>
      <c r="AQ914" s="1" t="s">
        <v>74</v>
      </c>
      <c r="AR914" s="1" t="s">
        <v>74</v>
      </c>
      <c r="AS914" s="1" t="s">
        <v>74</v>
      </c>
      <c r="AT914" s="1" t="s">
        <v>262</v>
      </c>
      <c r="AU914" s="1">
        <v>2025.0</v>
      </c>
      <c r="AV914" s="1">
        <v>39.0</v>
      </c>
      <c r="AW914" s="1">
        <v>5.0</v>
      </c>
      <c r="AX914" s="1" t="s">
        <v>74</v>
      </c>
      <c r="AY914" s="1" t="s">
        <v>74</v>
      </c>
      <c r="AZ914" s="1" t="s">
        <v>74</v>
      </c>
      <c r="BA914" s="1" t="s">
        <v>74</v>
      </c>
      <c r="BB914" s="1">
        <v>66.0</v>
      </c>
      <c r="BC914" s="1">
        <v>73.0</v>
      </c>
      <c r="BD914" s="1" t="s">
        <v>74</v>
      </c>
      <c r="BE914" s="1" t="s">
        <v>8047</v>
      </c>
      <c r="BF914" s="2" t="str">
        <f>HYPERLINK("http://dx.doi.org/10.1109/MNET.2025.3579532","http://dx.doi.org/10.1109/MNET.2025.3579532")</f>
        <v>http://dx.doi.org/10.1109/MNET.2025.3579532</v>
      </c>
      <c r="BG914" s="1" t="s">
        <v>74</v>
      </c>
      <c r="BH914" s="1" t="s">
        <v>74</v>
      </c>
      <c r="BI914" s="1" t="s">
        <v>74</v>
      </c>
      <c r="BJ914" s="1" t="s">
        <v>74</v>
      </c>
      <c r="BK914" s="1" t="s">
        <v>74</v>
      </c>
      <c r="BL914" s="1" t="s">
        <v>152</v>
      </c>
      <c r="BM914" s="1" t="s">
        <v>74</v>
      </c>
      <c r="BN914" s="1" t="s">
        <v>74</v>
      </c>
      <c r="BO914" s="1" t="s">
        <v>74</v>
      </c>
      <c r="BP914" s="1" t="s">
        <v>74</v>
      </c>
      <c r="BQ914" s="1" t="s">
        <v>74</v>
      </c>
      <c r="BR914" s="1" t="s">
        <v>74</v>
      </c>
      <c r="BS914" s="1" t="s">
        <v>8048</v>
      </c>
      <c r="BT914" s="1" t="str">
        <f>HYPERLINK("https%3A%2F%2Fwww.webofscience.com%2Fwos%2Fwoscc%2Ffull-record%2FWOS:001575784600010","View Full Record in Web of Science")</f>
        <v>View Full Record in Web of Science</v>
      </c>
    </row>
    <row r="915" ht="12.75" customHeight="1">
      <c r="A915" s="1" t="s">
        <v>72</v>
      </c>
      <c r="B915" s="1" t="s">
        <v>8049</v>
      </c>
      <c r="C915" s="1" t="s">
        <v>74</v>
      </c>
      <c r="D915" s="1" t="s">
        <v>74</v>
      </c>
      <c r="E915" s="1" t="s">
        <v>74</v>
      </c>
      <c r="F915" s="1" t="s">
        <v>8050</v>
      </c>
      <c r="G915" s="1" t="s">
        <v>74</v>
      </c>
      <c r="H915" s="1" t="s">
        <v>74</v>
      </c>
      <c r="I915" s="1" t="s">
        <v>8051</v>
      </c>
      <c r="J915" s="1" t="s">
        <v>8052</v>
      </c>
      <c r="K915" s="1" t="s">
        <v>74</v>
      </c>
      <c r="L915" s="1" t="s">
        <v>74</v>
      </c>
      <c r="M915" s="1" t="s">
        <v>74</v>
      </c>
      <c r="N915" s="1" t="s">
        <v>78</v>
      </c>
      <c r="O915" s="1" t="s">
        <v>74</v>
      </c>
      <c r="P915" s="1" t="s">
        <v>74</v>
      </c>
      <c r="Q915" s="1" t="s">
        <v>74</v>
      </c>
      <c r="R915" s="1" t="s">
        <v>74</v>
      </c>
      <c r="S915" s="1" t="s">
        <v>74</v>
      </c>
      <c r="T915" s="1" t="s">
        <v>74</v>
      </c>
      <c r="U915" s="1" t="s">
        <v>74</v>
      </c>
      <c r="V915" s="1" t="s">
        <v>8053</v>
      </c>
      <c r="W915" s="1" t="s">
        <v>74</v>
      </c>
      <c r="X915" s="1" t="s">
        <v>74</v>
      </c>
      <c r="Y915" s="1" t="s">
        <v>74</v>
      </c>
      <c r="Z915" s="1" t="s">
        <v>74</v>
      </c>
      <c r="AA915" s="1" t="s">
        <v>74</v>
      </c>
      <c r="AB915" s="1" t="s">
        <v>74</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8054</v>
      </c>
      <c r="AP915" s="1" t="s">
        <v>8055</v>
      </c>
      <c r="AQ915" s="1" t="s">
        <v>74</v>
      </c>
      <c r="AR915" s="1" t="s">
        <v>74</v>
      </c>
      <c r="AS915" s="1" t="s">
        <v>74</v>
      </c>
      <c r="AT915" s="1" t="s">
        <v>200</v>
      </c>
      <c r="AU915" s="1">
        <v>2022.0</v>
      </c>
      <c r="AV915" s="1">
        <v>48.0</v>
      </c>
      <c r="AW915" s="1">
        <v>4.0</v>
      </c>
      <c r="AX915" s="1" t="s">
        <v>74</v>
      </c>
      <c r="AY915" s="1" t="s">
        <v>74</v>
      </c>
      <c r="AZ915" s="1" t="s">
        <v>74</v>
      </c>
      <c r="BA915" s="1" t="s">
        <v>74</v>
      </c>
      <c r="BB915" s="1">
        <v>887.0</v>
      </c>
      <c r="BC915" s="1">
        <v>906.0</v>
      </c>
      <c r="BD915" s="1" t="s">
        <v>74</v>
      </c>
      <c r="BE915" s="1" t="s">
        <v>8056</v>
      </c>
      <c r="BF915" s="2" t="str">
        <f>HYPERLINK("http://dx.doi.org/10.1162/coli_a_00451","http://dx.doi.org/10.1162/coli_a_00451")</f>
        <v>http://dx.doi.org/10.1162/coli_a_00451</v>
      </c>
      <c r="BG915" s="1" t="s">
        <v>74</v>
      </c>
      <c r="BH915" s="1" t="s">
        <v>74</v>
      </c>
      <c r="BI915" s="1" t="s">
        <v>74</v>
      </c>
      <c r="BJ915" s="1" t="s">
        <v>74</v>
      </c>
      <c r="BK915" s="1" t="s">
        <v>74</v>
      </c>
      <c r="BL915" s="1" t="s">
        <v>3854</v>
      </c>
      <c r="BM915" s="1" t="s">
        <v>74</v>
      </c>
      <c r="BN915" s="1" t="s">
        <v>74</v>
      </c>
      <c r="BO915" s="1" t="s">
        <v>163</v>
      </c>
      <c r="BP915" s="1" t="s">
        <v>74</v>
      </c>
      <c r="BQ915" s="1" t="s">
        <v>74</v>
      </c>
      <c r="BR915" s="1" t="s">
        <v>74</v>
      </c>
      <c r="BS915" s="1" t="s">
        <v>8057</v>
      </c>
      <c r="BT915" s="1" t="str">
        <f>HYPERLINK("https%3A%2F%2Fwww.webofscience.com%2Fwos%2Fwoscc%2Ffull-record%2FWOS:000995278700006","View Full Record in Web of Science")</f>
        <v>View Full Record in Web of Science</v>
      </c>
    </row>
    <row r="916" ht="12.75" customHeight="1">
      <c r="A916" s="1" t="s">
        <v>72</v>
      </c>
      <c r="B916" s="1" t="s">
        <v>8058</v>
      </c>
      <c r="C916" s="1" t="s">
        <v>74</v>
      </c>
      <c r="D916" s="1" t="s">
        <v>74</v>
      </c>
      <c r="E916" s="1" t="s">
        <v>74</v>
      </c>
      <c r="F916" s="1" t="s">
        <v>8059</v>
      </c>
      <c r="G916" s="1" t="s">
        <v>74</v>
      </c>
      <c r="H916" s="1" t="s">
        <v>74</v>
      </c>
      <c r="I916" s="1" t="s">
        <v>8060</v>
      </c>
      <c r="J916" s="1" t="s">
        <v>1570</v>
      </c>
      <c r="K916" s="1" t="s">
        <v>74</v>
      </c>
      <c r="L916" s="1" t="s">
        <v>74</v>
      </c>
      <c r="M916" s="1" t="s">
        <v>74</v>
      </c>
      <c r="N916" s="1" t="s">
        <v>78</v>
      </c>
      <c r="O916" s="1" t="s">
        <v>74</v>
      </c>
      <c r="P916" s="1" t="s">
        <v>74</v>
      </c>
      <c r="Q916" s="1" t="s">
        <v>74</v>
      </c>
      <c r="R916" s="1" t="s">
        <v>74</v>
      </c>
      <c r="S916" s="1" t="s">
        <v>74</v>
      </c>
      <c r="T916" s="1" t="s">
        <v>8061</v>
      </c>
      <c r="U916" s="1" t="s">
        <v>8062</v>
      </c>
      <c r="V916" s="1" t="s">
        <v>8063</v>
      </c>
      <c r="W916" s="1" t="s">
        <v>74</v>
      </c>
      <c r="X916" s="1" t="s">
        <v>74</v>
      </c>
      <c r="Y916" s="1" t="s">
        <v>74</v>
      </c>
      <c r="Z916" s="1" t="s">
        <v>74</v>
      </c>
      <c r="AA916" s="1" t="s">
        <v>74</v>
      </c>
      <c r="AB916" s="1" t="s">
        <v>74</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1573</v>
      </c>
      <c r="AP916" s="1" t="s">
        <v>1574</v>
      </c>
      <c r="AQ916" s="1" t="s">
        <v>74</v>
      </c>
      <c r="AR916" s="1" t="s">
        <v>74</v>
      </c>
      <c r="AS916" s="1" t="s">
        <v>74</v>
      </c>
      <c r="AT916" s="1" t="s">
        <v>736</v>
      </c>
      <c r="AU916" s="1">
        <v>2025.0</v>
      </c>
      <c r="AV916" s="1">
        <v>31.0</v>
      </c>
      <c r="AW916" s="1">
        <v>1.0</v>
      </c>
      <c r="AX916" s="1" t="s">
        <v>74</v>
      </c>
      <c r="AY916" s="1" t="s">
        <v>74</v>
      </c>
      <c r="AZ916" s="1" t="s">
        <v>74</v>
      </c>
      <c r="BA916" s="1" t="s">
        <v>74</v>
      </c>
      <c r="BB916" s="1">
        <v>470.0</v>
      </c>
      <c r="BC916" s="1">
        <v>480.0</v>
      </c>
      <c r="BD916" s="1" t="s">
        <v>74</v>
      </c>
      <c r="BE916" s="1" t="s">
        <v>8064</v>
      </c>
      <c r="BF916" s="2" t="str">
        <f>HYPERLINK("http://dx.doi.org/10.1109/TVCG.2024.3456215","http://dx.doi.org/10.1109/TVCG.2024.3456215")</f>
        <v>http://dx.doi.org/10.1109/TVCG.2024.3456215</v>
      </c>
      <c r="BG916" s="1" t="s">
        <v>74</v>
      </c>
      <c r="BH916" s="1" t="s">
        <v>74</v>
      </c>
      <c r="BI916" s="1" t="s">
        <v>74</v>
      </c>
      <c r="BJ916" s="1" t="s">
        <v>74</v>
      </c>
      <c r="BK916" s="1" t="s">
        <v>74</v>
      </c>
      <c r="BL916" s="1" t="s">
        <v>174</v>
      </c>
      <c r="BM916" s="1" t="s">
        <v>74</v>
      </c>
      <c r="BN916" s="1" t="s">
        <v>74</v>
      </c>
      <c r="BO916" s="1" t="s">
        <v>74</v>
      </c>
      <c r="BP916" s="1" t="s">
        <v>74</v>
      </c>
      <c r="BQ916" s="1" t="s">
        <v>74</v>
      </c>
      <c r="BR916" s="1" t="s">
        <v>74</v>
      </c>
      <c r="BS916" s="1" t="s">
        <v>8065</v>
      </c>
      <c r="BT916" s="1" t="str">
        <f>HYPERLINK("https%3A%2F%2Fwww.webofscience.com%2Fwos%2Fwoscc%2Ffull-record%2FWOS:001449829900040","View Full Record in Web of Science")</f>
        <v>View Full Record in Web of Science</v>
      </c>
    </row>
    <row r="917" ht="12.75" customHeight="1">
      <c r="A917" s="1" t="s">
        <v>72</v>
      </c>
      <c r="B917" s="1" t="s">
        <v>8066</v>
      </c>
      <c r="C917" s="1" t="s">
        <v>74</v>
      </c>
      <c r="D917" s="1" t="s">
        <v>74</v>
      </c>
      <c r="E917" s="1" t="s">
        <v>74</v>
      </c>
      <c r="F917" s="1" t="s">
        <v>8067</v>
      </c>
      <c r="G917" s="1" t="s">
        <v>74</v>
      </c>
      <c r="H917" s="1" t="s">
        <v>74</v>
      </c>
      <c r="I917" s="1" t="s">
        <v>8068</v>
      </c>
      <c r="J917" s="1" t="s">
        <v>2768</v>
      </c>
      <c r="K917" s="1" t="s">
        <v>74</v>
      </c>
      <c r="L917" s="1" t="s">
        <v>74</v>
      </c>
      <c r="M917" s="1" t="s">
        <v>74</v>
      </c>
      <c r="N917" s="1" t="s">
        <v>78</v>
      </c>
      <c r="O917" s="1" t="s">
        <v>74</v>
      </c>
      <c r="P917" s="1" t="s">
        <v>74</v>
      </c>
      <c r="Q917" s="1" t="s">
        <v>74</v>
      </c>
      <c r="R917" s="1" t="s">
        <v>74</v>
      </c>
      <c r="S917" s="1" t="s">
        <v>74</v>
      </c>
      <c r="T917" s="1" t="s">
        <v>8069</v>
      </c>
      <c r="U917" s="1" t="s">
        <v>7792</v>
      </c>
      <c r="V917" s="1" t="s">
        <v>8070</v>
      </c>
      <c r="W917" s="1" t="s">
        <v>74</v>
      </c>
      <c r="X917" s="1" t="s">
        <v>74</v>
      </c>
      <c r="Y917" s="1" t="s">
        <v>74</v>
      </c>
      <c r="Z917" s="1" t="s">
        <v>74</v>
      </c>
      <c r="AA917" s="1" t="s">
        <v>74</v>
      </c>
      <c r="AB917" s="1" t="s">
        <v>74</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2772</v>
      </c>
      <c r="AP917" s="1" t="s">
        <v>2773</v>
      </c>
      <c r="AQ917" s="1" t="s">
        <v>74</v>
      </c>
      <c r="AR917" s="1" t="s">
        <v>74</v>
      </c>
      <c r="AS917" s="1" t="s">
        <v>74</v>
      </c>
      <c r="AT917" s="1" t="s">
        <v>736</v>
      </c>
      <c r="AU917" s="1">
        <v>2026.0</v>
      </c>
      <c r="AV917" s="1">
        <v>231.0</v>
      </c>
      <c r="AW917" s="1" t="s">
        <v>74</v>
      </c>
      <c r="AX917" s="1" t="s">
        <v>74</v>
      </c>
      <c r="AY917" s="1" t="s">
        <v>74</v>
      </c>
      <c r="AZ917" s="1" t="s">
        <v>74</v>
      </c>
      <c r="BA917" s="1" t="s">
        <v>74</v>
      </c>
      <c r="BB917" s="1" t="s">
        <v>74</v>
      </c>
      <c r="BC917" s="1" t="s">
        <v>74</v>
      </c>
      <c r="BD917" s="1">
        <v>112614.0</v>
      </c>
      <c r="BE917" s="1" t="s">
        <v>8071</v>
      </c>
      <c r="BF917" s="2" t="str">
        <f>HYPERLINK("http://dx.doi.org/10.1016/j.jss.2025.112614","http://dx.doi.org/10.1016/j.jss.2025.112614")</f>
        <v>http://dx.doi.org/10.1016/j.jss.2025.112614</v>
      </c>
      <c r="BG917" s="1" t="s">
        <v>74</v>
      </c>
      <c r="BH917" s="1" t="s">
        <v>738</v>
      </c>
      <c r="BI917" s="1" t="s">
        <v>74</v>
      </c>
      <c r="BJ917" s="1" t="s">
        <v>74</v>
      </c>
      <c r="BK917" s="1" t="s">
        <v>74</v>
      </c>
      <c r="BL917" s="1" t="s">
        <v>174</v>
      </c>
      <c r="BM917" s="1" t="s">
        <v>74</v>
      </c>
      <c r="BN917" s="1" t="s">
        <v>74</v>
      </c>
      <c r="BO917" s="1" t="s">
        <v>114</v>
      </c>
      <c r="BP917" s="1" t="s">
        <v>74</v>
      </c>
      <c r="BQ917" s="1" t="s">
        <v>74</v>
      </c>
      <c r="BR917" s="1" t="s">
        <v>74</v>
      </c>
      <c r="BS917" s="1" t="s">
        <v>8072</v>
      </c>
      <c r="BT917" s="1" t="str">
        <f>HYPERLINK("https%3A%2F%2Fwww.webofscience.com%2Fwos%2Fwoscc%2Ffull-record%2FWOS:001572499600002","View Full Record in Web of Science")</f>
        <v>View Full Record in Web of Science</v>
      </c>
    </row>
    <row r="918" ht="12.75" customHeight="1">
      <c r="A918" s="1" t="s">
        <v>72</v>
      </c>
      <c r="B918" s="1" t="s">
        <v>8073</v>
      </c>
      <c r="C918" s="1" t="s">
        <v>74</v>
      </c>
      <c r="D918" s="1" t="s">
        <v>74</v>
      </c>
      <c r="E918" s="1" t="s">
        <v>74</v>
      </c>
      <c r="F918" s="1" t="s">
        <v>8074</v>
      </c>
      <c r="G918" s="1" t="s">
        <v>74</v>
      </c>
      <c r="H918" s="1" t="s">
        <v>74</v>
      </c>
      <c r="I918" s="1" t="s">
        <v>8075</v>
      </c>
      <c r="J918" s="1" t="s">
        <v>8076</v>
      </c>
      <c r="K918" s="1" t="s">
        <v>74</v>
      </c>
      <c r="L918" s="1" t="s">
        <v>74</v>
      </c>
      <c r="M918" s="1" t="s">
        <v>74</v>
      </c>
      <c r="N918" s="1" t="s">
        <v>78</v>
      </c>
      <c r="O918" s="1" t="s">
        <v>74</v>
      </c>
      <c r="P918" s="1" t="s">
        <v>74</v>
      </c>
      <c r="Q918" s="1" t="s">
        <v>74</v>
      </c>
      <c r="R918" s="1" t="s">
        <v>74</v>
      </c>
      <c r="S918" s="1" t="s">
        <v>74</v>
      </c>
      <c r="T918" s="1" t="s">
        <v>8077</v>
      </c>
      <c r="U918" s="1" t="s">
        <v>74</v>
      </c>
      <c r="V918" s="1" t="s">
        <v>8078</v>
      </c>
      <c r="W918" s="1" t="s">
        <v>74</v>
      </c>
      <c r="X918" s="1" t="s">
        <v>74</v>
      </c>
      <c r="Y918" s="1" t="s">
        <v>74</v>
      </c>
      <c r="Z918" s="1" t="s">
        <v>74</v>
      </c>
      <c r="AA918" s="1" t="s">
        <v>74</v>
      </c>
      <c r="AB918" s="1" t="s">
        <v>74</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8079</v>
      </c>
      <c r="AP918" s="1" t="s">
        <v>8080</v>
      </c>
      <c r="AQ918" s="1" t="s">
        <v>74</v>
      </c>
      <c r="AR918" s="1" t="s">
        <v>74</v>
      </c>
      <c r="AS918" s="1" t="s">
        <v>74</v>
      </c>
      <c r="AT918" s="1" t="s">
        <v>688</v>
      </c>
      <c r="AU918" s="1">
        <v>2025.0</v>
      </c>
      <c r="AV918" s="1" t="s">
        <v>74</v>
      </c>
      <c r="AW918" s="1">
        <v>74.0</v>
      </c>
      <c r="AX918" s="1" t="s">
        <v>74</v>
      </c>
      <c r="AY918" s="1" t="s">
        <v>74</v>
      </c>
      <c r="AZ918" s="1" t="s">
        <v>74</v>
      </c>
      <c r="BA918" s="1" t="s">
        <v>74</v>
      </c>
      <c r="BB918" s="1">
        <v>127.0</v>
      </c>
      <c r="BC918" s="1">
        <v>138.0</v>
      </c>
      <c r="BD918" s="1" t="s">
        <v>74</v>
      </c>
      <c r="BE918" s="1" t="s">
        <v>8081</v>
      </c>
      <c r="BF918" s="2" t="str">
        <f>HYPERLINK("http://dx.doi.org/10.26342/2025-74-9","http://dx.doi.org/10.26342/2025-74-9")</f>
        <v>http://dx.doi.org/10.26342/2025-74-9</v>
      </c>
      <c r="BG918" s="1" t="s">
        <v>74</v>
      </c>
      <c r="BH918" s="1" t="s">
        <v>74</v>
      </c>
      <c r="BI918" s="1" t="s">
        <v>74</v>
      </c>
      <c r="BJ918" s="1" t="s">
        <v>74</v>
      </c>
      <c r="BK918" s="1" t="s">
        <v>74</v>
      </c>
      <c r="BL918" s="1" t="s">
        <v>3854</v>
      </c>
      <c r="BM918" s="1" t="s">
        <v>74</v>
      </c>
      <c r="BN918" s="1" t="s">
        <v>74</v>
      </c>
      <c r="BO918" s="1" t="s">
        <v>74</v>
      </c>
      <c r="BP918" s="1" t="s">
        <v>74</v>
      </c>
      <c r="BQ918" s="1" t="s">
        <v>74</v>
      </c>
      <c r="BR918" s="1" t="s">
        <v>74</v>
      </c>
      <c r="BS918" s="1" t="s">
        <v>8082</v>
      </c>
      <c r="BT918" s="1" t="str">
        <f>HYPERLINK("https%3A%2F%2Fwww.webofscience.com%2Fwos%2Fwoscc%2Ffull-record%2FWOS:001460645300009","View Full Record in Web of Science")</f>
        <v>View Full Record in Web of Science</v>
      </c>
    </row>
    <row r="919" ht="12.75" customHeight="1">
      <c r="A919" s="1" t="s">
        <v>72</v>
      </c>
      <c r="B919" s="1" t="s">
        <v>8083</v>
      </c>
      <c r="C919" s="1" t="s">
        <v>74</v>
      </c>
      <c r="D919" s="1" t="s">
        <v>74</v>
      </c>
      <c r="E919" s="1" t="s">
        <v>74</v>
      </c>
      <c r="F919" s="1" t="s">
        <v>8084</v>
      </c>
      <c r="G919" s="1" t="s">
        <v>74</v>
      </c>
      <c r="H919" s="1" t="s">
        <v>74</v>
      </c>
      <c r="I919" s="1" t="s">
        <v>8085</v>
      </c>
      <c r="J919" s="1" t="s">
        <v>8086</v>
      </c>
      <c r="K919" s="1" t="s">
        <v>74</v>
      </c>
      <c r="L919" s="1" t="s">
        <v>74</v>
      </c>
      <c r="M919" s="1" t="s">
        <v>74</v>
      </c>
      <c r="N919" s="1" t="s">
        <v>78</v>
      </c>
      <c r="O919" s="1" t="s">
        <v>74</v>
      </c>
      <c r="P919" s="1" t="s">
        <v>74</v>
      </c>
      <c r="Q919" s="1" t="s">
        <v>74</v>
      </c>
      <c r="R919" s="1" t="s">
        <v>74</v>
      </c>
      <c r="S919" s="1" t="s">
        <v>74</v>
      </c>
      <c r="T919" s="1" t="s">
        <v>8087</v>
      </c>
      <c r="U919" s="1" t="s">
        <v>74</v>
      </c>
      <c r="V919" s="1" t="s">
        <v>8088</v>
      </c>
      <c r="W919" s="1" t="s">
        <v>74</v>
      </c>
      <c r="X919" s="1" t="s">
        <v>74</v>
      </c>
      <c r="Y919" s="1" t="s">
        <v>74</v>
      </c>
      <c r="Z919" s="1" t="s">
        <v>74</v>
      </c>
      <c r="AA919" s="1" t="s">
        <v>74</v>
      </c>
      <c r="AB919" s="1" t="s">
        <v>74</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8089</v>
      </c>
      <c r="AP919" s="1" t="s">
        <v>8090</v>
      </c>
      <c r="AQ919" s="1" t="s">
        <v>74</v>
      </c>
      <c r="AR919" s="1" t="s">
        <v>74</v>
      </c>
      <c r="AS919" s="1" t="s">
        <v>74</v>
      </c>
      <c r="AT919" s="1" t="s">
        <v>225</v>
      </c>
      <c r="AU919" s="1">
        <v>2023.0</v>
      </c>
      <c r="AV919" s="1">
        <v>126.0</v>
      </c>
      <c r="AW919" s="1" t="s">
        <v>74</v>
      </c>
      <c r="AX919" s="1" t="s">
        <v>74</v>
      </c>
      <c r="AY919" s="1" t="s">
        <v>74</v>
      </c>
      <c r="AZ919" s="1" t="s">
        <v>74</v>
      </c>
      <c r="BA919" s="1" t="s">
        <v>74</v>
      </c>
      <c r="BB919" s="1" t="s">
        <v>74</v>
      </c>
      <c r="BC919" s="1" t="s">
        <v>74</v>
      </c>
      <c r="BD919" s="1">
        <v>102754.0</v>
      </c>
      <c r="BE919" s="1" t="s">
        <v>8091</v>
      </c>
      <c r="BF919" s="2" t="str">
        <f>HYPERLINK("http://dx.doi.org/10.1016/j.simpat.2023.102754","http://dx.doi.org/10.1016/j.simpat.2023.102754")</f>
        <v>http://dx.doi.org/10.1016/j.simpat.2023.102754</v>
      </c>
      <c r="BG919" s="1" t="s">
        <v>74</v>
      </c>
      <c r="BH919" s="1" t="s">
        <v>5015</v>
      </c>
      <c r="BI919" s="1" t="s">
        <v>74</v>
      </c>
      <c r="BJ919" s="1" t="s">
        <v>74</v>
      </c>
      <c r="BK919" s="1" t="s">
        <v>74</v>
      </c>
      <c r="BL919" s="1" t="s">
        <v>174</v>
      </c>
      <c r="BM919" s="1" t="s">
        <v>74</v>
      </c>
      <c r="BN919" s="1" t="s">
        <v>74</v>
      </c>
      <c r="BO919" s="1" t="s">
        <v>74</v>
      </c>
      <c r="BP919" s="1" t="s">
        <v>74</v>
      </c>
      <c r="BQ919" s="1" t="s">
        <v>74</v>
      </c>
      <c r="BR919" s="1" t="s">
        <v>74</v>
      </c>
      <c r="BS919" s="1" t="s">
        <v>8092</v>
      </c>
      <c r="BT919" s="1" t="str">
        <f>HYPERLINK("https%3A%2F%2Fwww.webofscience.com%2Fwos%2Fwoscc%2Ffull-record%2FWOS:000981855300001","View Full Record in Web of Science")</f>
        <v>View Full Record in Web of Science</v>
      </c>
    </row>
    <row r="920" ht="12.75" customHeight="1">
      <c r="A920" s="1" t="s">
        <v>72</v>
      </c>
      <c r="B920" s="1" t="s">
        <v>8093</v>
      </c>
      <c r="C920" s="1" t="s">
        <v>74</v>
      </c>
      <c r="D920" s="1" t="s">
        <v>74</v>
      </c>
      <c r="E920" s="1" t="s">
        <v>74</v>
      </c>
      <c r="F920" s="1" t="s">
        <v>8094</v>
      </c>
      <c r="G920" s="1" t="s">
        <v>74</v>
      </c>
      <c r="H920" s="1" t="s">
        <v>74</v>
      </c>
      <c r="I920" s="1" t="s">
        <v>8095</v>
      </c>
      <c r="J920" s="1" t="s">
        <v>3358</v>
      </c>
      <c r="K920" s="1" t="s">
        <v>74</v>
      </c>
      <c r="L920" s="1" t="s">
        <v>74</v>
      </c>
      <c r="M920" s="1" t="s">
        <v>74</v>
      </c>
      <c r="N920" s="1" t="s">
        <v>78</v>
      </c>
      <c r="O920" s="1" t="s">
        <v>74</v>
      </c>
      <c r="P920" s="1" t="s">
        <v>74</v>
      </c>
      <c r="Q920" s="1" t="s">
        <v>74</v>
      </c>
      <c r="R920" s="1" t="s">
        <v>74</v>
      </c>
      <c r="S920" s="1" t="s">
        <v>74</v>
      </c>
      <c r="T920" s="1" t="s">
        <v>8096</v>
      </c>
      <c r="U920" s="1" t="s">
        <v>8097</v>
      </c>
      <c r="V920" s="1" t="s">
        <v>8098</v>
      </c>
      <c r="W920" s="1" t="s">
        <v>74</v>
      </c>
      <c r="X920" s="1" t="s">
        <v>74</v>
      </c>
      <c r="Y920" s="1" t="s">
        <v>74</v>
      </c>
      <c r="Z920" s="1" t="s">
        <v>74</v>
      </c>
      <c r="AA920" s="1" t="s">
        <v>74</v>
      </c>
      <c r="AB920" s="1" t="s">
        <v>74</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3361</v>
      </c>
      <c r="AP920" s="1" t="s">
        <v>3362</v>
      </c>
      <c r="AQ920" s="1" t="s">
        <v>74</v>
      </c>
      <c r="AR920" s="1" t="s">
        <v>74</v>
      </c>
      <c r="AS920" s="1" t="s">
        <v>74</v>
      </c>
      <c r="AT920" s="1" t="s">
        <v>124</v>
      </c>
      <c r="AU920" s="1">
        <v>2026.0</v>
      </c>
      <c r="AV920" s="1">
        <v>98.0</v>
      </c>
      <c r="AW920" s="1" t="s">
        <v>74</v>
      </c>
      <c r="AX920" s="1" t="s">
        <v>74</v>
      </c>
      <c r="AY920" s="1" t="s">
        <v>74</v>
      </c>
      <c r="AZ920" s="1" t="s">
        <v>74</v>
      </c>
      <c r="BA920" s="1" t="s">
        <v>74</v>
      </c>
      <c r="BB920" s="1" t="s">
        <v>74</v>
      </c>
      <c r="BC920" s="1" t="s">
        <v>74</v>
      </c>
      <c r="BD920" s="1">
        <v>103174.0</v>
      </c>
      <c r="BE920" s="1" t="s">
        <v>8099</v>
      </c>
      <c r="BF920" s="2" t="str">
        <f>HYPERLINK("http://dx.doi.org/10.1016/j.rcim.2025.103174","http://dx.doi.org/10.1016/j.rcim.2025.103174")</f>
        <v>http://dx.doi.org/10.1016/j.rcim.2025.103174</v>
      </c>
      <c r="BG920" s="1" t="s">
        <v>74</v>
      </c>
      <c r="BH920" s="1" t="s">
        <v>811</v>
      </c>
      <c r="BI920" s="1" t="s">
        <v>74</v>
      </c>
      <c r="BJ920" s="1" t="s">
        <v>74</v>
      </c>
      <c r="BK920" s="1" t="s">
        <v>74</v>
      </c>
      <c r="BL920" s="1" t="s">
        <v>3364</v>
      </c>
      <c r="BM920" s="1" t="s">
        <v>74</v>
      </c>
      <c r="BN920" s="1" t="s">
        <v>74</v>
      </c>
      <c r="BO920" s="1" t="s">
        <v>74</v>
      </c>
      <c r="BP920" s="1" t="s">
        <v>74</v>
      </c>
      <c r="BQ920" s="1" t="s">
        <v>74</v>
      </c>
      <c r="BR920" s="1" t="s">
        <v>74</v>
      </c>
      <c r="BS920" s="1" t="s">
        <v>8100</v>
      </c>
      <c r="BT920" s="1" t="str">
        <f>HYPERLINK("https%3A%2F%2Fwww.webofscience.com%2Fwos%2Fwoscc%2Ffull-record%2FWOS:001609273700001","View Full Record in Web of Science")</f>
        <v>View Full Record in Web of Science</v>
      </c>
    </row>
    <row r="921" ht="12.75" customHeight="1">
      <c r="A921" s="1" t="s">
        <v>72</v>
      </c>
      <c r="B921" s="1" t="s">
        <v>8101</v>
      </c>
      <c r="C921" s="1" t="s">
        <v>74</v>
      </c>
      <c r="D921" s="1" t="s">
        <v>74</v>
      </c>
      <c r="E921" s="1" t="s">
        <v>74</v>
      </c>
      <c r="F921" s="1" t="s">
        <v>8102</v>
      </c>
      <c r="G921" s="1" t="s">
        <v>74</v>
      </c>
      <c r="H921" s="1" t="s">
        <v>74</v>
      </c>
      <c r="I921" s="1" t="s">
        <v>8103</v>
      </c>
      <c r="J921" s="1" t="s">
        <v>147</v>
      </c>
      <c r="K921" s="1" t="s">
        <v>74</v>
      </c>
      <c r="L921" s="1" t="s">
        <v>74</v>
      </c>
      <c r="M921" s="1" t="s">
        <v>74</v>
      </c>
      <c r="N921" s="1" t="s">
        <v>78</v>
      </c>
      <c r="O921" s="1" t="s">
        <v>74</v>
      </c>
      <c r="P921" s="1" t="s">
        <v>74</v>
      </c>
      <c r="Q921" s="1" t="s">
        <v>74</v>
      </c>
      <c r="R921" s="1" t="s">
        <v>74</v>
      </c>
      <c r="S921" s="1" t="s">
        <v>74</v>
      </c>
      <c r="T921" s="1" t="s">
        <v>8104</v>
      </c>
      <c r="U921" s="1" t="s">
        <v>8105</v>
      </c>
      <c r="V921" s="1" t="s">
        <v>8106</v>
      </c>
      <c r="W921" s="1" t="s">
        <v>74</v>
      </c>
      <c r="X921" s="1" t="s">
        <v>74</v>
      </c>
      <c r="Y921" s="1" t="s">
        <v>74</v>
      </c>
      <c r="Z921" s="1" t="s">
        <v>74</v>
      </c>
      <c r="AA921" s="1" t="s">
        <v>74</v>
      </c>
      <c r="AB921" s="1" t="s">
        <v>74</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150</v>
      </c>
      <c r="AP921" s="1" t="s">
        <v>74</v>
      </c>
      <c r="AQ921" s="1" t="s">
        <v>74</v>
      </c>
      <c r="AR921" s="1" t="s">
        <v>74</v>
      </c>
      <c r="AS921" s="1" t="s">
        <v>74</v>
      </c>
      <c r="AT921" s="1" t="s">
        <v>74</v>
      </c>
      <c r="AU921" s="1">
        <v>2025.0</v>
      </c>
      <c r="AV921" s="1">
        <v>13.0</v>
      </c>
      <c r="AW921" s="1" t="s">
        <v>74</v>
      </c>
      <c r="AX921" s="1" t="s">
        <v>74</v>
      </c>
      <c r="AY921" s="1" t="s">
        <v>74</v>
      </c>
      <c r="AZ921" s="1" t="s">
        <v>74</v>
      </c>
      <c r="BA921" s="1" t="s">
        <v>74</v>
      </c>
      <c r="BB921" s="1">
        <v>50226.0</v>
      </c>
      <c r="BC921" s="1">
        <v>50243.0</v>
      </c>
      <c r="BD921" s="1" t="s">
        <v>74</v>
      </c>
      <c r="BE921" s="1" t="s">
        <v>8107</v>
      </c>
      <c r="BF921" s="2" t="str">
        <f>HYPERLINK("http://dx.doi.org/10.1109/ACCESS.2025.3552592","http://dx.doi.org/10.1109/ACCESS.2025.3552592")</f>
        <v>http://dx.doi.org/10.1109/ACCESS.2025.3552592</v>
      </c>
      <c r="BG921" s="1" t="s">
        <v>74</v>
      </c>
      <c r="BH921" s="1" t="s">
        <v>74</v>
      </c>
      <c r="BI921" s="1" t="s">
        <v>74</v>
      </c>
      <c r="BJ921" s="1" t="s">
        <v>74</v>
      </c>
      <c r="BK921" s="1" t="s">
        <v>74</v>
      </c>
      <c r="BL921" s="1" t="s">
        <v>152</v>
      </c>
      <c r="BM921" s="1" t="s">
        <v>74</v>
      </c>
      <c r="BN921" s="1" t="s">
        <v>74</v>
      </c>
      <c r="BO921" s="1" t="s">
        <v>153</v>
      </c>
      <c r="BP921" s="1" t="s">
        <v>74</v>
      </c>
      <c r="BQ921" s="1" t="s">
        <v>74</v>
      </c>
      <c r="BR921" s="1" t="s">
        <v>74</v>
      </c>
      <c r="BS921" s="1" t="s">
        <v>8108</v>
      </c>
      <c r="BT921" s="1" t="str">
        <f>HYPERLINK("https%3A%2F%2Fwww.webofscience.com%2Fwos%2Fwoscc%2Ffull-record%2FWOS:001453644600026","View Full Record in Web of Science")</f>
        <v>View Full Record in Web of Science</v>
      </c>
    </row>
    <row r="922" ht="12.75" customHeight="1">
      <c r="A922" s="1" t="s">
        <v>72</v>
      </c>
      <c r="B922" s="1" t="s">
        <v>8109</v>
      </c>
      <c r="C922" s="1" t="s">
        <v>74</v>
      </c>
      <c r="D922" s="1" t="s">
        <v>74</v>
      </c>
      <c r="E922" s="1" t="s">
        <v>74</v>
      </c>
      <c r="F922" s="1" t="s">
        <v>8110</v>
      </c>
      <c r="G922" s="1" t="s">
        <v>74</v>
      </c>
      <c r="H922" s="1" t="s">
        <v>74</v>
      </c>
      <c r="I922" s="1" t="s">
        <v>8111</v>
      </c>
      <c r="J922" s="1" t="s">
        <v>4116</v>
      </c>
      <c r="K922" s="1" t="s">
        <v>74</v>
      </c>
      <c r="L922" s="1" t="s">
        <v>74</v>
      </c>
      <c r="M922" s="1" t="s">
        <v>74</v>
      </c>
      <c r="N922" s="1" t="s">
        <v>78</v>
      </c>
      <c r="O922" s="1" t="s">
        <v>74</v>
      </c>
      <c r="P922" s="1" t="s">
        <v>74</v>
      </c>
      <c r="Q922" s="1" t="s">
        <v>74</v>
      </c>
      <c r="R922" s="1" t="s">
        <v>74</v>
      </c>
      <c r="S922" s="1" t="s">
        <v>74</v>
      </c>
      <c r="T922" s="1" t="s">
        <v>8112</v>
      </c>
      <c r="U922" s="1" t="s">
        <v>8113</v>
      </c>
      <c r="V922" s="1" t="s">
        <v>8114</v>
      </c>
      <c r="W922" s="1" t="s">
        <v>74</v>
      </c>
      <c r="X922" s="1" t="s">
        <v>74</v>
      </c>
      <c r="Y922" s="1" t="s">
        <v>74</v>
      </c>
      <c r="Z922" s="1" t="s">
        <v>74</v>
      </c>
      <c r="AA922" s="1" t="s">
        <v>74</v>
      </c>
      <c r="AB922" s="1" t="s">
        <v>74</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4119</v>
      </c>
      <c r="AP922" s="1" t="s">
        <v>4120</v>
      </c>
      <c r="AQ922" s="1" t="s">
        <v>74</v>
      </c>
      <c r="AR922" s="1" t="s">
        <v>74</v>
      </c>
      <c r="AS922" s="1" t="s">
        <v>74</v>
      </c>
      <c r="AT922" s="1" t="s">
        <v>74</v>
      </c>
      <c r="AU922" s="1">
        <v>2024.0</v>
      </c>
      <c r="AV922" s="1">
        <v>28.0</v>
      </c>
      <c r="AW922" s="1">
        <v>2.0</v>
      </c>
      <c r="AX922" s="1" t="s">
        <v>74</v>
      </c>
      <c r="AY922" s="1" t="s">
        <v>74</v>
      </c>
      <c r="AZ922" s="1" t="s">
        <v>74</v>
      </c>
      <c r="BA922" s="1" t="s">
        <v>74</v>
      </c>
      <c r="BB922" s="1">
        <v>451.0</v>
      </c>
      <c r="BC922" s="1">
        <v>464.0</v>
      </c>
      <c r="BD922" s="1" t="s">
        <v>74</v>
      </c>
      <c r="BE922" s="1" t="s">
        <v>8115</v>
      </c>
      <c r="BF922" s="2" t="str">
        <f>HYPERLINK("http://dx.doi.org/10.13053/CyS-28-2-4873","http://dx.doi.org/10.13053/CyS-28-2-4873")</f>
        <v>http://dx.doi.org/10.13053/CyS-28-2-4873</v>
      </c>
      <c r="BG922" s="1" t="s">
        <v>74</v>
      </c>
      <c r="BH922" s="1" t="s">
        <v>74</v>
      </c>
      <c r="BI922" s="1" t="s">
        <v>74</v>
      </c>
      <c r="BJ922" s="1" t="s">
        <v>74</v>
      </c>
      <c r="BK922" s="1" t="s">
        <v>74</v>
      </c>
      <c r="BL922" s="1" t="s">
        <v>174</v>
      </c>
      <c r="BM922" s="1" t="s">
        <v>74</v>
      </c>
      <c r="BN922" s="1" t="s">
        <v>74</v>
      </c>
      <c r="BO922" s="1" t="s">
        <v>74</v>
      </c>
      <c r="BP922" s="1" t="s">
        <v>74</v>
      </c>
      <c r="BQ922" s="1" t="s">
        <v>74</v>
      </c>
      <c r="BR922" s="1" t="s">
        <v>74</v>
      </c>
      <c r="BS922" s="1" t="s">
        <v>8116</v>
      </c>
      <c r="BT922" s="1" t="str">
        <f>HYPERLINK("https%3A%2F%2Fwww.webofscience.com%2Fwos%2Fwoscc%2Ffull-record%2FWOS:001260827000010","View Full Record in Web of Science")</f>
        <v>View Full Record in Web of Science</v>
      </c>
    </row>
    <row r="923" ht="12.75" customHeight="1">
      <c r="A923" s="1" t="s">
        <v>72</v>
      </c>
      <c r="B923" s="1" t="s">
        <v>8117</v>
      </c>
      <c r="C923" s="1" t="s">
        <v>74</v>
      </c>
      <c r="D923" s="1" t="s">
        <v>74</v>
      </c>
      <c r="E923" s="1" t="s">
        <v>74</v>
      </c>
      <c r="F923" s="1" t="s">
        <v>8118</v>
      </c>
      <c r="G923" s="1" t="s">
        <v>74</v>
      </c>
      <c r="H923" s="1" t="s">
        <v>74</v>
      </c>
      <c r="I923" s="1" t="s">
        <v>8119</v>
      </c>
      <c r="J923" s="1" t="s">
        <v>620</v>
      </c>
      <c r="K923" s="1" t="s">
        <v>74</v>
      </c>
      <c r="L923" s="1" t="s">
        <v>74</v>
      </c>
      <c r="M923" s="1" t="s">
        <v>74</v>
      </c>
      <c r="N923" s="1" t="s">
        <v>78</v>
      </c>
      <c r="O923" s="1" t="s">
        <v>74</v>
      </c>
      <c r="P923" s="1" t="s">
        <v>74</v>
      </c>
      <c r="Q923" s="1" t="s">
        <v>74</v>
      </c>
      <c r="R923" s="1" t="s">
        <v>74</v>
      </c>
      <c r="S923" s="1" t="s">
        <v>74</v>
      </c>
      <c r="T923" s="1" t="s">
        <v>8120</v>
      </c>
      <c r="U923" s="1" t="s">
        <v>8121</v>
      </c>
      <c r="V923" s="1" t="s">
        <v>8122</v>
      </c>
      <c r="W923" s="1" t="s">
        <v>74</v>
      </c>
      <c r="X923" s="1" t="s">
        <v>74</v>
      </c>
      <c r="Y923" s="1" t="s">
        <v>74</v>
      </c>
      <c r="Z923" s="1" t="s">
        <v>74</v>
      </c>
      <c r="AA923" s="1" t="s">
        <v>74</v>
      </c>
      <c r="AB923" s="1" t="s">
        <v>74</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624</v>
      </c>
      <c r="AP923" s="1" t="s">
        <v>625</v>
      </c>
      <c r="AQ923" s="1" t="s">
        <v>74</v>
      </c>
      <c r="AR923" s="1" t="s">
        <v>74</v>
      </c>
      <c r="AS923" s="1" t="s">
        <v>74</v>
      </c>
      <c r="AT923" s="1" t="s">
        <v>84</v>
      </c>
      <c r="AU923" s="1">
        <v>2025.0</v>
      </c>
      <c r="AV923" s="1">
        <v>84.0</v>
      </c>
      <c r="AW923" s="1" t="s">
        <v>74</v>
      </c>
      <c r="AX923" s="1" t="s">
        <v>74</v>
      </c>
      <c r="AY923" s="1" t="s">
        <v>74</v>
      </c>
      <c r="AZ923" s="1" t="s">
        <v>74</v>
      </c>
      <c r="BA923" s="1" t="s">
        <v>74</v>
      </c>
      <c r="BB923" s="1" t="s">
        <v>74</v>
      </c>
      <c r="BC923" s="1" t="s">
        <v>74</v>
      </c>
      <c r="BD923" s="1">
        <v>104250.0</v>
      </c>
      <c r="BE923" s="1" t="s">
        <v>8123</v>
      </c>
      <c r="BF923" s="2" t="str">
        <f>HYPERLINK("http://dx.doi.org/10.1016/j.jretconser.2025.104250","http://dx.doi.org/10.1016/j.jretconser.2025.104250")</f>
        <v>http://dx.doi.org/10.1016/j.jretconser.2025.104250</v>
      </c>
      <c r="BG923" s="1" t="s">
        <v>74</v>
      </c>
      <c r="BH923" s="1" t="s">
        <v>314</v>
      </c>
      <c r="BI923" s="1" t="s">
        <v>74</v>
      </c>
      <c r="BJ923" s="1" t="s">
        <v>74</v>
      </c>
      <c r="BK923" s="1" t="s">
        <v>74</v>
      </c>
      <c r="BL923" s="1" t="s">
        <v>214</v>
      </c>
      <c r="BM923" s="1" t="s">
        <v>74</v>
      </c>
      <c r="BN923" s="1" t="s">
        <v>74</v>
      </c>
      <c r="BO923" s="1" t="s">
        <v>74</v>
      </c>
      <c r="BP923" s="1" t="s">
        <v>74</v>
      </c>
      <c r="BQ923" s="1" t="s">
        <v>74</v>
      </c>
      <c r="BR923" s="1" t="s">
        <v>74</v>
      </c>
      <c r="BS923" s="1" t="s">
        <v>8124</v>
      </c>
      <c r="BT923" s="1" t="str">
        <f>HYPERLINK("https%3A%2F%2Fwww.webofscience.com%2Fwos%2Fwoscc%2Ffull-record%2FWOS:001422812200001","View Full Record in Web of Science")</f>
        <v>View Full Record in Web of Science</v>
      </c>
    </row>
    <row r="924" ht="12.75" customHeight="1">
      <c r="A924" s="1" t="s">
        <v>72</v>
      </c>
      <c r="B924" s="1" t="s">
        <v>8125</v>
      </c>
      <c r="C924" s="1" t="s">
        <v>74</v>
      </c>
      <c r="D924" s="1" t="s">
        <v>74</v>
      </c>
      <c r="E924" s="1" t="s">
        <v>74</v>
      </c>
      <c r="F924" s="1" t="s">
        <v>8126</v>
      </c>
      <c r="G924" s="1" t="s">
        <v>74</v>
      </c>
      <c r="H924" s="1" t="s">
        <v>74</v>
      </c>
      <c r="I924" s="1" t="s">
        <v>8127</v>
      </c>
      <c r="J924" s="1" t="s">
        <v>8128</v>
      </c>
      <c r="K924" s="1" t="s">
        <v>74</v>
      </c>
      <c r="L924" s="1" t="s">
        <v>74</v>
      </c>
      <c r="M924" s="1" t="s">
        <v>74</v>
      </c>
      <c r="N924" s="1" t="s">
        <v>78</v>
      </c>
      <c r="O924" s="1" t="s">
        <v>74</v>
      </c>
      <c r="P924" s="1" t="s">
        <v>74</v>
      </c>
      <c r="Q924" s="1" t="s">
        <v>74</v>
      </c>
      <c r="R924" s="1" t="s">
        <v>74</v>
      </c>
      <c r="S924" s="1" t="s">
        <v>74</v>
      </c>
      <c r="T924" s="1" t="s">
        <v>8129</v>
      </c>
      <c r="U924" s="1" t="s">
        <v>74</v>
      </c>
      <c r="V924" s="1" t="s">
        <v>8130</v>
      </c>
      <c r="W924" s="1" t="s">
        <v>74</v>
      </c>
      <c r="X924" s="1" t="s">
        <v>74</v>
      </c>
      <c r="Y924" s="1" t="s">
        <v>74</v>
      </c>
      <c r="Z924" s="1" t="s">
        <v>74</v>
      </c>
      <c r="AA924" s="1" t="s">
        <v>74</v>
      </c>
      <c r="AB924" s="1" t="s">
        <v>74</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74</v>
      </c>
      <c r="AP924" s="1" t="s">
        <v>8131</v>
      </c>
      <c r="AQ924" s="1" t="s">
        <v>74</v>
      </c>
      <c r="AR924" s="1" t="s">
        <v>74</v>
      </c>
      <c r="AS924" s="1" t="s">
        <v>74</v>
      </c>
      <c r="AT924" s="1" t="s">
        <v>74</v>
      </c>
      <c r="AU924" s="1">
        <v>2025.0</v>
      </c>
      <c r="AV924" s="1">
        <v>6.0</v>
      </c>
      <c r="AW924" s="1" t="s">
        <v>74</v>
      </c>
      <c r="AX924" s="1" t="s">
        <v>74</v>
      </c>
      <c r="AY924" s="1" t="s">
        <v>74</v>
      </c>
      <c r="AZ924" s="1" t="s">
        <v>74</v>
      </c>
      <c r="BA924" s="1" t="s">
        <v>74</v>
      </c>
      <c r="BB924" s="1">
        <v>987.0</v>
      </c>
      <c r="BC924" s="1">
        <v>1000.0</v>
      </c>
      <c r="BD924" s="1" t="s">
        <v>74</v>
      </c>
      <c r="BE924" s="1" t="s">
        <v>8132</v>
      </c>
      <c r="BF924" s="2" t="str">
        <f>HYPERLINK("http://dx.doi.org/10.1109/OJCS.2025.3580498","http://dx.doi.org/10.1109/OJCS.2025.3580498")</f>
        <v>http://dx.doi.org/10.1109/OJCS.2025.3580498</v>
      </c>
      <c r="BG924" s="1" t="s">
        <v>74</v>
      </c>
      <c r="BH924" s="1" t="s">
        <v>74</v>
      </c>
      <c r="BI924" s="1" t="s">
        <v>74</v>
      </c>
      <c r="BJ924" s="1" t="s">
        <v>74</v>
      </c>
      <c r="BK924" s="1" t="s">
        <v>74</v>
      </c>
      <c r="BL924" s="1" t="s">
        <v>98</v>
      </c>
      <c r="BM924" s="1" t="s">
        <v>74</v>
      </c>
      <c r="BN924" s="1" t="s">
        <v>74</v>
      </c>
      <c r="BO924" s="1" t="s">
        <v>153</v>
      </c>
      <c r="BP924" s="1" t="s">
        <v>74</v>
      </c>
      <c r="BQ924" s="1" t="s">
        <v>74</v>
      </c>
      <c r="BR924" s="1" t="s">
        <v>74</v>
      </c>
      <c r="BS924" s="1" t="s">
        <v>8133</v>
      </c>
      <c r="BT924" s="1" t="str">
        <f>HYPERLINK("https%3A%2F%2Fwww.webofscience.com%2Fwos%2Fwoscc%2Ffull-record%2FWOS:001527180000002","View Full Record in Web of Science")</f>
        <v>View Full Record in Web of Science</v>
      </c>
    </row>
    <row r="925" ht="12.75" customHeight="1">
      <c r="A925" s="1" t="s">
        <v>72</v>
      </c>
      <c r="B925" s="1" t="s">
        <v>8134</v>
      </c>
      <c r="C925" s="1" t="s">
        <v>74</v>
      </c>
      <c r="D925" s="1" t="s">
        <v>74</v>
      </c>
      <c r="E925" s="1" t="s">
        <v>74</v>
      </c>
      <c r="F925" s="1" t="s">
        <v>8135</v>
      </c>
      <c r="G925" s="1" t="s">
        <v>74</v>
      </c>
      <c r="H925" s="1" t="s">
        <v>74</v>
      </c>
      <c r="I925" s="1" t="s">
        <v>8136</v>
      </c>
      <c r="J925" s="1" t="s">
        <v>2201</v>
      </c>
      <c r="K925" s="1" t="s">
        <v>74</v>
      </c>
      <c r="L925" s="1" t="s">
        <v>74</v>
      </c>
      <c r="M925" s="1" t="s">
        <v>74</v>
      </c>
      <c r="N925" s="1" t="s">
        <v>78</v>
      </c>
      <c r="O925" s="1" t="s">
        <v>74</v>
      </c>
      <c r="P925" s="1" t="s">
        <v>74</v>
      </c>
      <c r="Q925" s="1" t="s">
        <v>74</v>
      </c>
      <c r="R925" s="1" t="s">
        <v>74</v>
      </c>
      <c r="S925" s="1" t="s">
        <v>74</v>
      </c>
      <c r="T925" s="1" t="s">
        <v>8137</v>
      </c>
      <c r="U925" s="1" t="s">
        <v>8138</v>
      </c>
      <c r="V925" s="1" t="s">
        <v>8139</v>
      </c>
      <c r="W925" s="1" t="s">
        <v>74</v>
      </c>
      <c r="X925" s="1" t="s">
        <v>74</v>
      </c>
      <c r="Y925" s="1" t="s">
        <v>74</v>
      </c>
      <c r="Z925" s="1" t="s">
        <v>74</v>
      </c>
      <c r="AA925" s="1" t="s">
        <v>74</v>
      </c>
      <c r="AB925" s="1" t="s">
        <v>74</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2204</v>
      </c>
      <c r="AP925" s="1" t="s">
        <v>2205</v>
      </c>
      <c r="AQ925" s="1" t="s">
        <v>74</v>
      </c>
      <c r="AR925" s="1" t="s">
        <v>74</v>
      </c>
      <c r="AS925" s="1" t="s">
        <v>74</v>
      </c>
      <c r="AT925" s="1" t="s">
        <v>172</v>
      </c>
      <c r="AU925" s="1">
        <v>2025.0</v>
      </c>
      <c r="AV925" s="1">
        <v>209.0</v>
      </c>
      <c r="AW925" s="1" t="s">
        <v>74</v>
      </c>
      <c r="AX925" s="1" t="s">
        <v>74</v>
      </c>
      <c r="AY925" s="1" t="s">
        <v>74</v>
      </c>
      <c r="AZ925" s="1" t="s">
        <v>74</v>
      </c>
      <c r="BA925" s="1" t="s">
        <v>74</v>
      </c>
      <c r="BB925" s="1" t="s">
        <v>74</v>
      </c>
      <c r="BC925" s="1" t="s">
        <v>74</v>
      </c>
      <c r="BD925" s="1">
        <v>111449.0</v>
      </c>
      <c r="BE925" s="1" t="s">
        <v>8140</v>
      </c>
      <c r="BF925" s="2" t="str">
        <f>HYPERLINK("http://dx.doi.org/10.1016/j.cie.2025.111449","http://dx.doi.org/10.1016/j.cie.2025.111449")</f>
        <v>http://dx.doi.org/10.1016/j.cie.2025.111449</v>
      </c>
      <c r="BG925" s="1" t="s">
        <v>74</v>
      </c>
      <c r="BH925" s="1" t="s">
        <v>276</v>
      </c>
      <c r="BI925" s="1" t="s">
        <v>74</v>
      </c>
      <c r="BJ925" s="1" t="s">
        <v>74</v>
      </c>
      <c r="BK925" s="1" t="s">
        <v>74</v>
      </c>
      <c r="BL925" s="1" t="s">
        <v>98</v>
      </c>
      <c r="BM925" s="1" t="s">
        <v>74</v>
      </c>
      <c r="BN925" s="1" t="s">
        <v>74</v>
      </c>
      <c r="BO925" s="1" t="s">
        <v>74</v>
      </c>
      <c r="BP925" s="1" t="s">
        <v>74</v>
      </c>
      <c r="BQ925" s="1" t="s">
        <v>74</v>
      </c>
      <c r="BR925" s="1" t="s">
        <v>74</v>
      </c>
      <c r="BS925" s="1" t="s">
        <v>8141</v>
      </c>
      <c r="BT925" s="1" t="str">
        <f>HYPERLINK("https%3A%2F%2Fwww.webofscience.com%2Fwos%2Fwoscc%2Ffull-record%2FWOS:001582871400004","View Full Record in Web of Science")</f>
        <v>View Full Record in Web of Science</v>
      </c>
    </row>
    <row r="926" ht="12.75" customHeight="1">
      <c r="A926" s="1" t="s">
        <v>72</v>
      </c>
      <c r="B926" s="1" t="s">
        <v>8142</v>
      </c>
      <c r="C926" s="1" t="s">
        <v>74</v>
      </c>
      <c r="D926" s="1" t="s">
        <v>74</v>
      </c>
      <c r="E926" s="1" t="s">
        <v>74</v>
      </c>
      <c r="F926" s="1" t="s">
        <v>8143</v>
      </c>
      <c r="G926" s="1" t="s">
        <v>74</v>
      </c>
      <c r="H926" s="1" t="s">
        <v>74</v>
      </c>
      <c r="I926" s="1" t="s">
        <v>8144</v>
      </c>
      <c r="J926" s="1" t="s">
        <v>1376</v>
      </c>
      <c r="K926" s="1" t="s">
        <v>74</v>
      </c>
      <c r="L926" s="1" t="s">
        <v>74</v>
      </c>
      <c r="M926" s="1" t="s">
        <v>74</v>
      </c>
      <c r="N926" s="1" t="s">
        <v>78</v>
      </c>
      <c r="O926" s="1" t="s">
        <v>74</v>
      </c>
      <c r="P926" s="1" t="s">
        <v>74</v>
      </c>
      <c r="Q926" s="1" t="s">
        <v>74</v>
      </c>
      <c r="R926" s="1" t="s">
        <v>74</v>
      </c>
      <c r="S926" s="1" t="s">
        <v>74</v>
      </c>
      <c r="T926" s="1" t="s">
        <v>8145</v>
      </c>
      <c r="U926" s="1" t="s">
        <v>8146</v>
      </c>
      <c r="V926" s="1" t="s">
        <v>8147</v>
      </c>
      <c r="W926" s="1" t="s">
        <v>74</v>
      </c>
      <c r="X926" s="1" t="s">
        <v>74</v>
      </c>
      <c r="Y926" s="1" t="s">
        <v>74</v>
      </c>
      <c r="Z926" s="1" t="s">
        <v>74</v>
      </c>
      <c r="AA926" s="1" t="s">
        <v>74</v>
      </c>
      <c r="AB926" s="1" t="s">
        <v>74</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74</v>
      </c>
      <c r="AP926" s="1" t="s">
        <v>2256</v>
      </c>
      <c r="AQ926" s="1" t="s">
        <v>74</v>
      </c>
      <c r="AR926" s="1" t="s">
        <v>74</v>
      </c>
      <c r="AS926" s="1" t="s">
        <v>74</v>
      </c>
      <c r="AT926" s="1" t="s">
        <v>4907</v>
      </c>
      <c r="AU926" s="1">
        <v>2025.0</v>
      </c>
      <c r="AV926" s="1">
        <v>6.0</v>
      </c>
      <c r="AW926" s="1">
        <v>7.0</v>
      </c>
      <c r="AX926" s="1" t="s">
        <v>74</v>
      </c>
      <c r="AY926" s="1" t="s">
        <v>74</v>
      </c>
      <c r="AZ926" s="1" t="s">
        <v>74</v>
      </c>
      <c r="BA926" s="1" t="s">
        <v>74</v>
      </c>
      <c r="BB926" s="1" t="s">
        <v>74</v>
      </c>
      <c r="BC926" s="1" t="s">
        <v>74</v>
      </c>
      <c r="BD926" s="1">
        <v>137.0</v>
      </c>
      <c r="BE926" s="1" t="s">
        <v>8148</v>
      </c>
      <c r="BF926" s="2" t="str">
        <f>HYPERLINK("http://dx.doi.org/10.3390/ai6070137","http://dx.doi.org/10.3390/ai6070137")</f>
        <v>http://dx.doi.org/10.3390/ai6070137</v>
      </c>
      <c r="BG926" s="1" t="s">
        <v>74</v>
      </c>
      <c r="BH926" s="1" t="s">
        <v>74</v>
      </c>
      <c r="BI926" s="1" t="s">
        <v>74</v>
      </c>
      <c r="BJ926" s="1" t="s">
        <v>74</v>
      </c>
      <c r="BK926" s="1" t="s">
        <v>74</v>
      </c>
      <c r="BL926" s="1" t="s">
        <v>174</v>
      </c>
      <c r="BM926" s="1" t="s">
        <v>74</v>
      </c>
      <c r="BN926" s="1" t="s">
        <v>74</v>
      </c>
      <c r="BO926" s="1" t="s">
        <v>163</v>
      </c>
      <c r="BP926" s="1" t="s">
        <v>74</v>
      </c>
      <c r="BQ926" s="1" t="s">
        <v>74</v>
      </c>
      <c r="BR926" s="1" t="s">
        <v>74</v>
      </c>
      <c r="BS926" s="1" t="s">
        <v>8149</v>
      </c>
      <c r="BT926" s="1" t="str">
        <f>HYPERLINK("https%3A%2F%2Fwww.webofscience.com%2Fwos%2Fwoscc%2Ffull-record%2FWOS:001539530500001","View Full Record in Web of Science")</f>
        <v>View Full Record in Web of Science</v>
      </c>
    </row>
    <row r="927" ht="12.75" customHeight="1">
      <c r="A927" s="1" t="s">
        <v>72</v>
      </c>
      <c r="B927" s="1" t="s">
        <v>8150</v>
      </c>
      <c r="C927" s="1" t="s">
        <v>74</v>
      </c>
      <c r="D927" s="1" t="s">
        <v>74</v>
      </c>
      <c r="E927" s="1" t="s">
        <v>74</v>
      </c>
      <c r="F927" s="1" t="s">
        <v>8151</v>
      </c>
      <c r="G927" s="1" t="s">
        <v>74</v>
      </c>
      <c r="H927" s="1" t="s">
        <v>74</v>
      </c>
      <c r="I927" s="1" t="s">
        <v>8152</v>
      </c>
      <c r="J927" s="1" t="s">
        <v>4771</v>
      </c>
      <c r="K927" s="1" t="s">
        <v>74</v>
      </c>
      <c r="L927" s="1" t="s">
        <v>74</v>
      </c>
      <c r="M927" s="1" t="s">
        <v>74</v>
      </c>
      <c r="N927" s="1" t="s">
        <v>78</v>
      </c>
      <c r="O927" s="1" t="s">
        <v>74</v>
      </c>
      <c r="P927" s="1" t="s">
        <v>74</v>
      </c>
      <c r="Q927" s="1" t="s">
        <v>74</v>
      </c>
      <c r="R927" s="1" t="s">
        <v>74</v>
      </c>
      <c r="S927" s="1" t="s">
        <v>74</v>
      </c>
      <c r="T927" s="1" t="s">
        <v>8153</v>
      </c>
      <c r="U927" s="1" t="s">
        <v>74</v>
      </c>
      <c r="V927" s="1" t="s">
        <v>8154</v>
      </c>
      <c r="W927" s="1" t="s">
        <v>74</v>
      </c>
      <c r="X927" s="1" t="s">
        <v>74</v>
      </c>
      <c r="Y927" s="1" t="s">
        <v>74</v>
      </c>
      <c r="Z927" s="1" t="s">
        <v>74</v>
      </c>
      <c r="AA927" s="1" t="s">
        <v>74</v>
      </c>
      <c r="AB927" s="1" t="s">
        <v>74</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4774</v>
      </c>
      <c r="AP927" s="1" t="s">
        <v>4775</v>
      </c>
      <c r="AQ927" s="1" t="s">
        <v>74</v>
      </c>
      <c r="AR927" s="1" t="s">
        <v>74</v>
      </c>
      <c r="AS927" s="1" t="s">
        <v>74</v>
      </c>
      <c r="AT927" s="1" t="s">
        <v>172</v>
      </c>
      <c r="AU927" s="1">
        <v>2024.0</v>
      </c>
      <c r="AV927" s="1">
        <v>157.0</v>
      </c>
      <c r="AW927" s="1" t="s">
        <v>74</v>
      </c>
      <c r="AX927" s="1" t="s">
        <v>74</v>
      </c>
      <c r="AY927" s="1" t="s">
        <v>74</v>
      </c>
      <c r="AZ927" s="1" t="s">
        <v>74</v>
      </c>
      <c r="BA927" s="1" t="s">
        <v>74</v>
      </c>
      <c r="BB927" s="1" t="s">
        <v>74</v>
      </c>
      <c r="BC927" s="1" t="s">
        <v>74</v>
      </c>
      <c r="BD927" s="1">
        <v>103002.0</v>
      </c>
      <c r="BE927" s="1" t="s">
        <v>8155</v>
      </c>
      <c r="BF927" s="2" t="str">
        <f>HYPERLINK("http://dx.doi.org/10.1016/j.artmed.2024.103002","http://dx.doi.org/10.1016/j.artmed.2024.103002")</f>
        <v>http://dx.doi.org/10.1016/j.artmed.2024.103002</v>
      </c>
      <c r="BG927" s="1" t="s">
        <v>74</v>
      </c>
      <c r="BH927" s="1" t="s">
        <v>1747</v>
      </c>
      <c r="BI927" s="1" t="s">
        <v>74</v>
      </c>
      <c r="BJ927" s="1" t="s">
        <v>74</v>
      </c>
      <c r="BK927" s="1" t="s">
        <v>74</v>
      </c>
      <c r="BL927" s="1" t="s">
        <v>4777</v>
      </c>
      <c r="BM927" s="1" t="s">
        <v>74</v>
      </c>
      <c r="BN927" s="1" t="s">
        <v>74</v>
      </c>
      <c r="BO927" s="1" t="s">
        <v>576</v>
      </c>
      <c r="BP927" s="1" t="s">
        <v>74</v>
      </c>
      <c r="BQ927" s="1" t="s">
        <v>74</v>
      </c>
      <c r="BR927" s="1" t="s">
        <v>74</v>
      </c>
      <c r="BS927" s="1" t="s">
        <v>8156</v>
      </c>
      <c r="BT927" s="1" t="str">
        <f>HYPERLINK("https%3A%2F%2Fwww.webofscience.com%2Fwos%2Fwoscc%2Ffull-record%2FWOS:001348741900001","View Full Record in Web of Science")</f>
        <v>View Full Record in Web of Science</v>
      </c>
    </row>
    <row r="928" ht="12.75" customHeight="1">
      <c r="A928" s="1" t="s">
        <v>72</v>
      </c>
      <c r="B928" s="1" t="s">
        <v>8157</v>
      </c>
      <c r="C928" s="1" t="s">
        <v>74</v>
      </c>
      <c r="D928" s="1" t="s">
        <v>74</v>
      </c>
      <c r="E928" s="1" t="s">
        <v>74</v>
      </c>
      <c r="F928" s="1" t="s">
        <v>8158</v>
      </c>
      <c r="G928" s="1" t="s">
        <v>74</v>
      </c>
      <c r="H928" s="1" t="s">
        <v>74</v>
      </c>
      <c r="I928" s="1" t="s">
        <v>8159</v>
      </c>
      <c r="J928" s="1" t="s">
        <v>239</v>
      </c>
      <c r="K928" s="1" t="s">
        <v>74</v>
      </c>
      <c r="L928" s="1" t="s">
        <v>74</v>
      </c>
      <c r="M928" s="1" t="s">
        <v>74</v>
      </c>
      <c r="N928" s="1" t="s">
        <v>78</v>
      </c>
      <c r="O928" s="1" t="s">
        <v>74</v>
      </c>
      <c r="P928" s="1" t="s">
        <v>74</v>
      </c>
      <c r="Q928" s="1" t="s">
        <v>74</v>
      </c>
      <c r="R928" s="1" t="s">
        <v>74</v>
      </c>
      <c r="S928" s="1" t="s">
        <v>74</v>
      </c>
      <c r="T928" s="1" t="s">
        <v>8160</v>
      </c>
      <c r="U928" s="1" t="s">
        <v>74</v>
      </c>
      <c r="V928" s="1" t="s">
        <v>8161</v>
      </c>
      <c r="W928" s="1" t="s">
        <v>74</v>
      </c>
      <c r="X928" s="1" t="s">
        <v>74</v>
      </c>
      <c r="Y928" s="1" t="s">
        <v>74</v>
      </c>
      <c r="Z928" s="1" t="s">
        <v>74</v>
      </c>
      <c r="AA928" s="1" t="s">
        <v>74</v>
      </c>
      <c r="AB928" s="1" t="s">
        <v>74</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242</v>
      </c>
      <c r="AP928" s="1" t="s">
        <v>74</v>
      </c>
      <c r="AQ928" s="1" t="s">
        <v>74</v>
      </c>
      <c r="AR928" s="1" t="s">
        <v>74</v>
      </c>
      <c r="AS928" s="1" t="s">
        <v>74</v>
      </c>
      <c r="AT928" s="1" t="s">
        <v>5095</v>
      </c>
      <c r="AU928" s="1">
        <v>2025.0</v>
      </c>
      <c r="AV928" s="1">
        <v>14.0</v>
      </c>
      <c r="AW928" s="1">
        <v>7.0</v>
      </c>
      <c r="AX928" s="1" t="s">
        <v>74</v>
      </c>
      <c r="AY928" s="1" t="s">
        <v>74</v>
      </c>
      <c r="AZ928" s="1" t="s">
        <v>74</v>
      </c>
      <c r="BA928" s="1" t="s">
        <v>74</v>
      </c>
      <c r="BB928" s="1" t="s">
        <v>74</v>
      </c>
      <c r="BC928" s="1" t="s">
        <v>74</v>
      </c>
      <c r="BD928" s="1">
        <v>1412.0</v>
      </c>
      <c r="BE928" s="1" t="s">
        <v>8162</v>
      </c>
      <c r="BF928" s="2" t="str">
        <f>HYPERLINK("http://dx.doi.org/10.3390/electronics14071412","http://dx.doi.org/10.3390/electronics14071412")</f>
        <v>http://dx.doi.org/10.3390/electronics14071412</v>
      </c>
      <c r="BG928" s="1" t="s">
        <v>74</v>
      </c>
      <c r="BH928" s="1" t="s">
        <v>74</v>
      </c>
      <c r="BI928" s="1" t="s">
        <v>74</v>
      </c>
      <c r="BJ928" s="1" t="s">
        <v>74</v>
      </c>
      <c r="BK928" s="1" t="s">
        <v>74</v>
      </c>
      <c r="BL928" s="1" t="s">
        <v>244</v>
      </c>
      <c r="BM928" s="1" t="s">
        <v>74</v>
      </c>
      <c r="BN928" s="1" t="s">
        <v>74</v>
      </c>
      <c r="BO928" s="1" t="s">
        <v>163</v>
      </c>
      <c r="BP928" s="1" t="s">
        <v>74</v>
      </c>
      <c r="BQ928" s="1" t="s">
        <v>74</v>
      </c>
      <c r="BR928" s="1" t="s">
        <v>74</v>
      </c>
      <c r="BS928" s="1" t="s">
        <v>8163</v>
      </c>
      <c r="BT928" s="1" t="str">
        <f>HYPERLINK("https%3A%2F%2Fwww.webofscience.com%2Fwos%2Fwoscc%2Ffull-record%2FWOS:001465739000001","View Full Record in Web of Science")</f>
        <v>View Full Record in Web of Science</v>
      </c>
    </row>
    <row r="929" ht="12.75" customHeight="1">
      <c r="A929" s="1" t="s">
        <v>72</v>
      </c>
      <c r="B929" s="1" t="s">
        <v>8164</v>
      </c>
      <c r="C929" s="1" t="s">
        <v>74</v>
      </c>
      <c r="D929" s="1" t="s">
        <v>74</v>
      </c>
      <c r="E929" s="1" t="s">
        <v>74</v>
      </c>
      <c r="F929" s="1" t="s">
        <v>8165</v>
      </c>
      <c r="G929" s="1" t="s">
        <v>74</v>
      </c>
      <c r="H929" s="1" t="s">
        <v>74</v>
      </c>
      <c r="I929" s="1" t="s">
        <v>8166</v>
      </c>
      <c r="J929" s="1" t="s">
        <v>2479</v>
      </c>
      <c r="K929" s="1" t="s">
        <v>74</v>
      </c>
      <c r="L929" s="1" t="s">
        <v>74</v>
      </c>
      <c r="M929" s="1" t="s">
        <v>74</v>
      </c>
      <c r="N929" s="1" t="s">
        <v>78</v>
      </c>
      <c r="O929" s="1" t="s">
        <v>74</v>
      </c>
      <c r="P929" s="1" t="s">
        <v>74</v>
      </c>
      <c r="Q929" s="1" t="s">
        <v>74</v>
      </c>
      <c r="R929" s="1" t="s">
        <v>74</v>
      </c>
      <c r="S929" s="1" t="s">
        <v>74</v>
      </c>
      <c r="T929" s="1" t="s">
        <v>8167</v>
      </c>
      <c r="U929" s="1" t="s">
        <v>74</v>
      </c>
      <c r="V929" s="1" t="s">
        <v>8168</v>
      </c>
      <c r="W929" s="1" t="s">
        <v>74</v>
      </c>
      <c r="X929" s="1" t="s">
        <v>74</v>
      </c>
      <c r="Y929" s="1" t="s">
        <v>74</v>
      </c>
      <c r="Z929" s="1" t="s">
        <v>74</v>
      </c>
      <c r="AA929" s="1" t="s">
        <v>74</v>
      </c>
      <c r="AB929" s="1" t="s">
        <v>74</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2483</v>
      </c>
      <c r="AP929" s="1" t="s">
        <v>2484</v>
      </c>
      <c r="AQ929" s="1" t="s">
        <v>74</v>
      </c>
      <c r="AR929" s="1" t="s">
        <v>74</v>
      </c>
      <c r="AS929" s="1" t="s">
        <v>74</v>
      </c>
      <c r="AT929" s="1" t="s">
        <v>736</v>
      </c>
      <c r="AU929" s="1">
        <v>2022.0</v>
      </c>
      <c r="AV929" s="1">
        <v>40.0</v>
      </c>
      <c r="AW929" s="1">
        <v>1.0</v>
      </c>
      <c r="AX929" s="1" t="s">
        <v>74</v>
      </c>
      <c r="AY929" s="1" t="s">
        <v>74</v>
      </c>
      <c r="AZ929" s="1" t="s">
        <v>74</v>
      </c>
      <c r="BA929" s="1" t="s">
        <v>74</v>
      </c>
      <c r="BB929" s="1" t="s">
        <v>74</v>
      </c>
      <c r="BC929" s="1" t="s">
        <v>74</v>
      </c>
      <c r="BD929" s="1">
        <v>18.0</v>
      </c>
      <c r="BE929" s="1" t="s">
        <v>8169</v>
      </c>
      <c r="BF929" s="2" t="str">
        <f>HYPERLINK("http://dx.doi.org/10.1145/3470562","http://dx.doi.org/10.1145/3470562")</f>
        <v>http://dx.doi.org/10.1145/3470562</v>
      </c>
      <c r="BG929" s="1" t="s">
        <v>74</v>
      </c>
      <c r="BH929" s="1" t="s">
        <v>74</v>
      </c>
      <c r="BI929" s="1" t="s">
        <v>74</v>
      </c>
      <c r="BJ929" s="1" t="s">
        <v>74</v>
      </c>
      <c r="BK929" s="1" t="s">
        <v>74</v>
      </c>
      <c r="BL929" s="1" t="s">
        <v>174</v>
      </c>
      <c r="BM929" s="1" t="s">
        <v>74</v>
      </c>
      <c r="BN929" s="1" t="s">
        <v>74</v>
      </c>
      <c r="BO929" s="1" t="s">
        <v>127</v>
      </c>
      <c r="BP929" s="1" t="s">
        <v>74</v>
      </c>
      <c r="BQ929" s="1" t="s">
        <v>74</v>
      </c>
      <c r="BR929" s="1" t="s">
        <v>74</v>
      </c>
      <c r="BS929" s="1" t="s">
        <v>8170</v>
      </c>
      <c r="BT929" s="1" t="str">
        <f>HYPERLINK("https%3A%2F%2Fwww.webofscience.com%2Fwos%2Fwoscc%2Ffull-record%2FWOS:000770678900018","View Full Record in Web of Science")</f>
        <v>View Full Record in Web of Science</v>
      </c>
    </row>
    <row r="930" ht="12.75" customHeight="1">
      <c r="A930" s="1" t="s">
        <v>72</v>
      </c>
      <c r="B930" s="1" t="s">
        <v>8171</v>
      </c>
      <c r="C930" s="1" t="s">
        <v>74</v>
      </c>
      <c r="D930" s="1" t="s">
        <v>74</v>
      </c>
      <c r="E930" s="1" t="s">
        <v>74</v>
      </c>
      <c r="F930" s="1" t="s">
        <v>8172</v>
      </c>
      <c r="G930" s="1" t="s">
        <v>74</v>
      </c>
      <c r="H930" s="1" t="s">
        <v>74</v>
      </c>
      <c r="I930" s="1" t="s">
        <v>8173</v>
      </c>
      <c r="J930" s="1" t="s">
        <v>1376</v>
      </c>
      <c r="K930" s="1" t="s">
        <v>74</v>
      </c>
      <c r="L930" s="1" t="s">
        <v>74</v>
      </c>
      <c r="M930" s="1" t="s">
        <v>74</v>
      </c>
      <c r="N930" s="1" t="s">
        <v>78</v>
      </c>
      <c r="O930" s="1" t="s">
        <v>74</v>
      </c>
      <c r="P930" s="1" t="s">
        <v>74</v>
      </c>
      <c r="Q930" s="1" t="s">
        <v>74</v>
      </c>
      <c r="R930" s="1" t="s">
        <v>74</v>
      </c>
      <c r="S930" s="1" t="s">
        <v>74</v>
      </c>
      <c r="T930" s="1" t="s">
        <v>8174</v>
      </c>
      <c r="U930" s="1" t="s">
        <v>74</v>
      </c>
      <c r="V930" s="1" t="s">
        <v>8175</v>
      </c>
      <c r="W930" s="1" t="s">
        <v>74</v>
      </c>
      <c r="X930" s="1" t="s">
        <v>74</v>
      </c>
      <c r="Y930" s="1" t="s">
        <v>74</v>
      </c>
      <c r="Z930" s="1" t="s">
        <v>74</v>
      </c>
      <c r="AA930" s="1" t="s">
        <v>74</v>
      </c>
      <c r="AB930" s="1" t="s">
        <v>74</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74</v>
      </c>
      <c r="AP930" s="1" t="s">
        <v>2256</v>
      </c>
      <c r="AQ930" s="1" t="s">
        <v>74</v>
      </c>
      <c r="AR930" s="1" t="s">
        <v>74</v>
      </c>
      <c r="AS930" s="1" t="s">
        <v>74</v>
      </c>
      <c r="AT930" s="1" t="s">
        <v>1524</v>
      </c>
      <c r="AU930" s="1">
        <v>2025.0</v>
      </c>
      <c r="AV930" s="1">
        <v>6.0</v>
      </c>
      <c r="AW930" s="1">
        <v>3.0</v>
      </c>
      <c r="AX930" s="1" t="s">
        <v>74</v>
      </c>
      <c r="AY930" s="1" t="s">
        <v>74</v>
      </c>
      <c r="AZ930" s="1" t="s">
        <v>74</v>
      </c>
      <c r="BA930" s="1" t="s">
        <v>74</v>
      </c>
      <c r="BB930" s="1" t="s">
        <v>74</v>
      </c>
      <c r="BC930" s="1" t="s">
        <v>74</v>
      </c>
      <c r="BD930" s="1">
        <v>47.0</v>
      </c>
      <c r="BE930" s="1" t="s">
        <v>8176</v>
      </c>
      <c r="BF930" s="2" t="str">
        <f>HYPERLINK("http://dx.doi.org/10.3390/ai6030047","http://dx.doi.org/10.3390/ai6030047")</f>
        <v>http://dx.doi.org/10.3390/ai6030047</v>
      </c>
      <c r="BG930" s="1" t="s">
        <v>74</v>
      </c>
      <c r="BH930" s="1" t="s">
        <v>74</v>
      </c>
      <c r="BI930" s="1" t="s">
        <v>74</v>
      </c>
      <c r="BJ930" s="1" t="s">
        <v>74</v>
      </c>
      <c r="BK930" s="1" t="s">
        <v>74</v>
      </c>
      <c r="BL930" s="1" t="s">
        <v>174</v>
      </c>
      <c r="BM930" s="1" t="s">
        <v>74</v>
      </c>
      <c r="BN930" s="1" t="s">
        <v>74</v>
      </c>
      <c r="BO930" s="1" t="s">
        <v>163</v>
      </c>
      <c r="BP930" s="1" t="s">
        <v>74</v>
      </c>
      <c r="BQ930" s="1" t="s">
        <v>74</v>
      </c>
      <c r="BR930" s="1" t="s">
        <v>74</v>
      </c>
      <c r="BS930" s="1" t="s">
        <v>8177</v>
      </c>
      <c r="BT930" s="1" t="str">
        <f>HYPERLINK("https%3A%2F%2Fwww.webofscience.com%2Fwos%2Fwoscc%2Ffull-record%2FWOS:001453531900001","View Full Record in Web of Science")</f>
        <v>View Full Record in Web of Science</v>
      </c>
    </row>
    <row r="931" ht="12.75" customHeight="1">
      <c r="A931" s="1" t="s">
        <v>72</v>
      </c>
      <c r="B931" s="1" t="s">
        <v>8178</v>
      </c>
      <c r="C931" s="1" t="s">
        <v>74</v>
      </c>
      <c r="D931" s="1" t="s">
        <v>74</v>
      </c>
      <c r="E931" s="1" t="s">
        <v>74</v>
      </c>
      <c r="F931" s="1" t="s">
        <v>8179</v>
      </c>
      <c r="G931" s="1" t="s">
        <v>74</v>
      </c>
      <c r="H931" s="1" t="s">
        <v>74</v>
      </c>
      <c r="I931" s="1" t="s">
        <v>8180</v>
      </c>
      <c r="J931" s="1" t="s">
        <v>8181</v>
      </c>
      <c r="K931" s="1" t="s">
        <v>74</v>
      </c>
      <c r="L931" s="1" t="s">
        <v>74</v>
      </c>
      <c r="M931" s="1" t="s">
        <v>74</v>
      </c>
      <c r="N931" s="1" t="s">
        <v>78</v>
      </c>
      <c r="O931" s="1" t="s">
        <v>74</v>
      </c>
      <c r="P931" s="1" t="s">
        <v>74</v>
      </c>
      <c r="Q931" s="1" t="s">
        <v>74</v>
      </c>
      <c r="R931" s="1" t="s">
        <v>74</v>
      </c>
      <c r="S931" s="1" t="s">
        <v>74</v>
      </c>
      <c r="T931" s="1" t="s">
        <v>8182</v>
      </c>
      <c r="U931" s="1" t="s">
        <v>74</v>
      </c>
      <c r="V931" s="1" t="s">
        <v>8183</v>
      </c>
      <c r="W931" s="1" t="s">
        <v>74</v>
      </c>
      <c r="X931" s="1" t="s">
        <v>74</v>
      </c>
      <c r="Y931" s="1" t="s">
        <v>74</v>
      </c>
      <c r="Z931" s="1" t="s">
        <v>74</v>
      </c>
      <c r="AA931" s="1" t="s">
        <v>74</v>
      </c>
      <c r="AB931" s="1" t="s">
        <v>74</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8184</v>
      </c>
      <c r="AP931" s="1" t="s">
        <v>74</v>
      </c>
      <c r="AQ931" s="1" t="s">
        <v>74</v>
      </c>
      <c r="AR931" s="1" t="s">
        <v>74</v>
      </c>
      <c r="AS931" s="1" t="s">
        <v>74</v>
      </c>
      <c r="AT931" s="1" t="s">
        <v>74</v>
      </c>
      <c r="AU931" s="1">
        <v>2025.0</v>
      </c>
      <c r="AV931" s="1">
        <v>33.0</v>
      </c>
      <c r="AW931" s="1">
        <v>3.0</v>
      </c>
      <c r="AX931" s="1" t="s">
        <v>74</v>
      </c>
      <c r="AY931" s="1" t="s">
        <v>74</v>
      </c>
      <c r="AZ931" s="1" t="s">
        <v>74</v>
      </c>
      <c r="BA931" s="1" t="s">
        <v>74</v>
      </c>
      <c r="BB931" s="1">
        <v>283.0</v>
      </c>
      <c r="BC931" s="1">
        <v>301.0</v>
      </c>
      <c r="BD931" s="1" t="s">
        <v>74</v>
      </c>
      <c r="BE931" s="1" t="s">
        <v>8185</v>
      </c>
      <c r="BF931" s="2" t="str">
        <f>HYPERLINK("http://dx.doi.org/10.56415/csjm.v33.14","http://dx.doi.org/10.56415/csjm.v33.14")</f>
        <v>http://dx.doi.org/10.56415/csjm.v33.14</v>
      </c>
      <c r="BG931" s="1" t="s">
        <v>74</v>
      </c>
      <c r="BH931" s="1" t="s">
        <v>74</v>
      </c>
      <c r="BI931" s="1" t="s">
        <v>74</v>
      </c>
      <c r="BJ931" s="1" t="s">
        <v>74</v>
      </c>
      <c r="BK931" s="1" t="s">
        <v>74</v>
      </c>
      <c r="BL931" s="1" t="s">
        <v>174</v>
      </c>
      <c r="BM931" s="1" t="s">
        <v>74</v>
      </c>
      <c r="BN931" s="1" t="s">
        <v>74</v>
      </c>
      <c r="BO931" s="1" t="s">
        <v>163</v>
      </c>
      <c r="BP931" s="1" t="s">
        <v>74</v>
      </c>
      <c r="BQ931" s="1" t="s">
        <v>74</v>
      </c>
      <c r="BR931" s="1" t="s">
        <v>74</v>
      </c>
      <c r="BS931" s="1" t="s">
        <v>8186</v>
      </c>
      <c r="BT931" s="1" t="str">
        <f>HYPERLINK("https%3A%2F%2Fwww.webofscience.com%2Fwos%2Fwoscc%2Ffull-record%2FWOS:001660673600001","View Full Record in Web of Science")</f>
        <v>View Full Record in Web of Science</v>
      </c>
    </row>
    <row r="932" ht="12.75" customHeight="1">
      <c r="A932" s="1" t="s">
        <v>72</v>
      </c>
      <c r="B932" s="1" t="s">
        <v>8187</v>
      </c>
      <c r="C932" s="1" t="s">
        <v>74</v>
      </c>
      <c r="D932" s="1" t="s">
        <v>74</v>
      </c>
      <c r="E932" s="1" t="s">
        <v>74</v>
      </c>
      <c r="F932" s="1" t="s">
        <v>8188</v>
      </c>
      <c r="G932" s="1" t="s">
        <v>74</v>
      </c>
      <c r="H932" s="1" t="s">
        <v>74</v>
      </c>
      <c r="I932" s="1" t="s">
        <v>8189</v>
      </c>
      <c r="J932" s="1" t="s">
        <v>1230</v>
      </c>
      <c r="K932" s="1" t="s">
        <v>74</v>
      </c>
      <c r="L932" s="1" t="s">
        <v>74</v>
      </c>
      <c r="M932" s="1" t="s">
        <v>74</v>
      </c>
      <c r="N932" s="1" t="s">
        <v>78</v>
      </c>
      <c r="O932" s="1" t="s">
        <v>74</v>
      </c>
      <c r="P932" s="1" t="s">
        <v>74</v>
      </c>
      <c r="Q932" s="1" t="s">
        <v>74</v>
      </c>
      <c r="R932" s="1" t="s">
        <v>74</v>
      </c>
      <c r="S932" s="1" t="s">
        <v>74</v>
      </c>
      <c r="T932" s="1" t="s">
        <v>8190</v>
      </c>
      <c r="U932" s="1" t="s">
        <v>74</v>
      </c>
      <c r="V932" s="1" t="s">
        <v>8191</v>
      </c>
      <c r="W932" s="1" t="s">
        <v>74</v>
      </c>
      <c r="X932" s="1" t="s">
        <v>74</v>
      </c>
      <c r="Y932" s="1" t="s">
        <v>74</v>
      </c>
      <c r="Z932" s="1" t="s">
        <v>74</v>
      </c>
      <c r="AA932" s="1" t="s">
        <v>74</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1233</v>
      </c>
      <c r="AP932" s="1" t="s">
        <v>1234</v>
      </c>
      <c r="AQ932" s="1" t="s">
        <v>74</v>
      </c>
      <c r="AR932" s="1" t="s">
        <v>74</v>
      </c>
      <c r="AS932" s="1" t="s">
        <v>74</v>
      </c>
      <c r="AT932" s="1" t="s">
        <v>8192</v>
      </c>
      <c r="AU932" s="1">
        <v>2022.0</v>
      </c>
      <c r="AV932" s="1">
        <v>202.0</v>
      </c>
      <c r="AW932" s="1" t="s">
        <v>74</v>
      </c>
      <c r="AX932" s="1" t="s">
        <v>74</v>
      </c>
      <c r="AY932" s="1" t="s">
        <v>74</v>
      </c>
      <c r="AZ932" s="1" t="s">
        <v>74</v>
      </c>
      <c r="BA932" s="1" t="s">
        <v>74</v>
      </c>
      <c r="BB932" s="1" t="s">
        <v>74</v>
      </c>
      <c r="BC932" s="1" t="s">
        <v>74</v>
      </c>
      <c r="BD932" s="1">
        <v>117239.0</v>
      </c>
      <c r="BE932" s="1" t="s">
        <v>8193</v>
      </c>
      <c r="BF932" s="2" t="str">
        <f>HYPERLINK("http://dx.doi.org/10.1016/j.eswa.2022.117239","http://dx.doi.org/10.1016/j.eswa.2022.117239")</f>
        <v>http://dx.doi.org/10.1016/j.eswa.2022.117239</v>
      </c>
      <c r="BG932" s="1" t="s">
        <v>74</v>
      </c>
      <c r="BH932" s="1" t="s">
        <v>8194</v>
      </c>
      <c r="BI932" s="1" t="s">
        <v>74</v>
      </c>
      <c r="BJ932" s="1" t="s">
        <v>74</v>
      </c>
      <c r="BK932" s="1" t="s">
        <v>74</v>
      </c>
      <c r="BL932" s="1" t="s">
        <v>1237</v>
      </c>
      <c r="BM932" s="1" t="s">
        <v>74</v>
      </c>
      <c r="BN932" s="1" t="s">
        <v>74</v>
      </c>
      <c r="BO932" s="1" t="s">
        <v>74</v>
      </c>
      <c r="BP932" s="1" t="s">
        <v>74</v>
      </c>
      <c r="BQ932" s="1" t="s">
        <v>74</v>
      </c>
      <c r="BR932" s="1" t="s">
        <v>74</v>
      </c>
      <c r="BS932" s="1" t="s">
        <v>8195</v>
      </c>
      <c r="BT932" s="1" t="str">
        <f>HYPERLINK("https%3A%2F%2Fwww.webofscience.com%2Fwos%2Fwoscc%2Ffull-record%2FWOS:000830170300005","View Full Record in Web of Science")</f>
        <v>View Full Record in Web of Science</v>
      </c>
    </row>
    <row r="933" ht="12.75" customHeight="1">
      <c r="A933" s="1" t="s">
        <v>72</v>
      </c>
      <c r="B933" s="1" t="s">
        <v>8196</v>
      </c>
      <c r="C933" s="1" t="s">
        <v>74</v>
      </c>
      <c r="D933" s="1" t="s">
        <v>74</v>
      </c>
      <c r="E933" s="1" t="s">
        <v>74</v>
      </c>
      <c r="F933" s="1" t="s">
        <v>8197</v>
      </c>
      <c r="G933" s="1" t="s">
        <v>74</v>
      </c>
      <c r="H933" s="1" t="s">
        <v>74</v>
      </c>
      <c r="I933" s="1" t="s">
        <v>8198</v>
      </c>
      <c r="J933" s="1" t="s">
        <v>8199</v>
      </c>
      <c r="K933" s="1" t="s">
        <v>74</v>
      </c>
      <c r="L933" s="1" t="s">
        <v>74</v>
      </c>
      <c r="M933" s="1" t="s">
        <v>74</v>
      </c>
      <c r="N933" s="1" t="s">
        <v>78</v>
      </c>
      <c r="O933" s="1" t="s">
        <v>74</v>
      </c>
      <c r="P933" s="1" t="s">
        <v>74</v>
      </c>
      <c r="Q933" s="1" t="s">
        <v>74</v>
      </c>
      <c r="R933" s="1" t="s">
        <v>74</v>
      </c>
      <c r="S933" s="1" t="s">
        <v>74</v>
      </c>
      <c r="T933" s="1" t="s">
        <v>74</v>
      </c>
      <c r="U933" s="1" t="s">
        <v>74</v>
      </c>
      <c r="V933" s="1" t="s">
        <v>8200</v>
      </c>
      <c r="W933" s="1" t="s">
        <v>74</v>
      </c>
      <c r="X933" s="1" t="s">
        <v>74</v>
      </c>
      <c r="Y933" s="1" t="s">
        <v>74</v>
      </c>
      <c r="Z933" s="1" t="s">
        <v>74</v>
      </c>
      <c r="AA933" s="1" t="s">
        <v>74</v>
      </c>
      <c r="AB933" s="1" t="s">
        <v>74</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74</v>
      </c>
      <c r="AP933" s="1" t="s">
        <v>8201</v>
      </c>
      <c r="AQ933" s="1" t="s">
        <v>74</v>
      </c>
      <c r="AR933" s="1" t="s">
        <v>74</v>
      </c>
      <c r="AS933" s="1" t="s">
        <v>74</v>
      </c>
      <c r="AT933" s="1" t="s">
        <v>8202</v>
      </c>
      <c r="AU933" s="1">
        <v>2025.0</v>
      </c>
      <c r="AV933" s="1">
        <v>13.0</v>
      </c>
      <c r="AW933" s="1" t="s">
        <v>74</v>
      </c>
      <c r="AX933" s="1" t="s">
        <v>74</v>
      </c>
      <c r="AY933" s="1" t="s">
        <v>74</v>
      </c>
      <c r="AZ933" s="1" t="s">
        <v>74</v>
      </c>
      <c r="BA933" s="1" t="s">
        <v>74</v>
      </c>
      <c r="BB933" s="1">
        <v>529.0</v>
      </c>
      <c r="BC933" s="1">
        <v>556.0</v>
      </c>
      <c r="BD933" s="1" t="s">
        <v>74</v>
      </c>
      <c r="BE933" s="1" t="s">
        <v>8203</v>
      </c>
      <c r="BF933" s="2" t="str">
        <f>HYPERLINK("http://dx.doi.org/10.1162/tacl_a_00754","http://dx.doi.org/10.1162/tacl_a_00754")</f>
        <v>http://dx.doi.org/10.1162/tacl_a_00754</v>
      </c>
      <c r="BG933" s="1" t="s">
        <v>74</v>
      </c>
      <c r="BH933" s="1" t="s">
        <v>74</v>
      </c>
      <c r="BI933" s="1" t="s">
        <v>74</v>
      </c>
      <c r="BJ933" s="1" t="s">
        <v>74</v>
      </c>
      <c r="BK933" s="1" t="s">
        <v>74</v>
      </c>
      <c r="BL933" s="1" t="s">
        <v>3854</v>
      </c>
      <c r="BM933" s="1" t="s">
        <v>74</v>
      </c>
      <c r="BN933" s="1" t="s">
        <v>74</v>
      </c>
      <c r="BO933" s="1" t="s">
        <v>163</v>
      </c>
      <c r="BP933" s="1" t="s">
        <v>74</v>
      </c>
      <c r="BQ933" s="1" t="s">
        <v>74</v>
      </c>
      <c r="BR933" s="1" t="s">
        <v>74</v>
      </c>
      <c r="BS933" s="1" t="s">
        <v>8204</v>
      </c>
      <c r="BT933" s="1" t="str">
        <f>HYPERLINK("https%3A%2F%2Fwww.webofscience.com%2Fwos%2Fwoscc%2Ffull-record%2FWOS:001521531200002","View Full Record in Web of Science")</f>
        <v>View Full Record in Web of Science</v>
      </c>
    </row>
    <row r="934" ht="12.75" customHeight="1">
      <c r="A934" s="1" t="s">
        <v>72</v>
      </c>
      <c r="B934" s="1" t="s">
        <v>8205</v>
      </c>
      <c r="C934" s="1" t="s">
        <v>74</v>
      </c>
      <c r="D934" s="1" t="s">
        <v>74</v>
      </c>
      <c r="E934" s="1" t="s">
        <v>74</v>
      </c>
      <c r="F934" s="1" t="s">
        <v>8206</v>
      </c>
      <c r="G934" s="1" t="s">
        <v>74</v>
      </c>
      <c r="H934" s="1" t="s">
        <v>74</v>
      </c>
      <c r="I934" s="1" t="s">
        <v>8207</v>
      </c>
      <c r="J934" s="1" t="s">
        <v>3475</v>
      </c>
      <c r="K934" s="1" t="s">
        <v>74</v>
      </c>
      <c r="L934" s="1" t="s">
        <v>74</v>
      </c>
      <c r="M934" s="1" t="s">
        <v>74</v>
      </c>
      <c r="N934" s="1" t="s">
        <v>78</v>
      </c>
      <c r="O934" s="1" t="s">
        <v>74</v>
      </c>
      <c r="P934" s="1" t="s">
        <v>74</v>
      </c>
      <c r="Q934" s="1" t="s">
        <v>74</v>
      </c>
      <c r="R934" s="1" t="s">
        <v>74</v>
      </c>
      <c r="S934" s="1" t="s">
        <v>74</v>
      </c>
      <c r="T934" s="1" t="s">
        <v>8208</v>
      </c>
      <c r="U934" s="1" t="s">
        <v>8209</v>
      </c>
      <c r="V934" s="1" t="s">
        <v>8210</v>
      </c>
      <c r="W934" s="1" t="s">
        <v>74</v>
      </c>
      <c r="X934" s="1" t="s">
        <v>74</v>
      </c>
      <c r="Y934" s="1" t="s">
        <v>74</v>
      </c>
      <c r="Z934" s="1" t="s">
        <v>74</v>
      </c>
      <c r="AA934" s="1" t="s">
        <v>74</v>
      </c>
      <c r="AB934" s="1" t="s">
        <v>74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3478</v>
      </c>
      <c r="AP934" s="1" t="s">
        <v>3479</v>
      </c>
      <c r="AQ934" s="1" t="s">
        <v>74</v>
      </c>
      <c r="AR934" s="1" t="s">
        <v>74</v>
      </c>
      <c r="AS934" s="1" t="s">
        <v>74</v>
      </c>
      <c r="AT934" s="1" t="s">
        <v>84</v>
      </c>
      <c r="AU934" s="1">
        <v>2025.0</v>
      </c>
      <c r="AV934" s="1">
        <v>45.0</v>
      </c>
      <c r="AW934" s="1" t="s">
        <v>74</v>
      </c>
      <c r="AX934" s="1" t="s">
        <v>74</v>
      </c>
      <c r="AY934" s="1" t="s">
        <v>74</v>
      </c>
      <c r="AZ934" s="1" t="s">
        <v>74</v>
      </c>
      <c r="BA934" s="1" t="s">
        <v>74</v>
      </c>
      <c r="BB934" s="1" t="s">
        <v>74</v>
      </c>
      <c r="BC934" s="1" t="s">
        <v>74</v>
      </c>
      <c r="BD934" s="1">
        <v>100835.0</v>
      </c>
      <c r="BE934" s="1" t="s">
        <v>8211</v>
      </c>
      <c r="BF934" s="2" t="str">
        <f>HYPERLINK("http://dx.doi.org/10.1016/j.jii.2025.100835","http://dx.doi.org/10.1016/j.jii.2025.100835")</f>
        <v>http://dx.doi.org/10.1016/j.jii.2025.100835</v>
      </c>
      <c r="BG934" s="1" t="s">
        <v>74</v>
      </c>
      <c r="BH934" s="1" t="s">
        <v>347</v>
      </c>
      <c r="BI934" s="1" t="s">
        <v>74</v>
      </c>
      <c r="BJ934" s="1" t="s">
        <v>74</v>
      </c>
      <c r="BK934" s="1" t="s">
        <v>74</v>
      </c>
      <c r="BL934" s="1" t="s">
        <v>98</v>
      </c>
      <c r="BM934" s="1" t="s">
        <v>74</v>
      </c>
      <c r="BN934" s="1" t="s">
        <v>74</v>
      </c>
      <c r="BO934" s="1" t="s">
        <v>127</v>
      </c>
      <c r="BP934" s="1" t="s">
        <v>74</v>
      </c>
      <c r="BQ934" s="1" t="s">
        <v>74</v>
      </c>
      <c r="BR934" s="1" t="s">
        <v>74</v>
      </c>
      <c r="BS934" s="1" t="s">
        <v>8212</v>
      </c>
      <c r="BT934" s="1" t="str">
        <f>HYPERLINK("https%3A%2F%2Fwww.webofscience.com%2Fwos%2Fwoscc%2Ffull-record%2FWOS:001455333200001","View Full Record in Web of Science")</f>
        <v>View Full Record in Web of Science</v>
      </c>
    </row>
    <row r="935" ht="12.75" customHeight="1">
      <c r="A935" s="1" t="s">
        <v>72</v>
      </c>
      <c r="B935" s="1" t="s">
        <v>8213</v>
      </c>
      <c r="C935" s="1" t="s">
        <v>74</v>
      </c>
      <c r="D935" s="1" t="s">
        <v>74</v>
      </c>
      <c r="E935" s="1" t="s">
        <v>74</v>
      </c>
      <c r="F935" s="1" t="s">
        <v>8214</v>
      </c>
      <c r="G935" s="1" t="s">
        <v>74</v>
      </c>
      <c r="H935" s="1" t="s">
        <v>74</v>
      </c>
      <c r="I935" s="1" t="s">
        <v>8215</v>
      </c>
      <c r="J935" s="1" t="s">
        <v>281</v>
      </c>
      <c r="K935" s="1" t="s">
        <v>74</v>
      </c>
      <c r="L935" s="1" t="s">
        <v>74</v>
      </c>
      <c r="M935" s="1" t="s">
        <v>74</v>
      </c>
      <c r="N935" s="1" t="s">
        <v>78</v>
      </c>
      <c r="O935" s="1" t="s">
        <v>74</v>
      </c>
      <c r="P935" s="1" t="s">
        <v>74</v>
      </c>
      <c r="Q935" s="1" t="s">
        <v>74</v>
      </c>
      <c r="R935" s="1" t="s">
        <v>74</v>
      </c>
      <c r="S935" s="1" t="s">
        <v>74</v>
      </c>
      <c r="T935" s="1" t="s">
        <v>8216</v>
      </c>
      <c r="U935" s="1" t="s">
        <v>7849</v>
      </c>
      <c r="V935" s="1" t="s">
        <v>8217</v>
      </c>
      <c r="W935" s="1" t="s">
        <v>74</v>
      </c>
      <c r="X935" s="1" t="s">
        <v>74</v>
      </c>
      <c r="Y935" s="1" t="s">
        <v>74</v>
      </c>
      <c r="Z935" s="1" t="s">
        <v>74</v>
      </c>
      <c r="AA935" s="1" t="s">
        <v>74</v>
      </c>
      <c r="AB935" s="1" t="s">
        <v>74</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285</v>
      </c>
      <c r="AP935" s="1" t="s">
        <v>286</v>
      </c>
      <c r="AQ935" s="1" t="s">
        <v>74</v>
      </c>
      <c r="AR935" s="1" t="s">
        <v>74</v>
      </c>
      <c r="AS935" s="1" t="s">
        <v>74</v>
      </c>
      <c r="AT935" s="1" t="s">
        <v>5827</v>
      </c>
      <c r="AU935" s="1">
        <v>2024.0</v>
      </c>
      <c r="AV935" s="1">
        <v>31.0</v>
      </c>
      <c r="AW935" s="1">
        <v>6.0</v>
      </c>
      <c r="AX935" s="1" t="s">
        <v>74</v>
      </c>
      <c r="AY935" s="1" t="s">
        <v>74</v>
      </c>
      <c r="AZ935" s="1" t="s">
        <v>74</v>
      </c>
      <c r="BA935" s="1" t="s">
        <v>74</v>
      </c>
      <c r="BB935" s="1">
        <v>1356.0</v>
      </c>
      <c r="BC935" s="1">
        <v>1366.0</v>
      </c>
      <c r="BD935" s="1" t="s">
        <v>74</v>
      </c>
      <c r="BE935" s="1" t="s">
        <v>8218</v>
      </c>
      <c r="BF935" s="2" t="str">
        <f>HYPERLINK("http://dx.doi.org/10.1093/jamia/ocae039","http://dx.doi.org/10.1093/jamia/ocae039")</f>
        <v>http://dx.doi.org/10.1093/jamia/ocae039</v>
      </c>
      <c r="BG935" s="1" t="s">
        <v>74</v>
      </c>
      <c r="BH935" s="1" t="s">
        <v>86</v>
      </c>
      <c r="BI935" s="1" t="s">
        <v>74</v>
      </c>
      <c r="BJ935" s="1" t="s">
        <v>74</v>
      </c>
      <c r="BK935" s="1" t="s">
        <v>74</v>
      </c>
      <c r="BL935" s="1" t="s">
        <v>291</v>
      </c>
      <c r="BM935" s="1" t="s">
        <v>74</v>
      </c>
      <c r="BN935" s="1" t="s">
        <v>74</v>
      </c>
      <c r="BO935" s="1" t="s">
        <v>127</v>
      </c>
      <c r="BP935" s="1" t="s">
        <v>74</v>
      </c>
      <c r="BQ935" s="1" t="s">
        <v>74</v>
      </c>
      <c r="BR935" s="1" t="s">
        <v>74</v>
      </c>
      <c r="BS935" s="1" t="s">
        <v>8219</v>
      </c>
      <c r="BT935" s="1" t="str">
        <f>HYPERLINK("https%3A%2F%2Fwww.webofscience.com%2Fwos%2Fwoscc%2Ffull-record%2FWOS:001179493300001","View Full Record in Web of Science")</f>
        <v>View Full Record in Web of Science</v>
      </c>
    </row>
    <row r="936" ht="12.75" customHeight="1">
      <c r="A936" s="1" t="s">
        <v>72</v>
      </c>
      <c r="B936" s="1" t="s">
        <v>8220</v>
      </c>
      <c r="C936" s="1" t="s">
        <v>74</v>
      </c>
      <c r="D936" s="1" t="s">
        <v>74</v>
      </c>
      <c r="E936" s="1" t="s">
        <v>74</v>
      </c>
      <c r="F936" s="1" t="s">
        <v>8221</v>
      </c>
      <c r="G936" s="1" t="s">
        <v>74</v>
      </c>
      <c r="H936" s="1" t="s">
        <v>74</v>
      </c>
      <c r="I936" s="1" t="s">
        <v>8222</v>
      </c>
      <c r="J936" s="1" t="s">
        <v>5971</v>
      </c>
      <c r="K936" s="1" t="s">
        <v>74</v>
      </c>
      <c r="L936" s="1" t="s">
        <v>74</v>
      </c>
      <c r="M936" s="1" t="s">
        <v>74</v>
      </c>
      <c r="N936" s="1" t="s">
        <v>78</v>
      </c>
      <c r="O936" s="1" t="s">
        <v>74</v>
      </c>
      <c r="P936" s="1" t="s">
        <v>74</v>
      </c>
      <c r="Q936" s="1" t="s">
        <v>74</v>
      </c>
      <c r="R936" s="1" t="s">
        <v>74</v>
      </c>
      <c r="S936" s="1" t="s">
        <v>74</v>
      </c>
      <c r="T936" s="1" t="s">
        <v>8223</v>
      </c>
      <c r="U936" s="1" t="s">
        <v>8224</v>
      </c>
      <c r="V936" s="1" t="s">
        <v>8225</v>
      </c>
      <c r="W936" s="1" t="s">
        <v>74</v>
      </c>
      <c r="X936" s="1" t="s">
        <v>74</v>
      </c>
      <c r="Y936" s="1" t="s">
        <v>74</v>
      </c>
      <c r="Z936" s="1" t="s">
        <v>74</v>
      </c>
      <c r="AA936" s="1" t="s">
        <v>74</v>
      </c>
      <c r="AB936" s="1" t="s">
        <v>74</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74</v>
      </c>
      <c r="AP936" s="1" t="s">
        <v>5975</v>
      </c>
      <c r="AQ936" s="1" t="s">
        <v>74</v>
      </c>
      <c r="AR936" s="1" t="s">
        <v>74</v>
      </c>
      <c r="AS936" s="1" t="s">
        <v>74</v>
      </c>
      <c r="AT936" s="1" t="s">
        <v>6218</v>
      </c>
      <c r="AU936" s="1">
        <v>2025.0</v>
      </c>
      <c r="AV936" s="1">
        <v>4.0</v>
      </c>
      <c r="AW936" s="1">
        <v>3.0</v>
      </c>
      <c r="AX936" s="1" t="s">
        <v>74</v>
      </c>
      <c r="AY936" s="1" t="s">
        <v>74</v>
      </c>
      <c r="AZ936" s="1" t="s">
        <v>74</v>
      </c>
      <c r="BA936" s="1" t="s">
        <v>74</v>
      </c>
      <c r="BB936" s="1" t="s">
        <v>74</v>
      </c>
      <c r="BC936" s="1" t="s">
        <v>74</v>
      </c>
      <c r="BD936" s="1" t="s">
        <v>8226</v>
      </c>
      <c r="BE936" s="1" t="s">
        <v>8227</v>
      </c>
      <c r="BF936" s="2" t="str">
        <f>HYPERLINK("http://dx.doi.org/10.1093/pnasnexus/pgaf068","http://dx.doi.org/10.1093/pnasnexus/pgaf068")</f>
        <v>http://dx.doi.org/10.1093/pnasnexus/pgaf068</v>
      </c>
      <c r="BG936" s="1" t="s">
        <v>74</v>
      </c>
      <c r="BH936" s="1" t="s">
        <v>74</v>
      </c>
      <c r="BI936" s="1" t="s">
        <v>74</v>
      </c>
      <c r="BJ936" s="1" t="s">
        <v>74</v>
      </c>
      <c r="BK936" s="1" t="s">
        <v>74</v>
      </c>
      <c r="BL936" s="1" t="s">
        <v>5979</v>
      </c>
      <c r="BM936" s="1" t="s">
        <v>74</v>
      </c>
      <c r="BN936" s="1" t="s">
        <v>74</v>
      </c>
      <c r="BO936" s="1" t="s">
        <v>153</v>
      </c>
      <c r="BP936" s="1" t="s">
        <v>74</v>
      </c>
      <c r="BQ936" s="1" t="s">
        <v>74</v>
      </c>
      <c r="BR936" s="1" t="s">
        <v>74</v>
      </c>
      <c r="BS936" s="1" t="s">
        <v>8228</v>
      </c>
      <c r="BT936" s="1" t="str">
        <f>HYPERLINK("https%3A%2F%2Fwww.webofscience.com%2Fwos%2Fwoscc%2Ffull-record%2FWOS:001446407600001","View Full Record in Web of Science")</f>
        <v>View Full Record in Web of Science</v>
      </c>
    </row>
    <row r="937" ht="12.75" customHeight="1">
      <c r="A937" s="1" t="s">
        <v>72</v>
      </c>
      <c r="B937" s="1" t="s">
        <v>8229</v>
      </c>
      <c r="C937" s="1" t="s">
        <v>74</v>
      </c>
      <c r="D937" s="1" t="s">
        <v>74</v>
      </c>
      <c r="E937" s="1" t="s">
        <v>74</v>
      </c>
      <c r="F937" s="1" t="s">
        <v>8230</v>
      </c>
      <c r="G937" s="1" t="s">
        <v>74</v>
      </c>
      <c r="H937" s="1" t="s">
        <v>74</v>
      </c>
      <c r="I937" s="1" t="s">
        <v>8231</v>
      </c>
      <c r="J937" s="1" t="s">
        <v>4483</v>
      </c>
      <c r="K937" s="1" t="s">
        <v>74</v>
      </c>
      <c r="L937" s="1" t="s">
        <v>74</v>
      </c>
      <c r="M937" s="1" t="s">
        <v>74</v>
      </c>
      <c r="N937" s="1" t="s">
        <v>78</v>
      </c>
      <c r="O937" s="1" t="s">
        <v>74</v>
      </c>
      <c r="P937" s="1" t="s">
        <v>74</v>
      </c>
      <c r="Q937" s="1" t="s">
        <v>74</v>
      </c>
      <c r="R937" s="1" t="s">
        <v>74</v>
      </c>
      <c r="S937" s="1" t="s">
        <v>74</v>
      </c>
      <c r="T937" s="1" t="s">
        <v>8232</v>
      </c>
      <c r="U937" s="1" t="s">
        <v>8233</v>
      </c>
      <c r="V937" s="1" t="s">
        <v>8234</v>
      </c>
      <c r="W937" s="1" t="s">
        <v>74</v>
      </c>
      <c r="X937" s="1" t="s">
        <v>74</v>
      </c>
      <c r="Y937" s="1" t="s">
        <v>74</v>
      </c>
      <c r="Z937" s="1" t="s">
        <v>74</v>
      </c>
      <c r="AA937" s="1" t="s">
        <v>74</v>
      </c>
      <c r="AB937" s="1" t="s">
        <v>74</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4487</v>
      </c>
      <c r="AP937" s="1" t="s">
        <v>4488</v>
      </c>
      <c r="AQ937" s="1" t="s">
        <v>74</v>
      </c>
      <c r="AR937" s="1" t="s">
        <v>74</v>
      </c>
      <c r="AS937" s="1" t="s">
        <v>74</v>
      </c>
      <c r="AT937" s="1" t="s">
        <v>736</v>
      </c>
      <c r="AU937" s="1">
        <v>2026.0</v>
      </c>
      <c r="AV937" s="1">
        <v>208.0</v>
      </c>
      <c r="AW937" s="1" t="s">
        <v>74</v>
      </c>
      <c r="AX937" s="1" t="s">
        <v>74</v>
      </c>
      <c r="AY937" s="1" t="s">
        <v>74</v>
      </c>
      <c r="AZ937" s="1" t="s">
        <v>74</v>
      </c>
      <c r="BA937" s="1" t="s">
        <v>74</v>
      </c>
      <c r="BB937" s="1" t="s">
        <v>74</v>
      </c>
      <c r="BC937" s="1" t="s">
        <v>74</v>
      </c>
      <c r="BD937" s="1">
        <v>103687.0</v>
      </c>
      <c r="BE937" s="1" t="s">
        <v>8235</v>
      </c>
      <c r="BF937" s="2" t="str">
        <f>HYPERLINK("http://dx.doi.org/10.1016/j.ijhcs.2025.103687","http://dx.doi.org/10.1016/j.ijhcs.2025.103687")</f>
        <v>http://dx.doi.org/10.1016/j.ijhcs.2025.103687</v>
      </c>
      <c r="BG937" s="1" t="s">
        <v>74</v>
      </c>
      <c r="BH937" s="1" t="s">
        <v>605</v>
      </c>
      <c r="BI937" s="1" t="s">
        <v>74</v>
      </c>
      <c r="BJ937" s="1" t="s">
        <v>74</v>
      </c>
      <c r="BK937" s="1" t="s">
        <v>74</v>
      </c>
      <c r="BL937" s="1" t="s">
        <v>4490</v>
      </c>
      <c r="BM937" s="1" t="s">
        <v>74</v>
      </c>
      <c r="BN937" s="1" t="s">
        <v>74</v>
      </c>
      <c r="BO937" s="1" t="s">
        <v>114</v>
      </c>
      <c r="BP937" s="1" t="s">
        <v>74</v>
      </c>
      <c r="BQ937" s="1" t="s">
        <v>74</v>
      </c>
      <c r="BR937" s="1" t="s">
        <v>74</v>
      </c>
      <c r="BS937" s="1" t="s">
        <v>8236</v>
      </c>
      <c r="BT937" s="1" t="str">
        <f>HYPERLINK("https%3A%2F%2Fwww.webofscience.com%2Fwos%2Fwoscc%2Ffull-record%2FWOS:001633421400001","View Full Record in Web of Science")</f>
        <v>View Full Record in Web of Science</v>
      </c>
    </row>
    <row r="938" ht="12.75" customHeight="1">
      <c r="A938" s="1" t="s">
        <v>72</v>
      </c>
      <c r="B938" s="1" t="s">
        <v>8237</v>
      </c>
      <c r="C938" s="1" t="s">
        <v>74</v>
      </c>
      <c r="D938" s="1" t="s">
        <v>74</v>
      </c>
      <c r="E938" s="1" t="s">
        <v>74</v>
      </c>
      <c r="F938" s="1" t="s">
        <v>8238</v>
      </c>
      <c r="G938" s="1" t="s">
        <v>74</v>
      </c>
      <c r="H938" s="1" t="s">
        <v>74</v>
      </c>
      <c r="I938" s="1" t="s">
        <v>8239</v>
      </c>
      <c r="J938" s="1" t="s">
        <v>239</v>
      </c>
      <c r="K938" s="1" t="s">
        <v>74</v>
      </c>
      <c r="L938" s="1" t="s">
        <v>74</v>
      </c>
      <c r="M938" s="1" t="s">
        <v>74</v>
      </c>
      <c r="N938" s="1" t="s">
        <v>78</v>
      </c>
      <c r="O938" s="1" t="s">
        <v>74</v>
      </c>
      <c r="P938" s="1" t="s">
        <v>74</v>
      </c>
      <c r="Q938" s="1" t="s">
        <v>74</v>
      </c>
      <c r="R938" s="1" t="s">
        <v>74</v>
      </c>
      <c r="S938" s="1" t="s">
        <v>74</v>
      </c>
      <c r="T938" s="1" t="s">
        <v>8240</v>
      </c>
      <c r="U938" s="1" t="s">
        <v>74</v>
      </c>
      <c r="V938" s="1" t="s">
        <v>8241</v>
      </c>
      <c r="W938" s="1" t="s">
        <v>74</v>
      </c>
      <c r="X938" s="1" t="s">
        <v>74</v>
      </c>
      <c r="Y938" s="1" t="s">
        <v>74</v>
      </c>
      <c r="Z938" s="1" t="s">
        <v>74</v>
      </c>
      <c r="AA938" s="1" t="s">
        <v>74</v>
      </c>
      <c r="AB938" s="1" t="s">
        <v>74</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242</v>
      </c>
      <c r="AP938" s="1" t="s">
        <v>74</v>
      </c>
      <c r="AQ938" s="1" t="s">
        <v>74</v>
      </c>
      <c r="AR938" s="1" t="s">
        <v>74</v>
      </c>
      <c r="AS938" s="1" t="s">
        <v>74</v>
      </c>
      <c r="AT938" s="1" t="s">
        <v>8242</v>
      </c>
      <c r="AU938" s="1">
        <v>2025.0</v>
      </c>
      <c r="AV938" s="1">
        <v>14.0</v>
      </c>
      <c r="AW938" s="1">
        <v>15.0</v>
      </c>
      <c r="AX938" s="1" t="s">
        <v>74</v>
      </c>
      <c r="AY938" s="1" t="s">
        <v>74</v>
      </c>
      <c r="AZ938" s="1" t="s">
        <v>74</v>
      </c>
      <c r="BA938" s="1" t="s">
        <v>74</v>
      </c>
      <c r="BB938" s="1" t="s">
        <v>74</v>
      </c>
      <c r="BC938" s="1" t="s">
        <v>74</v>
      </c>
      <c r="BD938" s="1">
        <v>3008.0</v>
      </c>
      <c r="BE938" s="1" t="s">
        <v>8243</v>
      </c>
      <c r="BF938" s="2" t="str">
        <f>HYPERLINK("http://dx.doi.org/10.3390/electronics14153008","http://dx.doi.org/10.3390/electronics14153008")</f>
        <v>http://dx.doi.org/10.3390/electronics14153008</v>
      </c>
      <c r="BG938" s="1" t="s">
        <v>74</v>
      </c>
      <c r="BH938" s="1" t="s">
        <v>74</v>
      </c>
      <c r="BI938" s="1" t="s">
        <v>74</v>
      </c>
      <c r="BJ938" s="1" t="s">
        <v>74</v>
      </c>
      <c r="BK938" s="1" t="s">
        <v>74</v>
      </c>
      <c r="BL938" s="1" t="s">
        <v>244</v>
      </c>
      <c r="BM938" s="1" t="s">
        <v>74</v>
      </c>
      <c r="BN938" s="1" t="s">
        <v>74</v>
      </c>
      <c r="BO938" s="1" t="s">
        <v>163</v>
      </c>
      <c r="BP938" s="1" t="s">
        <v>74</v>
      </c>
      <c r="BQ938" s="1" t="s">
        <v>74</v>
      </c>
      <c r="BR938" s="1" t="s">
        <v>74</v>
      </c>
      <c r="BS938" s="1" t="s">
        <v>8244</v>
      </c>
      <c r="BT938" s="1" t="str">
        <f>HYPERLINK("https%3A%2F%2Fwww.webofscience.com%2Fwos%2Fwoscc%2Ffull-record%2FWOS:001550687500001","View Full Record in Web of Science")</f>
        <v>View Full Record in Web of Science</v>
      </c>
    </row>
    <row r="939" ht="12.75" customHeight="1">
      <c r="A939" s="1" t="s">
        <v>72</v>
      </c>
      <c r="B939" s="1" t="s">
        <v>8245</v>
      </c>
      <c r="C939" s="1" t="s">
        <v>74</v>
      </c>
      <c r="D939" s="1" t="s">
        <v>74</v>
      </c>
      <c r="E939" s="1" t="s">
        <v>74</v>
      </c>
      <c r="F939" s="1" t="s">
        <v>8246</v>
      </c>
      <c r="G939" s="1" t="s">
        <v>74</v>
      </c>
      <c r="H939" s="1" t="s">
        <v>74</v>
      </c>
      <c r="I939" s="1" t="s">
        <v>8247</v>
      </c>
      <c r="J939" s="1" t="s">
        <v>8199</v>
      </c>
      <c r="K939" s="1" t="s">
        <v>74</v>
      </c>
      <c r="L939" s="1" t="s">
        <v>74</v>
      </c>
      <c r="M939" s="1" t="s">
        <v>74</v>
      </c>
      <c r="N939" s="1" t="s">
        <v>78</v>
      </c>
      <c r="O939" s="1" t="s">
        <v>74</v>
      </c>
      <c r="P939" s="1" t="s">
        <v>74</v>
      </c>
      <c r="Q939" s="1" t="s">
        <v>74</v>
      </c>
      <c r="R939" s="1" t="s">
        <v>74</v>
      </c>
      <c r="S939" s="1" t="s">
        <v>74</v>
      </c>
      <c r="T939" s="1" t="s">
        <v>74</v>
      </c>
      <c r="U939" s="1" t="s">
        <v>74</v>
      </c>
      <c r="V939" s="1" t="s">
        <v>8248</v>
      </c>
      <c r="W939" s="1" t="s">
        <v>74</v>
      </c>
      <c r="X939" s="1" t="s">
        <v>74</v>
      </c>
      <c r="Y939" s="1" t="s">
        <v>74</v>
      </c>
      <c r="Z939" s="1" t="s">
        <v>74</v>
      </c>
      <c r="AA939" s="1" t="s">
        <v>74</v>
      </c>
      <c r="AB939" s="1" t="s">
        <v>74</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74</v>
      </c>
      <c r="AP939" s="1" t="s">
        <v>8201</v>
      </c>
      <c r="AQ939" s="1" t="s">
        <v>74</v>
      </c>
      <c r="AR939" s="1" t="s">
        <v>74</v>
      </c>
      <c r="AS939" s="1" t="s">
        <v>74</v>
      </c>
      <c r="AT939" s="1" t="s">
        <v>8249</v>
      </c>
      <c r="AU939" s="1">
        <v>2024.0</v>
      </c>
      <c r="AV939" s="1">
        <v>12.0</v>
      </c>
      <c r="AW939" s="1" t="s">
        <v>74</v>
      </c>
      <c r="AX939" s="1" t="s">
        <v>74</v>
      </c>
      <c r="AY939" s="1" t="s">
        <v>74</v>
      </c>
      <c r="AZ939" s="1" t="s">
        <v>74</v>
      </c>
      <c r="BA939" s="1" t="s">
        <v>74</v>
      </c>
      <c r="BB939" s="1">
        <v>1497.0</v>
      </c>
      <c r="BC939" s="1">
        <v>1516.0</v>
      </c>
      <c r="BD939" s="1" t="s">
        <v>74</v>
      </c>
      <c r="BE939" s="1" t="s">
        <v>8250</v>
      </c>
      <c r="BF939" s="2" t="str">
        <f>HYPERLINK("http://dx.doi.org/10.1162/tacl_a_00715","http://dx.doi.org/10.1162/tacl_a_00715")</f>
        <v>http://dx.doi.org/10.1162/tacl_a_00715</v>
      </c>
      <c r="BG939" s="1" t="s">
        <v>74</v>
      </c>
      <c r="BH939" s="1" t="s">
        <v>74</v>
      </c>
      <c r="BI939" s="1" t="s">
        <v>74</v>
      </c>
      <c r="BJ939" s="1" t="s">
        <v>74</v>
      </c>
      <c r="BK939" s="1" t="s">
        <v>74</v>
      </c>
      <c r="BL939" s="1" t="s">
        <v>3854</v>
      </c>
      <c r="BM939" s="1" t="s">
        <v>74</v>
      </c>
      <c r="BN939" s="1" t="s">
        <v>74</v>
      </c>
      <c r="BO939" s="1" t="s">
        <v>163</v>
      </c>
      <c r="BP939" s="1" t="s">
        <v>74</v>
      </c>
      <c r="BQ939" s="1" t="s">
        <v>74</v>
      </c>
      <c r="BR939" s="1" t="s">
        <v>74</v>
      </c>
      <c r="BS939" s="1" t="s">
        <v>8251</v>
      </c>
      <c r="BT939" s="1" t="str">
        <f>HYPERLINK("https%3A%2F%2Fwww.webofscience.com%2Fwos%2Fwoscc%2Ffull-record%2FWOS:001361348300002","View Full Record in Web of Science")</f>
        <v>View Full Record in Web of Science</v>
      </c>
    </row>
    <row r="940" ht="12.75" customHeight="1">
      <c r="A940" s="1" t="s">
        <v>72</v>
      </c>
      <c r="B940" s="1" t="s">
        <v>8252</v>
      </c>
      <c r="C940" s="1" t="s">
        <v>74</v>
      </c>
      <c r="D940" s="1" t="s">
        <v>74</v>
      </c>
      <c r="E940" s="1" t="s">
        <v>74</v>
      </c>
      <c r="F940" s="1" t="s">
        <v>8253</v>
      </c>
      <c r="G940" s="1" t="s">
        <v>74</v>
      </c>
      <c r="H940" s="1" t="s">
        <v>74</v>
      </c>
      <c r="I940" s="1" t="s">
        <v>8254</v>
      </c>
      <c r="J940" s="1" t="s">
        <v>431</v>
      </c>
      <c r="K940" s="1" t="s">
        <v>74</v>
      </c>
      <c r="L940" s="1" t="s">
        <v>74</v>
      </c>
      <c r="M940" s="1" t="s">
        <v>74</v>
      </c>
      <c r="N940" s="1" t="s">
        <v>78</v>
      </c>
      <c r="O940" s="1" t="s">
        <v>74</v>
      </c>
      <c r="P940" s="1" t="s">
        <v>74</v>
      </c>
      <c r="Q940" s="1" t="s">
        <v>74</v>
      </c>
      <c r="R940" s="1" t="s">
        <v>74</v>
      </c>
      <c r="S940" s="1" t="s">
        <v>74</v>
      </c>
      <c r="T940" s="1" t="s">
        <v>8255</v>
      </c>
      <c r="U940" s="1" t="s">
        <v>1376</v>
      </c>
      <c r="V940" s="1" t="s">
        <v>8256</v>
      </c>
      <c r="W940" s="1" t="s">
        <v>74</v>
      </c>
      <c r="X940" s="1" t="s">
        <v>74</v>
      </c>
      <c r="Y940" s="1" t="s">
        <v>74</v>
      </c>
      <c r="Z940" s="1" t="s">
        <v>74</v>
      </c>
      <c r="AA940" s="1" t="s">
        <v>74</v>
      </c>
      <c r="AB940" s="1" t="s">
        <v>74</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74</v>
      </c>
      <c r="AP940" s="1" t="s">
        <v>434</v>
      </c>
      <c r="AQ940" s="1" t="s">
        <v>74</v>
      </c>
      <c r="AR940" s="1" t="s">
        <v>74</v>
      </c>
      <c r="AS940" s="1" t="s">
        <v>74</v>
      </c>
      <c r="AT940" s="1" t="s">
        <v>8257</v>
      </c>
      <c r="AU940" s="1">
        <v>2024.0</v>
      </c>
      <c r="AV940" s="1">
        <v>6.0</v>
      </c>
      <c r="AW940" s="1" t="s">
        <v>74</v>
      </c>
      <c r="AX940" s="1" t="s">
        <v>74</v>
      </c>
      <c r="AY940" s="1" t="s">
        <v>74</v>
      </c>
      <c r="AZ940" s="1" t="s">
        <v>74</v>
      </c>
      <c r="BA940" s="1" t="s">
        <v>74</v>
      </c>
      <c r="BB940" s="1" t="s">
        <v>74</v>
      </c>
      <c r="BC940" s="1" t="s">
        <v>74</v>
      </c>
      <c r="BD940" s="1">
        <v>1427463.0</v>
      </c>
      <c r="BE940" s="1" t="s">
        <v>8258</v>
      </c>
      <c r="BF940" s="2" t="str">
        <f>HYPERLINK("http://dx.doi.org/10.3389/fcomp.2024.1427463","http://dx.doi.org/10.3389/fcomp.2024.1427463")</f>
        <v>http://dx.doi.org/10.3389/fcomp.2024.1427463</v>
      </c>
      <c r="BG940" s="1" t="s">
        <v>74</v>
      </c>
      <c r="BH940" s="1" t="s">
        <v>74</v>
      </c>
      <c r="BI940" s="1" t="s">
        <v>74</v>
      </c>
      <c r="BJ940" s="1" t="s">
        <v>74</v>
      </c>
      <c r="BK940" s="1" t="s">
        <v>74</v>
      </c>
      <c r="BL940" s="1" t="s">
        <v>174</v>
      </c>
      <c r="BM940" s="1" t="s">
        <v>74</v>
      </c>
      <c r="BN940" s="1" t="s">
        <v>74</v>
      </c>
      <c r="BO940" s="1" t="s">
        <v>163</v>
      </c>
      <c r="BP940" s="1" t="s">
        <v>74</v>
      </c>
      <c r="BQ940" s="1" t="s">
        <v>74</v>
      </c>
      <c r="BR940" s="1" t="s">
        <v>74</v>
      </c>
      <c r="BS940" s="1" t="s">
        <v>8259</v>
      </c>
      <c r="BT940" s="1" t="str">
        <f>HYPERLINK("https%3A%2F%2Fwww.webofscience.com%2Fwos%2Fwoscc%2Ffull-record%2FWOS:001345292900001","View Full Record in Web of Science")</f>
        <v>View Full Record in Web of Science</v>
      </c>
    </row>
    <row r="941" ht="12.75" customHeight="1">
      <c r="A941" s="1" t="s">
        <v>72</v>
      </c>
      <c r="B941" s="1" t="s">
        <v>8260</v>
      </c>
      <c r="C941" s="1" t="s">
        <v>74</v>
      </c>
      <c r="D941" s="1" t="s">
        <v>74</v>
      </c>
      <c r="E941" s="1" t="s">
        <v>74</v>
      </c>
      <c r="F941" s="1" t="s">
        <v>8261</v>
      </c>
      <c r="G941" s="1" t="s">
        <v>74</v>
      </c>
      <c r="H941" s="1" t="s">
        <v>74</v>
      </c>
      <c r="I941" s="1" t="s">
        <v>8262</v>
      </c>
      <c r="J941" s="1" t="s">
        <v>8263</v>
      </c>
      <c r="K941" s="1" t="s">
        <v>74</v>
      </c>
      <c r="L941" s="1" t="s">
        <v>74</v>
      </c>
      <c r="M941" s="1" t="s">
        <v>74</v>
      </c>
      <c r="N941" s="1" t="s">
        <v>78</v>
      </c>
      <c r="O941" s="1" t="s">
        <v>74</v>
      </c>
      <c r="P941" s="1" t="s">
        <v>74</v>
      </c>
      <c r="Q941" s="1" t="s">
        <v>74</v>
      </c>
      <c r="R941" s="1" t="s">
        <v>74</v>
      </c>
      <c r="S941" s="1" t="s">
        <v>74</v>
      </c>
      <c r="T941" s="1" t="s">
        <v>8264</v>
      </c>
      <c r="U941" s="1" t="s">
        <v>74</v>
      </c>
      <c r="V941" s="1" t="s">
        <v>8265</v>
      </c>
      <c r="W941" s="1" t="s">
        <v>74</v>
      </c>
      <c r="X941" s="1" t="s">
        <v>74</v>
      </c>
      <c r="Y941" s="1" t="s">
        <v>74</v>
      </c>
      <c r="Z941" s="1" t="s">
        <v>74</v>
      </c>
      <c r="AA941" s="1" t="s">
        <v>74</v>
      </c>
      <c r="AB941" s="1" t="s">
        <v>74</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8266</v>
      </c>
      <c r="AP941" s="1" t="s">
        <v>8267</v>
      </c>
      <c r="AQ941" s="1" t="s">
        <v>74</v>
      </c>
      <c r="AR941" s="1" t="s">
        <v>74</v>
      </c>
      <c r="AS941" s="1" t="s">
        <v>74</v>
      </c>
      <c r="AT941" s="1" t="s">
        <v>8268</v>
      </c>
      <c r="AU941" s="1">
        <v>2025.0</v>
      </c>
      <c r="AV941" s="1">
        <v>237.0</v>
      </c>
      <c r="AW941" s="1" t="s">
        <v>74</v>
      </c>
      <c r="AX941" s="1" t="s">
        <v>74</v>
      </c>
      <c r="AY941" s="1" t="s">
        <v>74</v>
      </c>
      <c r="AZ941" s="1" t="s">
        <v>74</v>
      </c>
      <c r="BA941" s="1" t="s">
        <v>74</v>
      </c>
      <c r="BB941" s="1" t="s">
        <v>74</v>
      </c>
      <c r="BC941" s="1" t="s">
        <v>74</v>
      </c>
      <c r="BD941" s="1">
        <v>108152.0</v>
      </c>
      <c r="BE941" s="1" t="s">
        <v>8269</v>
      </c>
      <c r="BF941" s="2" t="str">
        <f>HYPERLINK("http://dx.doi.org/10.1016/j.comcom.2025.108152","http://dx.doi.org/10.1016/j.comcom.2025.108152")</f>
        <v>http://dx.doi.org/10.1016/j.comcom.2025.108152</v>
      </c>
      <c r="BG941" s="1" t="s">
        <v>74</v>
      </c>
      <c r="BH941" s="1" t="s">
        <v>526</v>
      </c>
      <c r="BI941" s="1" t="s">
        <v>74</v>
      </c>
      <c r="BJ941" s="1" t="s">
        <v>74</v>
      </c>
      <c r="BK941" s="1" t="s">
        <v>74</v>
      </c>
      <c r="BL941" s="1" t="s">
        <v>152</v>
      </c>
      <c r="BM941" s="1" t="s">
        <v>74</v>
      </c>
      <c r="BN941" s="1" t="s">
        <v>74</v>
      </c>
      <c r="BO941" s="1" t="s">
        <v>74</v>
      </c>
      <c r="BP941" s="1" t="s">
        <v>74</v>
      </c>
      <c r="BQ941" s="1" t="s">
        <v>74</v>
      </c>
      <c r="BR941" s="1" t="s">
        <v>74</v>
      </c>
      <c r="BS941" s="1" t="s">
        <v>8270</v>
      </c>
      <c r="BT941" s="1" t="str">
        <f>HYPERLINK("https%3A%2F%2Fwww.webofscience.com%2Fwos%2Fwoscc%2Ffull-record%2FWOS:001465189800001","View Full Record in Web of Science")</f>
        <v>View Full Record in Web of Science</v>
      </c>
    </row>
    <row r="942" ht="12.75" customHeight="1">
      <c r="A942" s="1" t="s">
        <v>72</v>
      </c>
      <c r="B942" s="1" t="s">
        <v>8271</v>
      </c>
      <c r="C942" s="1" t="s">
        <v>74</v>
      </c>
      <c r="D942" s="1" t="s">
        <v>74</v>
      </c>
      <c r="E942" s="1" t="s">
        <v>74</v>
      </c>
      <c r="F942" s="1" t="s">
        <v>8272</v>
      </c>
      <c r="G942" s="1" t="s">
        <v>74</v>
      </c>
      <c r="H942" s="1" t="s">
        <v>74</v>
      </c>
      <c r="I942" s="1" t="s">
        <v>8273</v>
      </c>
      <c r="J942" s="1" t="s">
        <v>1230</v>
      </c>
      <c r="K942" s="1" t="s">
        <v>74</v>
      </c>
      <c r="L942" s="1" t="s">
        <v>74</v>
      </c>
      <c r="M942" s="1" t="s">
        <v>74</v>
      </c>
      <c r="N942" s="1" t="s">
        <v>78</v>
      </c>
      <c r="O942" s="1" t="s">
        <v>74</v>
      </c>
      <c r="P942" s="1" t="s">
        <v>74</v>
      </c>
      <c r="Q942" s="1" t="s">
        <v>74</v>
      </c>
      <c r="R942" s="1" t="s">
        <v>74</v>
      </c>
      <c r="S942" s="1" t="s">
        <v>74</v>
      </c>
      <c r="T942" s="1" t="s">
        <v>8274</v>
      </c>
      <c r="U942" s="1" t="s">
        <v>74</v>
      </c>
      <c r="V942" s="1" t="s">
        <v>8275</v>
      </c>
      <c r="W942" s="1" t="s">
        <v>74</v>
      </c>
      <c r="X942" s="1" t="s">
        <v>74</v>
      </c>
      <c r="Y942" s="1" t="s">
        <v>74</v>
      </c>
      <c r="Z942" s="1" t="s">
        <v>74</v>
      </c>
      <c r="AA942" s="1" t="s">
        <v>74</v>
      </c>
      <c r="AB942" s="1" t="s">
        <v>74</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1233</v>
      </c>
      <c r="AP942" s="1" t="s">
        <v>1234</v>
      </c>
      <c r="AQ942" s="1" t="s">
        <v>74</v>
      </c>
      <c r="AR942" s="1" t="s">
        <v>74</v>
      </c>
      <c r="AS942" s="1" t="s">
        <v>74</v>
      </c>
      <c r="AT942" s="1" t="s">
        <v>1000</v>
      </c>
      <c r="AU942" s="1">
        <v>2026.0</v>
      </c>
      <c r="AV942" s="1">
        <v>304.0</v>
      </c>
      <c r="AW942" s="1" t="s">
        <v>74</v>
      </c>
      <c r="AX942" s="1" t="s">
        <v>74</v>
      </c>
      <c r="AY942" s="1" t="s">
        <v>74</v>
      </c>
      <c r="AZ942" s="1" t="s">
        <v>74</v>
      </c>
      <c r="BA942" s="1" t="s">
        <v>74</v>
      </c>
      <c r="BB942" s="1" t="s">
        <v>74</v>
      </c>
      <c r="BC942" s="1" t="s">
        <v>74</v>
      </c>
      <c r="BD942" s="1">
        <v>130768.0</v>
      </c>
      <c r="BE942" s="1" t="s">
        <v>8276</v>
      </c>
      <c r="BF942" s="2" t="str">
        <f>HYPERLINK("http://dx.doi.org/10.1016/j.eswa.2025.130768","http://dx.doi.org/10.1016/j.eswa.2025.130768")</f>
        <v>http://dx.doi.org/10.1016/j.eswa.2025.130768</v>
      </c>
      <c r="BG942" s="1" t="s">
        <v>74</v>
      </c>
      <c r="BH942" s="1" t="s">
        <v>605</v>
      </c>
      <c r="BI942" s="1" t="s">
        <v>74</v>
      </c>
      <c r="BJ942" s="1" t="s">
        <v>74</v>
      </c>
      <c r="BK942" s="1" t="s">
        <v>74</v>
      </c>
      <c r="BL942" s="1" t="s">
        <v>1237</v>
      </c>
      <c r="BM942" s="1" t="s">
        <v>74</v>
      </c>
      <c r="BN942" s="1" t="s">
        <v>74</v>
      </c>
      <c r="BO942" s="1" t="s">
        <v>74</v>
      </c>
      <c r="BP942" s="1" t="s">
        <v>74</v>
      </c>
      <c r="BQ942" s="1" t="s">
        <v>74</v>
      </c>
      <c r="BR942" s="1" t="s">
        <v>74</v>
      </c>
      <c r="BS942" s="1" t="s">
        <v>8277</v>
      </c>
      <c r="BT942" s="1" t="str">
        <f>HYPERLINK("https%3A%2F%2Fwww.webofscience.com%2Fwos%2Fwoscc%2Ffull-record%2FWOS:001642984300001","View Full Record in Web of Science")</f>
        <v>View Full Record in Web of Science</v>
      </c>
    </row>
    <row r="943" ht="12.75" customHeight="1">
      <c r="A943" s="1" t="s">
        <v>72</v>
      </c>
      <c r="B943" s="1" t="s">
        <v>8278</v>
      </c>
      <c r="C943" s="1" t="s">
        <v>74</v>
      </c>
      <c r="D943" s="1" t="s">
        <v>74</v>
      </c>
      <c r="E943" s="1" t="s">
        <v>74</v>
      </c>
      <c r="F943" s="1" t="s">
        <v>8279</v>
      </c>
      <c r="G943" s="1" t="s">
        <v>74</v>
      </c>
      <c r="H943" s="1" t="s">
        <v>74</v>
      </c>
      <c r="I943" s="1" t="s">
        <v>8280</v>
      </c>
      <c r="J943" s="1" t="s">
        <v>793</v>
      </c>
      <c r="K943" s="1" t="s">
        <v>74</v>
      </c>
      <c r="L943" s="1" t="s">
        <v>74</v>
      </c>
      <c r="M943" s="1" t="s">
        <v>74</v>
      </c>
      <c r="N943" s="1" t="s">
        <v>78</v>
      </c>
      <c r="O943" s="1" t="s">
        <v>74</v>
      </c>
      <c r="P943" s="1" t="s">
        <v>74</v>
      </c>
      <c r="Q943" s="1" t="s">
        <v>74</v>
      </c>
      <c r="R943" s="1" t="s">
        <v>74</v>
      </c>
      <c r="S943" s="1" t="s">
        <v>74</v>
      </c>
      <c r="T943" s="1" t="s">
        <v>8281</v>
      </c>
      <c r="U943" s="1" t="s">
        <v>74</v>
      </c>
      <c r="V943" s="1" t="s">
        <v>8282</v>
      </c>
      <c r="W943" s="1" t="s">
        <v>74</v>
      </c>
      <c r="X943" s="1" t="s">
        <v>74</v>
      </c>
      <c r="Y943" s="1" t="s">
        <v>74</v>
      </c>
      <c r="Z943" s="1" t="s">
        <v>74</v>
      </c>
      <c r="AA943" s="1" t="s">
        <v>74</v>
      </c>
      <c r="AB943" s="1" t="s">
        <v>74</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797</v>
      </c>
      <c r="AP943" s="1" t="s">
        <v>74</v>
      </c>
      <c r="AQ943" s="1" t="s">
        <v>74</v>
      </c>
      <c r="AR943" s="1" t="s">
        <v>74</v>
      </c>
      <c r="AS943" s="1" t="s">
        <v>74</v>
      </c>
      <c r="AT943" s="1" t="s">
        <v>736</v>
      </c>
      <c r="AU943" s="1">
        <v>2025.0</v>
      </c>
      <c r="AV943" s="1">
        <v>17.0</v>
      </c>
      <c r="AW943" s="1">
        <v>1.0</v>
      </c>
      <c r="AX943" s="1" t="s">
        <v>74</v>
      </c>
      <c r="AY943" s="1" t="s">
        <v>74</v>
      </c>
      <c r="AZ943" s="1" t="s">
        <v>74</v>
      </c>
      <c r="BA943" s="1" t="s">
        <v>74</v>
      </c>
      <c r="BB943" s="1" t="s">
        <v>74</v>
      </c>
      <c r="BC943" s="1" t="s">
        <v>74</v>
      </c>
      <c r="BD943" s="1">
        <v>48.0</v>
      </c>
      <c r="BE943" s="1" t="s">
        <v>8283</v>
      </c>
      <c r="BF943" s="2" t="str">
        <f>HYPERLINK("http://dx.doi.org/10.3390/fi17010048","http://dx.doi.org/10.3390/fi17010048")</f>
        <v>http://dx.doi.org/10.3390/fi17010048</v>
      </c>
      <c r="BG943" s="1" t="s">
        <v>74</v>
      </c>
      <c r="BH943" s="1" t="s">
        <v>74</v>
      </c>
      <c r="BI943" s="1" t="s">
        <v>74</v>
      </c>
      <c r="BJ943" s="1" t="s">
        <v>74</v>
      </c>
      <c r="BK943" s="1" t="s">
        <v>74</v>
      </c>
      <c r="BL943" s="1" t="s">
        <v>174</v>
      </c>
      <c r="BM943" s="1" t="s">
        <v>74</v>
      </c>
      <c r="BN943" s="1" t="s">
        <v>74</v>
      </c>
      <c r="BO943" s="1" t="s">
        <v>153</v>
      </c>
      <c r="BP943" s="1" t="s">
        <v>74</v>
      </c>
      <c r="BQ943" s="1" t="s">
        <v>74</v>
      </c>
      <c r="BR943" s="1" t="s">
        <v>74</v>
      </c>
      <c r="BS943" s="1" t="s">
        <v>8284</v>
      </c>
      <c r="BT943" s="1" t="str">
        <f>HYPERLINK("https%3A%2F%2Fwww.webofscience.com%2Fwos%2Fwoscc%2Ffull-record%2FWOS:001404080100001","View Full Record in Web of Science")</f>
        <v>View Full Record in Web of Science</v>
      </c>
    </row>
    <row r="944" ht="12.75" customHeight="1">
      <c r="A944" s="1" t="s">
        <v>72</v>
      </c>
      <c r="B944" s="1" t="s">
        <v>8285</v>
      </c>
      <c r="C944" s="1" t="s">
        <v>74</v>
      </c>
      <c r="D944" s="1" t="s">
        <v>74</v>
      </c>
      <c r="E944" s="1" t="s">
        <v>74</v>
      </c>
      <c r="F944" s="1" t="s">
        <v>8286</v>
      </c>
      <c r="G944" s="1" t="s">
        <v>74</v>
      </c>
      <c r="H944" s="1" t="s">
        <v>74</v>
      </c>
      <c r="I944" s="1" t="s">
        <v>8287</v>
      </c>
      <c r="J944" s="1" t="s">
        <v>4431</v>
      </c>
      <c r="K944" s="1" t="s">
        <v>74</v>
      </c>
      <c r="L944" s="1" t="s">
        <v>74</v>
      </c>
      <c r="M944" s="1" t="s">
        <v>74</v>
      </c>
      <c r="N944" s="1" t="s">
        <v>78</v>
      </c>
      <c r="O944" s="1" t="s">
        <v>74</v>
      </c>
      <c r="P944" s="1" t="s">
        <v>74</v>
      </c>
      <c r="Q944" s="1" t="s">
        <v>74</v>
      </c>
      <c r="R944" s="1" t="s">
        <v>74</v>
      </c>
      <c r="S944" s="1" t="s">
        <v>74</v>
      </c>
      <c r="T944" s="1" t="s">
        <v>8288</v>
      </c>
      <c r="U944" s="1" t="s">
        <v>8289</v>
      </c>
      <c r="V944" s="1" t="s">
        <v>8290</v>
      </c>
      <c r="W944" s="1" t="s">
        <v>74</v>
      </c>
      <c r="X944" s="1" t="s">
        <v>74</v>
      </c>
      <c r="Y944" s="1" t="s">
        <v>74</v>
      </c>
      <c r="Z944" s="1" t="s">
        <v>74</v>
      </c>
      <c r="AA944" s="1" t="s">
        <v>74</v>
      </c>
      <c r="AB944" s="1" t="s">
        <v>74</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4434</v>
      </c>
      <c r="AP944" s="1" t="s">
        <v>4435</v>
      </c>
      <c r="AQ944" s="1" t="s">
        <v>74</v>
      </c>
      <c r="AR944" s="1" t="s">
        <v>74</v>
      </c>
      <c r="AS944" s="1" t="s">
        <v>74</v>
      </c>
      <c r="AT944" s="1" t="s">
        <v>464</v>
      </c>
      <c r="AU944" s="1">
        <v>2024.0</v>
      </c>
      <c r="AV944" s="1">
        <v>43.0</v>
      </c>
      <c r="AW944" s="1">
        <v>8.0</v>
      </c>
      <c r="AX944" s="1" t="s">
        <v>74</v>
      </c>
      <c r="AY944" s="1" t="s">
        <v>74</v>
      </c>
      <c r="AZ944" s="1" t="s">
        <v>74</v>
      </c>
      <c r="BA944" s="1" t="s">
        <v>74</v>
      </c>
      <c r="BB944" s="1">
        <v>2866.0</v>
      </c>
      <c r="BC944" s="1">
        <v>2877.0</v>
      </c>
      <c r="BD944" s="1" t="s">
        <v>74</v>
      </c>
      <c r="BE944" s="1" t="s">
        <v>8291</v>
      </c>
      <c r="BF944" s="2" t="str">
        <f>HYPERLINK("http://dx.doi.org/10.1109/TMI.2024.3383283","http://dx.doi.org/10.1109/TMI.2024.3383283")</f>
        <v>http://dx.doi.org/10.1109/TMI.2024.3383283</v>
      </c>
      <c r="BG944" s="1" t="s">
        <v>74</v>
      </c>
      <c r="BH944" s="1" t="s">
        <v>74</v>
      </c>
      <c r="BI944" s="1" t="s">
        <v>74</v>
      </c>
      <c r="BJ944" s="1" t="s">
        <v>74</v>
      </c>
      <c r="BK944" s="1" t="s">
        <v>74</v>
      </c>
      <c r="BL944" s="1" t="s">
        <v>4437</v>
      </c>
      <c r="BM944" s="1" t="s">
        <v>74</v>
      </c>
      <c r="BN944" s="1" t="s">
        <v>74</v>
      </c>
      <c r="BO944" s="1" t="s">
        <v>114</v>
      </c>
      <c r="BP944" s="1" t="s">
        <v>74</v>
      </c>
      <c r="BQ944" s="1" t="s">
        <v>74</v>
      </c>
      <c r="BR944" s="1" t="s">
        <v>74</v>
      </c>
      <c r="BS944" s="1" t="s">
        <v>8292</v>
      </c>
      <c r="BT944" s="1" t="str">
        <f>HYPERLINK("https%3A%2F%2Fwww.webofscience.com%2Fwos%2Fwoscc%2Ffull-record%2FWOS:001285367200024","View Full Record in Web of Science")</f>
        <v>View Full Record in Web of Science</v>
      </c>
    </row>
    <row r="945" ht="12.75" customHeight="1">
      <c r="A945" s="1" t="s">
        <v>72</v>
      </c>
      <c r="B945" s="1" t="s">
        <v>8293</v>
      </c>
      <c r="C945" s="1" t="s">
        <v>74</v>
      </c>
      <c r="D945" s="1" t="s">
        <v>74</v>
      </c>
      <c r="E945" s="1" t="s">
        <v>74</v>
      </c>
      <c r="F945" s="1" t="s">
        <v>8294</v>
      </c>
      <c r="G945" s="1" t="s">
        <v>74</v>
      </c>
      <c r="H945" s="1" t="s">
        <v>74</v>
      </c>
      <c r="I945" s="1" t="s">
        <v>8295</v>
      </c>
      <c r="J945" s="1" t="s">
        <v>3028</v>
      </c>
      <c r="K945" s="1" t="s">
        <v>74</v>
      </c>
      <c r="L945" s="1" t="s">
        <v>74</v>
      </c>
      <c r="M945" s="1" t="s">
        <v>74</v>
      </c>
      <c r="N945" s="1" t="s">
        <v>78</v>
      </c>
      <c r="O945" s="1" t="s">
        <v>74</v>
      </c>
      <c r="P945" s="1" t="s">
        <v>74</v>
      </c>
      <c r="Q945" s="1" t="s">
        <v>74</v>
      </c>
      <c r="R945" s="1" t="s">
        <v>74</v>
      </c>
      <c r="S945" s="1" t="s">
        <v>74</v>
      </c>
      <c r="T945" s="1" t="s">
        <v>8296</v>
      </c>
      <c r="U945" s="1" t="s">
        <v>74</v>
      </c>
      <c r="V945" s="1" t="s">
        <v>8297</v>
      </c>
      <c r="W945" s="1" t="s">
        <v>74</v>
      </c>
      <c r="X945" s="1" t="s">
        <v>74</v>
      </c>
      <c r="Y945" s="1" t="s">
        <v>74</v>
      </c>
      <c r="Z945" s="1" t="s">
        <v>74</v>
      </c>
      <c r="AA945" s="1" t="s">
        <v>74</v>
      </c>
      <c r="AB945" s="1" t="s">
        <v>74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74</v>
      </c>
      <c r="AP945" s="1" t="s">
        <v>3031</v>
      </c>
      <c r="AQ945" s="1" t="s">
        <v>74</v>
      </c>
      <c r="AR945" s="1" t="s">
        <v>74</v>
      </c>
      <c r="AS945" s="1" t="s">
        <v>74</v>
      </c>
      <c r="AT945" s="1" t="s">
        <v>335</v>
      </c>
      <c r="AU945" s="1">
        <v>2025.0</v>
      </c>
      <c r="AV945" s="1">
        <v>20.0</v>
      </c>
      <c r="AW945" s="1" t="s">
        <v>74</v>
      </c>
      <c r="AX945" s="1" t="s">
        <v>74</v>
      </c>
      <c r="AY945" s="1" t="s">
        <v>74</v>
      </c>
      <c r="AZ945" s="1" t="s">
        <v>74</v>
      </c>
      <c r="BA945" s="1" t="s">
        <v>74</v>
      </c>
      <c r="BB945" s="1" t="s">
        <v>74</v>
      </c>
      <c r="BC945" s="1" t="s">
        <v>74</v>
      </c>
      <c r="BD945" s="1">
        <v>100649.0</v>
      </c>
      <c r="BE945" s="1" t="s">
        <v>8298</v>
      </c>
      <c r="BF945" s="2" t="str">
        <f>HYPERLINK("http://dx.doi.org/10.1016/j.mlwa.2025.100649","http://dx.doi.org/10.1016/j.mlwa.2025.100649")</f>
        <v>http://dx.doi.org/10.1016/j.mlwa.2025.100649</v>
      </c>
      <c r="BG945" s="1" t="s">
        <v>74</v>
      </c>
      <c r="BH945" s="1" t="s">
        <v>526</v>
      </c>
      <c r="BI945" s="1" t="s">
        <v>74</v>
      </c>
      <c r="BJ945" s="1" t="s">
        <v>74</v>
      </c>
      <c r="BK945" s="1" t="s">
        <v>74</v>
      </c>
      <c r="BL945" s="1" t="s">
        <v>174</v>
      </c>
      <c r="BM945" s="1" t="s">
        <v>74</v>
      </c>
      <c r="BN945" s="1" t="s">
        <v>74</v>
      </c>
      <c r="BO945" s="1" t="s">
        <v>163</v>
      </c>
      <c r="BP945" s="1" t="s">
        <v>74</v>
      </c>
      <c r="BQ945" s="1" t="s">
        <v>74</v>
      </c>
      <c r="BR945" s="1" t="s">
        <v>74</v>
      </c>
      <c r="BS945" s="1" t="s">
        <v>8299</v>
      </c>
      <c r="BT945" s="1" t="str">
        <f>HYPERLINK("https%3A%2F%2Fwww.webofscience.com%2Fwos%2Fwoscc%2Ffull-record%2FWOS:001482171900001","View Full Record in Web of Science")</f>
        <v>View Full Record in Web of Science</v>
      </c>
    </row>
    <row r="946" ht="12.75" customHeight="1">
      <c r="A946" s="1" t="s">
        <v>72</v>
      </c>
      <c r="B946" s="1" t="s">
        <v>8300</v>
      </c>
      <c r="C946" s="1" t="s">
        <v>74</v>
      </c>
      <c r="D946" s="1" t="s">
        <v>74</v>
      </c>
      <c r="E946" s="1" t="s">
        <v>74</v>
      </c>
      <c r="F946" s="1" t="s">
        <v>8301</v>
      </c>
      <c r="G946" s="1" t="s">
        <v>74</v>
      </c>
      <c r="H946" s="1" t="s">
        <v>74</v>
      </c>
      <c r="I946" s="1" t="s">
        <v>8302</v>
      </c>
      <c r="J946" s="1" t="s">
        <v>8303</v>
      </c>
      <c r="K946" s="1" t="s">
        <v>74</v>
      </c>
      <c r="L946" s="1" t="s">
        <v>74</v>
      </c>
      <c r="M946" s="1" t="s">
        <v>74</v>
      </c>
      <c r="N946" s="1" t="s">
        <v>78</v>
      </c>
      <c r="O946" s="1" t="s">
        <v>74</v>
      </c>
      <c r="P946" s="1" t="s">
        <v>74</v>
      </c>
      <c r="Q946" s="1" t="s">
        <v>74</v>
      </c>
      <c r="R946" s="1" t="s">
        <v>74</v>
      </c>
      <c r="S946" s="1" t="s">
        <v>74</v>
      </c>
      <c r="T946" s="1" t="s">
        <v>8304</v>
      </c>
      <c r="U946" s="1" t="s">
        <v>8305</v>
      </c>
      <c r="V946" s="1" t="s">
        <v>8306</v>
      </c>
      <c r="W946" s="1" t="s">
        <v>74</v>
      </c>
      <c r="X946" s="1" t="s">
        <v>74</v>
      </c>
      <c r="Y946" s="1" t="s">
        <v>74</v>
      </c>
      <c r="Z946" s="1" t="s">
        <v>74</v>
      </c>
      <c r="AA946" s="1" t="s">
        <v>74</v>
      </c>
      <c r="AB946" s="1" t="s">
        <v>74</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8307</v>
      </c>
      <c r="AP946" s="1" t="s">
        <v>8308</v>
      </c>
      <c r="AQ946" s="1" t="s">
        <v>74</v>
      </c>
      <c r="AR946" s="1" t="s">
        <v>74</v>
      </c>
      <c r="AS946" s="1" t="s">
        <v>74</v>
      </c>
      <c r="AT946" s="1" t="s">
        <v>749</v>
      </c>
      <c r="AU946" s="1">
        <v>2025.0</v>
      </c>
      <c r="AV946" s="1">
        <v>27.0</v>
      </c>
      <c r="AW946" s="1">
        <v>2.0</v>
      </c>
      <c r="AX946" s="1" t="s">
        <v>74</v>
      </c>
      <c r="AY946" s="1" t="s">
        <v>74</v>
      </c>
      <c r="AZ946" s="1" t="s">
        <v>74</v>
      </c>
      <c r="BA946" s="1" t="s">
        <v>74</v>
      </c>
      <c r="BB946" s="1" t="s">
        <v>74</v>
      </c>
      <c r="BC946" s="1" t="s">
        <v>74</v>
      </c>
      <c r="BD946" s="1" t="s">
        <v>74</v>
      </c>
      <c r="BE946" s="1" t="s">
        <v>8309</v>
      </c>
      <c r="BF946" s="2" t="str">
        <f>HYPERLINK("http://dx.doi.org/10.1287/msom.2023.0279","http://dx.doi.org/10.1287/msom.2023.0279")</f>
        <v>http://dx.doi.org/10.1287/msom.2023.0279</v>
      </c>
      <c r="BG946" s="1" t="s">
        <v>74</v>
      </c>
      <c r="BH946" s="1" t="s">
        <v>141</v>
      </c>
      <c r="BI946" s="1" t="s">
        <v>74</v>
      </c>
      <c r="BJ946" s="1" t="s">
        <v>74</v>
      </c>
      <c r="BK946" s="1" t="s">
        <v>74</v>
      </c>
      <c r="BL946" s="1" t="s">
        <v>1002</v>
      </c>
      <c r="BM946" s="1" t="s">
        <v>74</v>
      </c>
      <c r="BN946" s="1" t="s">
        <v>74</v>
      </c>
      <c r="BO946" s="1" t="s">
        <v>74</v>
      </c>
      <c r="BP946" s="1" t="s">
        <v>74</v>
      </c>
      <c r="BQ946" s="1" t="s">
        <v>74</v>
      </c>
      <c r="BR946" s="1" t="s">
        <v>74</v>
      </c>
      <c r="BS946" s="1" t="s">
        <v>8310</v>
      </c>
      <c r="BT946" s="1" t="str">
        <f>HYPERLINK("https%3A%2F%2Fwww.webofscience.com%2Fwos%2Fwoscc%2Ffull-record%2FWOS:001415069900001","View Full Record in Web of Science")</f>
        <v>View Full Record in Web of Science</v>
      </c>
    </row>
    <row r="947" ht="12.75" customHeight="1">
      <c r="A947" s="1" t="s">
        <v>72</v>
      </c>
      <c r="B947" s="1" t="s">
        <v>8311</v>
      </c>
      <c r="C947" s="1" t="s">
        <v>74</v>
      </c>
      <c r="D947" s="1" t="s">
        <v>74</v>
      </c>
      <c r="E947" s="1" t="s">
        <v>74</v>
      </c>
      <c r="F947" s="1" t="s">
        <v>8312</v>
      </c>
      <c r="G947" s="1" t="s">
        <v>74</v>
      </c>
      <c r="H947" s="1" t="s">
        <v>74</v>
      </c>
      <c r="I947" s="1" t="s">
        <v>8313</v>
      </c>
      <c r="J947" s="1" t="s">
        <v>1540</v>
      </c>
      <c r="K947" s="1" t="s">
        <v>74</v>
      </c>
      <c r="L947" s="1" t="s">
        <v>74</v>
      </c>
      <c r="M947" s="1" t="s">
        <v>74</v>
      </c>
      <c r="N947" s="1" t="s">
        <v>158</v>
      </c>
      <c r="O947" s="1" t="s">
        <v>74</v>
      </c>
      <c r="P947" s="1" t="s">
        <v>74</v>
      </c>
      <c r="Q947" s="1" t="s">
        <v>74</v>
      </c>
      <c r="R947" s="1" t="s">
        <v>74</v>
      </c>
      <c r="S947" s="1" t="s">
        <v>74</v>
      </c>
      <c r="T947" s="1" t="s">
        <v>8314</v>
      </c>
      <c r="U947" s="1" t="s">
        <v>8315</v>
      </c>
      <c r="V947" s="1" t="s">
        <v>8316</v>
      </c>
      <c r="W947" s="1" t="s">
        <v>74</v>
      </c>
      <c r="X947" s="1" t="s">
        <v>74</v>
      </c>
      <c r="Y947" s="1" t="s">
        <v>74</v>
      </c>
      <c r="Z947" s="1" t="s">
        <v>74</v>
      </c>
      <c r="AA947" s="1" t="s">
        <v>74</v>
      </c>
      <c r="AB947" s="1" t="s">
        <v>74</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1544</v>
      </c>
      <c r="AP947" s="1" t="s">
        <v>1545</v>
      </c>
      <c r="AQ947" s="1" t="s">
        <v>74</v>
      </c>
      <c r="AR947" s="1" t="s">
        <v>74</v>
      </c>
      <c r="AS947" s="1" t="s">
        <v>74</v>
      </c>
      <c r="AT947" s="1" t="s">
        <v>262</v>
      </c>
      <c r="AU947" s="1">
        <v>2025.0</v>
      </c>
      <c r="AV947" s="1">
        <v>15.0</v>
      </c>
      <c r="AW947" s="1">
        <v>3.0</v>
      </c>
      <c r="AX947" s="1" t="s">
        <v>74</v>
      </c>
      <c r="AY947" s="1" t="s">
        <v>74</v>
      </c>
      <c r="AZ947" s="1" t="s">
        <v>74</v>
      </c>
      <c r="BA947" s="1" t="s">
        <v>74</v>
      </c>
      <c r="BB947" s="1">
        <v>426.0</v>
      </c>
      <c r="BC947" s="1">
        <v>448.0</v>
      </c>
      <c r="BD947" s="1" t="s">
        <v>74</v>
      </c>
      <c r="BE947" s="1" t="s">
        <v>8317</v>
      </c>
      <c r="BF947" s="2" t="str">
        <f>HYPERLINK("http://dx.doi.org/10.1016/j.aiia.2025.04.001","http://dx.doi.org/10.1016/j.aiia.2025.04.001")</f>
        <v>http://dx.doi.org/10.1016/j.aiia.2025.04.001</v>
      </c>
      <c r="BG947" s="1" t="s">
        <v>74</v>
      </c>
      <c r="BH947" s="1" t="s">
        <v>74</v>
      </c>
      <c r="BI947" s="1" t="s">
        <v>74</v>
      </c>
      <c r="BJ947" s="1" t="s">
        <v>74</v>
      </c>
      <c r="BK947" s="1" t="s">
        <v>74</v>
      </c>
      <c r="BL947" s="1" t="s">
        <v>315</v>
      </c>
      <c r="BM947" s="1" t="s">
        <v>74</v>
      </c>
      <c r="BN947" s="1" t="s">
        <v>74</v>
      </c>
      <c r="BO947" s="1" t="s">
        <v>153</v>
      </c>
      <c r="BP947" s="1" t="s">
        <v>74</v>
      </c>
      <c r="BQ947" s="1" t="s">
        <v>74</v>
      </c>
      <c r="BR947" s="1" t="s">
        <v>74</v>
      </c>
      <c r="BS947" s="1" t="s">
        <v>8318</v>
      </c>
      <c r="BT947" s="1" t="str">
        <f>HYPERLINK("https%3A%2F%2Fwww.webofscience.com%2Fwos%2Fwoscc%2Ffull-record%2FWOS:001491506400001","View Full Record in Web of Science")</f>
        <v>View Full Record in Web of Science</v>
      </c>
    </row>
    <row r="948" ht="12.75" customHeight="1">
      <c r="A948" s="1" t="s">
        <v>72</v>
      </c>
      <c r="B948" s="1" t="s">
        <v>8319</v>
      </c>
      <c r="C948" s="1" t="s">
        <v>74</v>
      </c>
      <c r="D948" s="1" t="s">
        <v>74</v>
      </c>
      <c r="E948" s="1" t="s">
        <v>74</v>
      </c>
      <c r="F948" s="1" t="s">
        <v>8320</v>
      </c>
      <c r="G948" s="1" t="s">
        <v>74</v>
      </c>
      <c r="H948" s="1" t="s">
        <v>74</v>
      </c>
      <c r="I948" s="1" t="s">
        <v>8321</v>
      </c>
      <c r="J948" s="1" t="s">
        <v>840</v>
      </c>
      <c r="K948" s="1" t="s">
        <v>74</v>
      </c>
      <c r="L948" s="1" t="s">
        <v>74</v>
      </c>
      <c r="M948" s="1" t="s">
        <v>74</v>
      </c>
      <c r="N948" s="1" t="s">
        <v>78</v>
      </c>
      <c r="O948" s="1" t="s">
        <v>74</v>
      </c>
      <c r="P948" s="1" t="s">
        <v>74</v>
      </c>
      <c r="Q948" s="1" t="s">
        <v>74</v>
      </c>
      <c r="R948" s="1" t="s">
        <v>74</v>
      </c>
      <c r="S948" s="1" t="s">
        <v>74</v>
      </c>
      <c r="T948" s="1" t="s">
        <v>8322</v>
      </c>
      <c r="U948" s="1" t="s">
        <v>8323</v>
      </c>
      <c r="V948" s="1" t="s">
        <v>8324</v>
      </c>
      <c r="W948" s="1" t="s">
        <v>74</v>
      </c>
      <c r="X948" s="1" t="s">
        <v>74</v>
      </c>
      <c r="Y948" s="1" t="s">
        <v>74</v>
      </c>
      <c r="Z948" s="1" t="s">
        <v>74</v>
      </c>
      <c r="AA948" s="1" t="s">
        <v>74</v>
      </c>
      <c r="AB948" s="1" t="s">
        <v>74</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74</v>
      </c>
      <c r="AP948" s="1" t="s">
        <v>4723</v>
      </c>
      <c r="AQ948" s="1" t="s">
        <v>74</v>
      </c>
      <c r="AR948" s="1" t="s">
        <v>74</v>
      </c>
      <c r="AS948" s="1" t="s">
        <v>74</v>
      </c>
      <c r="AT948" s="1" t="s">
        <v>8325</v>
      </c>
      <c r="AU948" s="1">
        <v>2025.0</v>
      </c>
      <c r="AV948" s="1">
        <v>13.0</v>
      </c>
      <c r="AW948" s="1">
        <v>7.0</v>
      </c>
      <c r="AX948" s="1" t="s">
        <v>74</v>
      </c>
      <c r="AY948" s="1" t="s">
        <v>74</v>
      </c>
      <c r="AZ948" s="1" t="s">
        <v>74</v>
      </c>
      <c r="BA948" s="1" t="s">
        <v>74</v>
      </c>
      <c r="BB948" s="1" t="s">
        <v>74</v>
      </c>
      <c r="BC948" s="1" t="s">
        <v>74</v>
      </c>
      <c r="BD948" s="1">
        <v>545.0</v>
      </c>
      <c r="BE948" s="1" t="s">
        <v>8326</v>
      </c>
      <c r="BF948" s="2" t="str">
        <f>HYPERLINK("http://dx.doi.org/10.3390/systems13070545","http://dx.doi.org/10.3390/systems13070545")</f>
        <v>http://dx.doi.org/10.3390/systems13070545</v>
      </c>
      <c r="BG948" s="1" t="s">
        <v>74</v>
      </c>
      <c r="BH948" s="1" t="s">
        <v>74</v>
      </c>
      <c r="BI948" s="1" t="s">
        <v>74</v>
      </c>
      <c r="BJ948" s="1" t="s">
        <v>74</v>
      </c>
      <c r="BK948" s="1" t="s">
        <v>74</v>
      </c>
      <c r="BL948" s="1" t="s">
        <v>615</v>
      </c>
      <c r="BM948" s="1" t="s">
        <v>74</v>
      </c>
      <c r="BN948" s="1" t="s">
        <v>74</v>
      </c>
      <c r="BO948" s="1" t="s">
        <v>163</v>
      </c>
      <c r="BP948" s="1" t="s">
        <v>74</v>
      </c>
      <c r="BQ948" s="1" t="s">
        <v>74</v>
      </c>
      <c r="BR948" s="1" t="s">
        <v>74</v>
      </c>
      <c r="BS948" s="1" t="s">
        <v>8327</v>
      </c>
      <c r="BT948" s="1" t="str">
        <f>HYPERLINK("https%3A%2F%2Fwww.webofscience.com%2Fwos%2Fwoscc%2Ffull-record%2FWOS:001541915800001","View Full Record in Web of Science")</f>
        <v>View Full Record in Web of Science</v>
      </c>
    </row>
    <row r="949" ht="12.75" customHeight="1">
      <c r="A949" s="1" t="s">
        <v>72</v>
      </c>
      <c r="B949" s="1" t="s">
        <v>8328</v>
      </c>
      <c r="C949" s="1" t="s">
        <v>74</v>
      </c>
      <c r="D949" s="1" t="s">
        <v>74</v>
      </c>
      <c r="E949" s="1" t="s">
        <v>74</v>
      </c>
      <c r="F949" s="1" t="s">
        <v>8329</v>
      </c>
      <c r="G949" s="1" t="s">
        <v>74</v>
      </c>
      <c r="H949" s="1" t="s">
        <v>74</v>
      </c>
      <c r="I949" s="1" t="s">
        <v>8330</v>
      </c>
      <c r="J949" s="1" t="s">
        <v>147</v>
      </c>
      <c r="K949" s="1" t="s">
        <v>74</v>
      </c>
      <c r="L949" s="1" t="s">
        <v>74</v>
      </c>
      <c r="M949" s="1" t="s">
        <v>74</v>
      </c>
      <c r="N949" s="1" t="s">
        <v>78</v>
      </c>
      <c r="O949" s="1" t="s">
        <v>74</v>
      </c>
      <c r="P949" s="1" t="s">
        <v>74</v>
      </c>
      <c r="Q949" s="1" t="s">
        <v>74</v>
      </c>
      <c r="R949" s="1" t="s">
        <v>74</v>
      </c>
      <c r="S949" s="1" t="s">
        <v>74</v>
      </c>
      <c r="T949" s="1" t="s">
        <v>8331</v>
      </c>
      <c r="U949" s="1" t="s">
        <v>74</v>
      </c>
      <c r="V949" s="1" t="s">
        <v>8332</v>
      </c>
      <c r="W949" s="1" t="s">
        <v>74</v>
      </c>
      <c r="X949" s="1" t="s">
        <v>74</v>
      </c>
      <c r="Y949" s="1" t="s">
        <v>74</v>
      </c>
      <c r="Z949" s="1" t="s">
        <v>74</v>
      </c>
      <c r="AA949" s="1" t="s">
        <v>74</v>
      </c>
      <c r="AB949" s="1" t="s">
        <v>74</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150</v>
      </c>
      <c r="AP949" s="1" t="s">
        <v>74</v>
      </c>
      <c r="AQ949" s="1" t="s">
        <v>74</v>
      </c>
      <c r="AR949" s="1" t="s">
        <v>74</v>
      </c>
      <c r="AS949" s="1" t="s">
        <v>74</v>
      </c>
      <c r="AT949" s="1" t="s">
        <v>74</v>
      </c>
      <c r="AU949" s="1">
        <v>2025.0</v>
      </c>
      <c r="AV949" s="1">
        <v>13.0</v>
      </c>
      <c r="AW949" s="1" t="s">
        <v>74</v>
      </c>
      <c r="AX949" s="1" t="s">
        <v>74</v>
      </c>
      <c r="AY949" s="1" t="s">
        <v>74</v>
      </c>
      <c r="AZ949" s="1" t="s">
        <v>74</v>
      </c>
      <c r="BA949" s="1" t="s">
        <v>74</v>
      </c>
      <c r="BB949" s="1">
        <v>46070.0</v>
      </c>
      <c r="BC949" s="1">
        <v>46090.0</v>
      </c>
      <c r="BD949" s="1" t="s">
        <v>74</v>
      </c>
      <c r="BE949" s="1" t="s">
        <v>8333</v>
      </c>
      <c r="BF949" s="2" t="str">
        <f>HYPERLINK("http://dx.doi.org/10.1109/ACCESS.2025.3545882","http://dx.doi.org/10.1109/ACCESS.2025.3545882")</f>
        <v>http://dx.doi.org/10.1109/ACCESS.2025.3545882</v>
      </c>
      <c r="BG949" s="1" t="s">
        <v>74</v>
      </c>
      <c r="BH949" s="1" t="s">
        <v>74</v>
      </c>
      <c r="BI949" s="1" t="s">
        <v>74</v>
      </c>
      <c r="BJ949" s="1" t="s">
        <v>74</v>
      </c>
      <c r="BK949" s="1" t="s">
        <v>74</v>
      </c>
      <c r="BL949" s="1" t="s">
        <v>152</v>
      </c>
      <c r="BM949" s="1" t="s">
        <v>74</v>
      </c>
      <c r="BN949" s="1" t="s">
        <v>74</v>
      </c>
      <c r="BO949" s="1" t="s">
        <v>153</v>
      </c>
      <c r="BP949" s="1" t="s">
        <v>74</v>
      </c>
      <c r="BQ949" s="1" t="s">
        <v>74</v>
      </c>
      <c r="BR949" s="1" t="s">
        <v>74</v>
      </c>
      <c r="BS949" s="1" t="s">
        <v>8334</v>
      </c>
      <c r="BT949" s="1" t="str">
        <f>HYPERLINK("https%3A%2F%2Fwww.webofscience.com%2Fwos%2Fwoscc%2Ffull-record%2FWOS:001447533700042","View Full Record in Web of Science")</f>
        <v>View Full Record in Web of Science</v>
      </c>
    </row>
    <row r="950" ht="12.75" customHeight="1">
      <c r="A950" s="1" t="s">
        <v>72</v>
      </c>
      <c r="B950" s="1" t="s">
        <v>8335</v>
      </c>
      <c r="C950" s="1" t="s">
        <v>74</v>
      </c>
      <c r="D950" s="1" t="s">
        <v>74</v>
      </c>
      <c r="E950" s="1" t="s">
        <v>74</v>
      </c>
      <c r="F950" s="1" t="s">
        <v>8336</v>
      </c>
      <c r="G950" s="1" t="s">
        <v>74</v>
      </c>
      <c r="H950" s="1" t="s">
        <v>74</v>
      </c>
      <c r="I950" s="1" t="s">
        <v>8337</v>
      </c>
      <c r="J950" s="1" t="s">
        <v>2868</v>
      </c>
      <c r="K950" s="1" t="s">
        <v>74</v>
      </c>
      <c r="L950" s="1" t="s">
        <v>74</v>
      </c>
      <c r="M950" s="1" t="s">
        <v>74</v>
      </c>
      <c r="N950" s="1" t="s">
        <v>78</v>
      </c>
      <c r="O950" s="1" t="s">
        <v>74</v>
      </c>
      <c r="P950" s="1" t="s">
        <v>74</v>
      </c>
      <c r="Q950" s="1" t="s">
        <v>74</v>
      </c>
      <c r="R950" s="1" t="s">
        <v>74</v>
      </c>
      <c r="S950" s="1" t="s">
        <v>74</v>
      </c>
      <c r="T950" s="1" t="s">
        <v>8338</v>
      </c>
      <c r="U950" s="1" t="s">
        <v>8339</v>
      </c>
      <c r="V950" s="1" t="s">
        <v>8340</v>
      </c>
      <c r="W950" s="1" t="s">
        <v>74</v>
      </c>
      <c r="X950" s="1" t="s">
        <v>74</v>
      </c>
      <c r="Y950" s="1" t="s">
        <v>74</v>
      </c>
      <c r="Z950" s="1" t="s">
        <v>74</v>
      </c>
      <c r="AA950" s="1" t="s">
        <v>74</v>
      </c>
      <c r="AB950" s="1" t="s">
        <v>74</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2871</v>
      </c>
      <c r="AP950" s="1" t="s">
        <v>2872</v>
      </c>
      <c r="AQ950" s="1" t="s">
        <v>74</v>
      </c>
      <c r="AR950" s="1" t="s">
        <v>74</v>
      </c>
      <c r="AS950" s="1" t="s">
        <v>74</v>
      </c>
      <c r="AT950" s="1" t="s">
        <v>84</v>
      </c>
      <c r="AU950" s="1">
        <v>2025.0</v>
      </c>
      <c r="AV950" s="1">
        <v>62.0</v>
      </c>
      <c r="AW950" s="1">
        <v>3.0</v>
      </c>
      <c r="AX950" s="1" t="s">
        <v>74</v>
      </c>
      <c r="AY950" s="1" t="s">
        <v>74</v>
      </c>
      <c r="AZ950" s="1" t="s">
        <v>74</v>
      </c>
      <c r="BA950" s="1" t="s">
        <v>74</v>
      </c>
      <c r="BB950" s="1" t="s">
        <v>74</v>
      </c>
      <c r="BC950" s="1" t="s">
        <v>74</v>
      </c>
      <c r="BD950" s="1">
        <v>103995.0</v>
      </c>
      <c r="BE950" s="1" t="s">
        <v>8341</v>
      </c>
      <c r="BF950" s="2" t="str">
        <f>HYPERLINK("http://dx.doi.org/10.1016/j.ipm.2024.103995","http://dx.doi.org/10.1016/j.ipm.2024.103995")</f>
        <v>http://dx.doi.org/10.1016/j.ipm.2024.103995</v>
      </c>
      <c r="BG950" s="1" t="s">
        <v>74</v>
      </c>
      <c r="BH950" s="1" t="s">
        <v>1080</v>
      </c>
      <c r="BI950" s="1" t="s">
        <v>74</v>
      </c>
      <c r="BJ950" s="1" t="s">
        <v>74</v>
      </c>
      <c r="BK950" s="1" t="s">
        <v>74</v>
      </c>
      <c r="BL950" s="1" t="s">
        <v>2874</v>
      </c>
      <c r="BM950" s="1" t="s">
        <v>74</v>
      </c>
      <c r="BN950" s="1" t="s">
        <v>74</v>
      </c>
      <c r="BO950" s="1" t="s">
        <v>74</v>
      </c>
      <c r="BP950" s="1" t="s">
        <v>74</v>
      </c>
      <c r="BQ950" s="1" t="s">
        <v>74</v>
      </c>
      <c r="BR950" s="1" t="s">
        <v>74</v>
      </c>
      <c r="BS950" s="1" t="s">
        <v>8342</v>
      </c>
      <c r="BT950" s="1" t="str">
        <f>HYPERLINK("https%3A%2F%2Fwww.webofscience.com%2Fwos%2Fwoscc%2Ffull-record%2FWOS:001374279300001","View Full Record in Web of Science")</f>
        <v>View Full Record in Web of Science</v>
      </c>
    </row>
    <row r="951" ht="12.75" customHeight="1">
      <c r="A951" s="1" t="s">
        <v>72</v>
      </c>
      <c r="B951" s="1" t="s">
        <v>8343</v>
      </c>
      <c r="C951" s="1" t="s">
        <v>74</v>
      </c>
      <c r="D951" s="1" t="s">
        <v>74</v>
      </c>
      <c r="E951" s="1" t="s">
        <v>74</v>
      </c>
      <c r="F951" s="1" t="s">
        <v>8344</v>
      </c>
      <c r="G951" s="1" t="s">
        <v>74</v>
      </c>
      <c r="H951" s="1" t="s">
        <v>74</v>
      </c>
      <c r="I951" s="1" t="s">
        <v>8345</v>
      </c>
      <c r="J951" s="1" t="s">
        <v>5971</v>
      </c>
      <c r="K951" s="1" t="s">
        <v>74</v>
      </c>
      <c r="L951" s="1" t="s">
        <v>74</v>
      </c>
      <c r="M951" s="1" t="s">
        <v>74</v>
      </c>
      <c r="N951" s="1" t="s">
        <v>78</v>
      </c>
      <c r="O951" s="1" t="s">
        <v>74</v>
      </c>
      <c r="P951" s="1" t="s">
        <v>74</v>
      </c>
      <c r="Q951" s="1" t="s">
        <v>74</v>
      </c>
      <c r="R951" s="1" t="s">
        <v>74</v>
      </c>
      <c r="S951" s="1" t="s">
        <v>74</v>
      </c>
      <c r="T951" s="1" t="s">
        <v>74</v>
      </c>
      <c r="U951" s="1" t="s">
        <v>8346</v>
      </c>
      <c r="V951" s="1" t="s">
        <v>8347</v>
      </c>
      <c r="W951" s="1" t="s">
        <v>74</v>
      </c>
      <c r="X951" s="1" t="s">
        <v>74</v>
      </c>
      <c r="Y951" s="1" t="s">
        <v>74</v>
      </c>
      <c r="Z951" s="1" t="s">
        <v>74</v>
      </c>
      <c r="AA951" s="1" t="s">
        <v>74</v>
      </c>
      <c r="AB951" s="1" t="s">
        <v>74</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74</v>
      </c>
      <c r="AP951" s="1" t="s">
        <v>5975</v>
      </c>
      <c r="AQ951" s="1" t="s">
        <v>74</v>
      </c>
      <c r="AR951" s="1" t="s">
        <v>74</v>
      </c>
      <c r="AS951" s="1" t="s">
        <v>74</v>
      </c>
      <c r="AT951" s="1" t="s">
        <v>688</v>
      </c>
      <c r="AU951" s="1">
        <v>2025.0</v>
      </c>
      <c r="AV951" s="1">
        <v>4.0</v>
      </c>
      <c r="AW951" s="1">
        <v>3.0</v>
      </c>
      <c r="AX951" s="1" t="s">
        <v>74</v>
      </c>
      <c r="AY951" s="1" t="s">
        <v>74</v>
      </c>
      <c r="AZ951" s="1" t="s">
        <v>74</v>
      </c>
      <c r="BA951" s="1" t="s">
        <v>74</v>
      </c>
      <c r="BB951" s="1" t="s">
        <v>74</v>
      </c>
      <c r="BC951" s="1" t="s">
        <v>74</v>
      </c>
      <c r="BD951" s="1" t="s">
        <v>8348</v>
      </c>
      <c r="BE951" s="1" t="s">
        <v>8349</v>
      </c>
      <c r="BF951" s="2" t="str">
        <f>HYPERLINK("http://dx.doi.org/10.1093/pnasnexus/pgaf089","http://dx.doi.org/10.1093/pnasnexus/pgaf089")</f>
        <v>http://dx.doi.org/10.1093/pnasnexus/pgaf089</v>
      </c>
      <c r="BG951" s="1" t="s">
        <v>74</v>
      </c>
      <c r="BH951" s="1" t="s">
        <v>74</v>
      </c>
      <c r="BI951" s="1" t="s">
        <v>74</v>
      </c>
      <c r="BJ951" s="1" t="s">
        <v>74</v>
      </c>
      <c r="BK951" s="1" t="s">
        <v>74</v>
      </c>
      <c r="BL951" s="1" t="s">
        <v>5979</v>
      </c>
      <c r="BM951" s="1" t="s">
        <v>74</v>
      </c>
      <c r="BN951" s="1" t="s">
        <v>74</v>
      </c>
      <c r="BO951" s="1" t="s">
        <v>153</v>
      </c>
      <c r="BP951" s="1" t="s">
        <v>74</v>
      </c>
      <c r="BQ951" s="1" t="s">
        <v>74</v>
      </c>
      <c r="BR951" s="1" t="s">
        <v>74</v>
      </c>
      <c r="BS951" s="1" t="s">
        <v>8350</v>
      </c>
      <c r="BT951" s="1" t="str">
        <f>HYPERLINK("https%3A%2F%2Fwww.webofscience.com%2Fwos%2Fwoscc%2Ffull-record%2FWOS:001482371700001","View Full Record in Web of Science")</f>
        <v>View Full Record in Web of Science</v>
      </c>
    </row>
    <row r="952" ht="12.75" customHeight="1">
      <c r="A952" s="1" t="s">
        <v>72</v>
      </c>
      <c r="B952" s="1" t="s">
        <v>8351</v>
      </c>
      <c r="C952" s="1" t="s">
        <v>74</v>
      </c>
      <c r="D952" s="1" t="s">
        <v>74</v>
      </c>
      <c r="E952" s="1" t="s">
        <v>74</v>
      </c>
      <c r="F952" s="1" t="s">
        <v>8352</v>
      </c>
      <c r="G952" s="1" t="s">
        <v>74</v>
      </c>
      <c r="H952" s="1" t="s">
        <v>74</v>
      </c>
      <c r="I952" s="1" t="s">
        <v>8353</v>
      </c>
      <c r="J952" s="1" t="s">
        <v>8354</v>
      </c>
      <c r="K952" s="1" t="s">
        <v>74</v>
      </c>
      <c r="L952" s="1" t="s">
        <v>74</v>
      </c>
      <c r="M952" s="1" t="s">
        <v>74</v>
      </c>
      <c r="N952" s="1" t="s">
        <v>78</v>
      </c>
      <c r="O952" s="1" t="s">
        <v>74</v>
      </c>
      <c r="P952" s="1" t="s">
        <v>74</v>
      </c>
      <c r="Q952" s="1" t="s">
        <v>74</v>
      </c>
      <c r="R952" s="1" t="s">
        <v>74</v>
      </c>
      <c r="S952" s="1" t="s">
        <v>74</v>
      </c>
      <c r="T952" s="1" t="s">
        <v>74</v>
      </c>
      <c r="U952" s="1" t="s">
        <v>8355</v>
      </c>
      <c r="V952" s="1" t="s">
        <v>8356</v>
      </c>
      <c r="W952" s="1" t="s">
        <v>74</v>
      </c>
      <c r="X952" s="1" t="s">
        <v>74</v>
      </c>
      <c r="Y952" s="1" t="s">
        <v>74</v>
      </c>
      <c r="Z952" s="1" t="s">
        <v>74</v>
      </c>
      <c r="AA952" s="1" t="s">
        <v>74</v>
      </c>
      <c r="AB952" s="1" t="s">
        <v>74</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74</v>
      </c>
      <c r="AP952" s="1" t="s">
        <v>8357</v>
      </c>
      <c r="AQ952" s="1" t="s">
        <v>74</v>
      </c>
      <c r="AR952" s="1" t="s">
        <v>74</v>
      </c>
      <c r="AS952" s="1" t="s">
        <v>74</v>
      </c>
      <c r="AT952" s="1" t="s">
        <v>1000</v>
      </c>
      <c r="AU952" s="1">
        <v>2025.0</v>
      </c>
      <c r="AV952" s="1">
        <v>5.0</v>
      </c>
      <c r="AW952" s="1" t="s">
        <v>74</v>
      </c>
      <c r="AX952" s="1" t="s">
        <v>74</v>
      </c>
      <c r="AY952" s="1" t="s">
        <v>74</v>
      </c>
      <c r="AZ952" s="1" t="s">
        <v>74</v>
      </c>
      <c r="BA952" s="1" t="s">
        <v>74</v>
      </c>
      <c r="BB952" s="1" t="s">
        <v>74</v>
      </c>
      <c r="BC952" s="1" t="s">
        <v>74</v>
      </c>
      <c r="BD952" s="1">
        <v>250.0</v>
      </c>
      <c r="BE952" s="1" t="s">
        <v>8358</v>
      </c>
      <c r="BF952" s="2" t="str">
        <f>HYPERLINK("http://dx.doi.org/10.34133/hds.0250","http://dx.doi.org/10.34133/hds.0250")</f>
        <v>http://dx.doi.org/10.34133/hds.0250</v>
      </c>
      <c r="BG952" s="1" t="s">
        <v>74</v>
      </c>
      <c r="BH952" s="1" t="s">
        <v>74</v>
      </c>
      <c r="BI952" s="1" t="s">
        <v>74</v>
      </c>
      <c r="BJ952" s="1" t="s">
        <v>74</v>
      </c>
      <c r="BK952" s="1" t="s">
        <v>74</v>
      </c>
      <c r="BL952" s="1" t="s">
        <v>8359</v>
      </c>
      <c r="BM952" s="1" t="s">
        <v>74</v>
      </c>
      <c r="BN952" s="1" t="s">
        <v>74</v>
      </c>
      <c r="BO952" s="1" t="s">
        <v>153</v>
      </c>
      <c r="BP952" s="1" t="s">
        <v>74</v>
      </c>
      <c r="BQ952" s="1" t="s">
        <v>74</v>
      </c>
      <c r="BR952" s="1" t="s">
        <v>74</v>
      </c>
      <c r="BS952" s="1" t="s">
        <v>8360</v>
      </c>
      <c r="BT952" s="1" t="str">
        <f>HYPERLINK("https%3A%2F%2Fwww.webofscience.com%2Fwos%2Fwoscc%2Ffull-record%2FWOS:001547513100002","View Full Record in Web of Science")</f>
        <v>View Full Record in Web of Science</v>
      </c>
    </row>
    <row r="953" ht="12.75" customHeight="1">
      <c r="A953" s="1" t="s">
        <v>72</v>
      </c>
      <c r="B953" s="1" t="s">
        <v>8361</v>
      </c>
      <c r="C953" s="1" t="s">
        <v>74</v>
      </c>
      <c r="D953" s="1" t="s">
        <v>74</v>
      </c>
      <c r="E953" s="1" t="s">
        <v>74</v>
      </c>
      <c r="F953" s="1" t="s">
        <v>8362</v>
      </c>
      <c r="G953" s="1" t="s">
        <v>74</v>
      </c>
      <c r="H953" s="1" t="s">
        <v>74</v>
      </c>
      <c r="I953" s="1" t="s">
        <v>8363</v>
      </c>
      <c r="J953" s="1" t="s">
        <v>320</v>
      </c>
      <c r="K953" s="1" t="s">
        <v>74</v>
      </c>
      <c r="L953" s="1" t="s">
        <v>74</v>
      </c>
      <c r="M953" s="1" t="s">
        <v>74</v>
      </c>
      <c r="N953" s="1" t="s">
        <v>78</v>
      </c>
      <c r="O953" s="1" t="s">
        <v>74</v>
      </c>
      <c r="P953" s="1" t="s">
        <v>74</v>
      </c>
      <c r="Q953" s="1" t="s">
        <v>74</v>
      </c>
      <c r="R953" s="1" t="s">
        <v>74</v>
      </c>
      <c r="S953" s="1" t="s">
        <v>74</v>
      </c>
      <c r="T953" s="1" t="s">
        <v>8364</v>
      </c>
      <c r="U953" s="1" t="s">
        <v>74</v>
      </c>
      <c r="V953" s="1" t="s">
        <v>8365</v>
      </c>
      <c r="W953" s="1" t="s">
        <v>74</v>
      </c>
      <c r="X953" s="1" t="s">
        <v>74</v>
      </c>
      <c r="Y953" s="1" t="s">
        <v>74</v>
      </c>
      <c r="Z953" s="1" t="s">
        <v>74</v>
      </c>
      <c r="AA953" s="1" t="s">
        <v>74</v>
      </c>
      <c r="AB953" s="1" t="s">
        <v>74</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74</v>
      </c>
      <c r="AP953" s="1" t="s">
        <v>324</v>
      </c>
      <c r="AQ953" s="1" t="s">
        <v>74</v>
      </c>
      <c r="AR953" s="1" t="s">
        <v>74</v>
      </c>
      <c r="AS953" s="1" t="s">
        <v>74</v>
      </c>
      <c r="AT953" s="1" t="s">
        <v>8366</v>
      </c>
      <c r="AU953" s="1">
        <v>2025.0</v>
      </c>
      <c r="AV953" s="1">
        <v>9.0</v>
      </c>
      <c r="AW953" s="1">
        <v>10.0</v>
      </c>
      <c r="AX953" s="1" t="s">
        <v>74</v>
      </c>
      <c r="AY953" s="1" t="s">
        <v>74</v>
      </c>
      <c r="AZ953" s="1" t="s">
        <v>74</v>
      </c>
      <c r="BA953" s="1" t="s">
        <v>74</v>
      </c>
      <c r="BB953" s="1" t="s">
        <v>74</v>
      </c>
      <c r="BC953" s="1" t="s">
        <v>74</v>
      </c>
      <c r="BD953" s="1">
        <v>261.0</v>
      </c>
      <c r="BE953" s="1" t="s">
        <v>8367</v>
      </c>
      <c r="BF953" s="2" t="str">
        <f>HYPERLINK("http://dx.doi.org/10.3390/bdcc9100261","http://dx.doi.org/10.3390/bdcc9100261")</f>
        <v>http://dx.doi.org/10.3390/bdcc9100261</v>
      </c>
      <c r="BG953" s="1" t="s">
        <v>74</v>
      </c>
      <c r="BH953" s="1" t="s">
        <v>74</v>
      </c>
      <c r="BI953" s="1" t="s">
        <v>74</v>
      </c>
      <c r="BJ953" s="1" t="s">
        <v>74</v>
      </c>
      <c r="BK953" s="1" t="s">
        <v>74</v>
      </c>
      <c r="BL953" s="1" t="s">
        <v>174</v>
      </c>
      <c r="BM953" s="1" t="s">
        <v>74</v>
      </c>
      <c r="BN953" s="1" t="s">
        <v>74</v>
      </c>
      <c r="BO953" s="1" t="s">
        <v>163</v>
      </c>
      <c r="BP953" s="1" t="s">
        <v>74</v>
      </c>
      <c r="BQ953" s="1" t="s">
        <v>74</v>
      </c>
      <c r="BR953" s="1" t="s">
        <v>74</v>
      </c>
      <c r="BS953" s="1" t="s">
        <v>8368</v>
      </c>
      <c r="BT953" s="1" t="str">
        <f>HYPERLINK("https%3A%2F%2Fwww.webofscience.com%2Fwos%2Fwoscc%2Ffull-record%2FWOS:001601794100001","View Full Record in Web of Science")</f>
        <v>View Full Record in Web of Science</v>
      </c>
    </row>
    <row r="954" ht="12.75" customHeight="1">
      <c r="A954" s="1" t="s">
        <v>72</v>
      </c>
      <c r="B954" s="1" t="s">
        <v>8369</v>
      </c>
      <c r="C954" s="1" t="s">
        <v>74</v>
      </c>
      <c r="D954" s="1" t="s">
        <v>74</v>
      </c>
      <c r="E954" s="1" t="s">
        <v>74</v>
      </c>
      <c r="F954" s="1" t="s">
        <v>8370</v>
      </c>
      <c r="G954" s="1" t="s">
        <v>74</v>
      </c>
      <c r="H954" s="1" t="s">
        <v>74</v>
      </c>
      <c r="I954" s="1" t="s">
        <v>8371</v>
      </c>
      <c r="J954" s="1" t="s">
        <v>2868</v>
      </c>
      <c r="K954" s="1" t="s">
        <v>74</v>
      </c>
      <c r="L954" s="1" t="s">
        <v>74</v>
      </c>
      <c r="M954" s="1" t="s">
        <v>74</v>
      </c>
      <c r="N954" s="1" t="s">
        <v>78</v>
      </c>
      <c r="O954" s="1" t="s">
        <v>74</v>
      </c>
      <c r="P954" s="1" t="s">
        <v>74</v>
      </c>
      <c r="Q954" s="1" t="s">
        <v>74</v>
      </c>
      <c r="R954" s="1" t="s">
        <v>74</v>
      </c>
      <c r="S954" s="1" t="s">
        <v>74</v>
      </c>
      <c r="T954" s="1" t="s">
        <v>8372</v>
      </c>
      <c r="U954" s="1" t="s">
        <v>74</v>
      </c>
      <c r="V954" s="1" t="s">
        <v>8373</v>
      </c>
      <c r="W954" s="1" t="s">
        <v>74</v>
      </c>
      <c r="X954" s="1" t="s">
        <v>74</v>
      </c>
      <c r="Y954" s="1" t="s">
        <v>74</v>
      </c>
      <c r="Z954" s="1" t="s">
        <v>74</v>
      </c>
      <c r="AA954" s="1" t="s">
        <v>74</v>
      </c>
      <c r="AB954" s="1" t="s">
        <v>74</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2871</v>
      </c>
      <c r="AP954" s="1" t="s">
        <v>2872</v>
      </c>
      <c r="AQ954" s="1" t="s">
        <v>74</v>
      </c>
      <c r="AR954" s="1" t="s">
        <v>74</v>
      </c>
      <c r="AS954" s="1" t="s">
        <v>74</v>
      </c>
      <c r="AT954" s="1" t="s">
        <v>688</v>
      </c>
      <c r="AU954" s="1">
        <v>2024.0</v>
      </c>
      <c r="AV954" s="1">
        <v>62.0</v>
      </c>
      <c r="AW954" s="1">
        <v>2.0</v>
      </c>
      <c r="AX954" s="1" t="s">
        <v>74</v>
      </c>
      <c r="AY954" s="1" t="s">
        <v>74</v>
      </c>
      <c r="AZ954" s="1" t="s">
        <v>74</v>
      </c>
      <c r="BA954" s="1" t="s">
        <v>74</v>
      </c>
      <c r="BB954" s="1" t="s">
        <v>74</v>
      </c>
      <c r="BC954" s="1" t="s">
        <v>74</v>
      </c>
      <c r="BD954" s="1">
        <v>103974.0</v>
      </c>
      <c r="BE954" s="1" t="s">
        <v>8374</v>
      </c>
      <c r="BF954" s="2" t="str">
        <f>HYPERLINK("http://dx.doi.org/10.1016/j.ipm.2024.103974","http://dx.doi.org/10.1016/j.ipm.2024.103974")</f>
        <v>http://dx.doi.org/10.1016/j.ipm.2024.103974</v>
      </c>
      <c r="BG954" s="1" t="s">
        <v>74</v>
      </c>
      <c r="BH954" s="1" t="s">
        <v>2216</v>
      </c>
      <c r="BI954" s="1" t="s">
        <v>74</v>
      </c>
      <c r="BJ954" s="1" t="s">
        <v>74</v>
      </c>
      <c r="BK954" s="1" t="s">
        <v>74</v>
      </c>
      <c r="BL954" s="1" t="s">
        <v>2874</v>
      </c>
      <c r="BM954" s="1" t="s">
        <v>74</v>
      </c>
      <c r="BN954" s="1" t="s">
        <v>74</v>
      </c>
      <c r="BO954" s="1" t="s">
        <v>74</v>
      </c>
      <c r="BP954" s="1" t="s">
        <v>74</v>
      </c>
      <c r="BQ954" s="1" t="s">
        <v>74</v>
      </c>
      <c r="BR954" s="1" t="s">
        <v>74</v>
      </c>
      <c r="BS954" s="1" t="s">
        <v>8375</v>
      </c>
      <c r="BT954" s="1" t="str">
        <f>HYPERLINK("https%3A%2F%2Fwww.webofscience.com%2Fwos%2Fwoscc%2Ffull-record%2FWOS:001366995400001","View Full Record in Web of Science")</f>
        <v>View Full Record in Web of Science</v>
      </c>
    </row>
    <row r="955" ht="12.75" customHeight="1">
      <c r="A955" s="1" t="s">
        <v>72</v>
      </c>
      <c r="B955" s="1" t="s">
        <v>8376</v>
      </c>
      <c r="C955" s="1" t="s">
        <v>74</v>
      </c>
      <c r="D955" s="1" t="s">
        <v>74</v>
      </c>
      <c r="E955" s="1" t="s">
        <v>74</v>
      </c>
      <c r="F955" s="1" t="s">
        <v>8377</v>
      </c>
      <c r="G955" s="1" t="s">
        <v>74</v>
      </c>
      <c r="H955" s="1" t="s">
        <v>74</v>
      </c>
      <c r="I955" s="1" t="s">
        <v>8378</v>
      </c>
      <c r="J955" s="1" t="s">
        <v>2184</v>
      </c>
      <c r="K955" s="1" t="s">
        <v>74</v>
      </c>
      <c r="L955" s="1" t="s">
        <v>74</v>
      </c>
      <c r="M955" s="1" t="s">
        <v>74</v>
      </c>
      <c r="N955" s="1" t="s">
        <v>78</v>
      </c>
      <c r="O955" s="1" t="s">
        <v>74</v>
      </c>
      <c r="P955" s="1" t="s">
        <v>74</v>
      </c>
      <c r="Q955" s="1" t="s">
        <v>74</v>
      </c>
      <c r="R955" s="1" t="s">
        <v>74</v>
      </c>
      <c r="S955" s="1" t="s">
        <v>74</v>
      </c>
      <c r="T955" s="1" t="s">
        <v>8379</v>
      </c>
      <c r="U955" s="1" t="s">
        <v>8380</v>
      </c>
      <c r="V955" s="1" t="s">
        <v>8381</v>
      </c>
      <c r="W955" s="1" t="s">
        <v>74</v>
      </c>
      <c r="X955" s="1" t="s">
        <v>74</v>
      </c>
      <c r="Y955" s="1" t="s">
        <v>74</v>
      </c>
      <c r="Z955" s="1" t="s">
        <v>74</v>
      </c>
      <c r="AA955" s="1" t="s">
        <v>74</v>
      </c>
      <c r="AB955" s="1" t="s">
        <v>74</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2187</v>
      </c>
      <c r="AP955" s="1" t="s">
        <v>2188</v>
      </c>
      <c r="AQ955" s="1" t="s">
        <v>74</v>
      </c>
      <c r="AR955" s="1" t="s">
        <v>74</v>
      </c>
      <c r="AS955" s="1" t="s">
        <v>74</v>
      </c>
      <c r="AT955" s="1" t="s">
        <v>464</v>
      </c>
      <c r="AU955" s="1">
        <v>2024.0</v>
      </c>
      <c r="AV955" s="1">
        <v>18.0</v>
      </c>
      <c r="AW955" s="1">
        <v>3.0</v>
      </c>
      <c r="AX955" s="1" t="s">
        <v>74</v>
      </c>
      <c r="AY955" s="1" t="s">
        <v>74</v>
      </c>
      <c r="AZ955" s="1" t="s">
        <v>74</v>
      </c>
      <c r="BA955" s="1" t="s">
        <v>74</v>
      </c>
      <c r="BB955" s="1" t="s">
        <v>74</v>
      </c>
      <c r="BC955" s="1" t="s">
        <v>74</v>
      </c>
      <c r="BD955" s="1">
        <v>33.0</v>
      </c>
      <c r="BE955" s="1" t="s">
        <v>8382</v>
      </c>
      <c r="BF955" s="2" t="str">
        <f>HYPERLINK("http://dx.doi.org/10.1145/3649468","http://dx.doi.org/10.1145/3649468")</f>
        <v>http://dx.doi.org/10.1145/3649468</v>
      </c>
      <c r="BG955" s="1" t="s">
        <v>74</v>
      </c>
      <c r="BH955" s="1" t="s">
        <v>74</v>
      </c>
      <c r="BI955" s="1" t="s">
        <v>74</v>
      </c>
      <c r="BJ955" s="1" t="s">
        <v>74</v>
      </c>
      <c r="BK955" s="1" t="s">
        <v>74</v>
      </c>
      <c r="BL955" s="1" t="s">
        <v>174</v>
      </c>
      <c r="BM955" s="1" t="s">
        <v>74</v>
      </c>
      <c r="BN955" s="1" t="s">
        <v>74</v>
      </c>
      <c r="BO955" s="1" t="s">
        <v>383</v>
      </c>
      <c r="BP955" s="1" t="s">
        <v>74</v>
      </c>
      <c r="BQ955" s="1" t="s">
        <v>74</v>
      </c>
      <c r="BR955" s="1" t="s">
        <v>74</v>
      </c>
      <c r="BS955" s="1" t="s">
        <v>8383</v>
      </c>
      <c r="BT955" s="1" t="str">
        <f>HYPERLINK("https%3A%2F%2Fwww.webofscience.com%2Fwos%2Fwoscc%2Ffull-record%2FWOS:001315176600001","View Full Record in Web of Science")</f>
        <v>View Full Record in Web of Science</v>
      </c>
    </row>
    <row r="956" ht="12.75" customHeight="1">
      <c r="A956" s="1" t="s">
        <v>72</v>
      </c>
      <c r="B956" s="1" t="s">
        <v>8384</v>
      </c>
      <c r="C956" s="1" t="s">
        <v>74</v>
      </c>
      <c r="D956" s="1" t="s">
        <v>74</v>
      </c>
      <c r="E956" s="1" t="s">
        <v>74</v>
      </c>
      <c r="F956" s="1" t="s">
        <v>8385</v>
      </c>
      <c r="G956" s="1" t="s">
        <v>74</v>
      </c>
      <c r="H956" s="1" t="s">
        <v>74</v>
      </c>
      <c r="I956" s="1" t="s">
        <v>8386</v>
      </c>
      <c r="J956" s="1" t="s">
        <v>2509</v>
      </c>
      <c r="K956" s="1" t="s">
        <v>74</v>
      </c>
      <c r="L956" s="1" t="s">
        <v>74</v>
      </c>
      <c r="M956" s="1" t="s">
        <v>74</v>
      </c>
      <c r="N956" s="1" t="s">
        <v>78</v>
      </c>
      <c r="O956" s="1" t="s">
        <v>74</v>
      </c>
      <c r="P956" s="1" t="s">
        <v>74</v>
      </c>
      <c r="Q956" s="1" t="s">
        <v>74</v>
      </c>
      <c r="R956" s="1" t="s">
        <v>74</v>
      </c>
      <c r="S956" s="1" t="s">
        <v>74</v>
      </c>
      <c r="T956" s="1" t="s">
        <v>8387</v>
      </c>
      <c r="U956" s="1" t="s">
        <v>1474</v>
      </c>
      <c r="V956" s="1" t="s">
        <v>8388</v>
      </c>
      <c r="W956" s="1" t="s">
        <v>74</v>
      </c>
      <c r="X956" s="1" t="s">
        <v>74</v>
      </c>
      <c r="Y956" s="1" t="s">
        <v>74</v>
      </c>
      <c r="Z956" s="1" t="s">
        <v>74</v>
      </c>
      <c r="AA956" s="1" t="s">
        <v>74</v>
      </c>
      <c r="AB956" s="1" t="s">
        <v>74</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74</v>
      </c>
      <c r="AP956" s="1" t="s">
        <v>2512</v>
      </c>
      <c r="AQ956" s="1" t="s">
        <v>74</v>
      </c>
      <c r="AR956" s="1" t="s">
        <v>74</v>
      </c>
      <c r="AS956" s="1" t="s">
        <v>74</v>
      </c>
      <c r="AT956" s="1" t="s">
        <v>172</v>
      </c>
      <c r="AU956" s="1">
        <v>2024.0</v>
      </c>
      <c r="AV956" s="1">
        <v>13.0</v>
      </c>
      <c r="AW956" s="1">
        <v>11.0</v>
      </c>
      <c r="AX956" s="1" t="s">
        <v>74</v>
      </c>
      <c r="AY956" s="1" t="s">
        <v>74</v>
      </c>
      <c r="AZ956" s="1" t="s">
        <v>74</v>
      </c>
      <c r="BA956" s="1" t="s">
        <v>74</v>
      </c>
      <c r="BB956" s="1" t="s">
        <v>74</v>
      </c>
      <c r="BC956" s="1" t="s">
        <v>74</v>
      </c>
      <c r="BD956" s="1">
        <v>414.0</v>
      </c>
      <c r="BE956" s="1" t="s">
        <v>8389</v>
      </c>
      <c r="BF956" s="2" t="str">
        <f>HYPERLINK("http://dx.doi.org/10.3390/ijgi13110414","http://dx.doi.org/10.3390/ijgi13110414")</f>
        <v>http://dx.doi.org/10.3390/ijgi13110414</v>
      </c>
      <c r="BG956" s="1" t="s">
        <v>74</v>
      </c>
      <c r="BH956" s="1" t="s">
        <v>74</v>
      </c>
      <c r="BI956" s="1" t="s">
        <v>74</v>
      </c>
      <c r="BJ956" s="1" t="s">
        <v>74</v>
      </c>
      <c r="BK956" s="1" t="s">
        <v>74</v>
      </c>
      <c r="BL956" s="1" t="s">
        <v>2515</v>
      </c>
      <c r="BM956" s="1" t="s">
        <v>74</v>
      </c>
      <c r="BN956" s="1" t="s">
        <v>74</v>
      </c>
      <c r="BO956" s="1" t="s">
        <v>163</v>
      </c>
      <c r="BP956" s="1" t="s">
        <v>74</v>
      </c>
      <c r="BQ956" s="1" t="s">
        <v>74</v>
      </c>
      <c r="BR956" s="1" t="s">
        <v>74</v>
      </c>
      <c r="BS956" s="1" t="s">
        <v>8390</v>
      </c>
      <c r="BT956" s="1" t="str">
        <f>HYPERLINK("https%3A%2F%2Fwww.webofscience.com%2Fwos%2Fwoscc%2Ffull-record%2FWOS:001365442100001","View Full Record in Web of Science")</f>
        <v>View Full Record in Web of Science</v>
      </c>
    </row>
    <row r="957" ht="12.75" customHeight="1">
      <c r="A957" s="1" t="s">
        <v>72</v>
      </c>
      <c r="B957" s="1" t="s">
        <v>8391</v>
      </c>
      <c r="C957" s="1" t="s">
        <v>74</v>
      </c>
      <c r="D957" s="1" t="s">
        <v>74</v>
      </c>
      <c r="E957" s="1" t="s">
        <v>74</v>
      </c>
      <c r="F957" s="1" t="s">
        <v>8392</v>
      </c>
      <c r="G957" s="1" t="s">
        <v>74</v>
      </c>
      <c r="H957" s="1" t="s">
        <v>74</v>
      </c>
      <c r="I957" s="1" t="s">
        <v>8393</v>
      </c>
      <c r="J957" s="1" t="s">
        <v>2572</v>
      </c>
      <c r="K957" s="1" t="s">
        <v>74</v>
      </c>
      <c r="L957" s="1" t="s">
        <v>74</v>
      </c>
      <c r="M957" s="1" t="s">
        <v>74</v>
      </c>
      <c r="N957" s="1" t="s">
        <v>78</v>
      </c>
      <c r="O957" s="1" t="s">
        <v>74</v>
      </c>
      <c r="P957" s="1" t="s">
        <v>74</v>
      </c>
      <c r="Q957" s="1" t="s">
        <v>74</v>
      </c>
      <c r="R957" s="1" t="s">
        <v>74</v>
      </c>
      <c r="S957" s="1" t="s">
        <v>74</v>
      </c>
      <c r="T957" s="1" t="s">
        <v>8394</v>
      </c>
      <c r="U957" s="1" t="s">
        <v>74</v>
      </c>
      <c r="V957" s="1" t="s">
        <v>8395</v>
      </c>
      <c r="W957" s="1" t="s">
        <v>74</v>
      </c>
      <c r="X957" s="1" t="s">
        <v>74</v>
      </c>
      <c r="Y957" s="1" t="s">
        <v>74</v>
      </c>
      <c r="Z957" s="1" t="s">
        <v>74</v>
      </c>
      <c r="AA957" s="1" t="s">
        <v>74</v>
      </c>
      <c r="AB957" s="1" t="s">
        <v>74</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2575</v>
      </c>
      <c r="AP957" s="1" t="s">
        <v>74</v>
      </c>
      <c r="AQ957" s="1" t="s">
        <v>74</v>
      </c>
      <c r="AR957" s="1" t="s">
        <v>74</v>
      </c>
      <c r="AS957" s="1" t="s">
        <v>74</v>
      </c>
      <c r="AT957" s="1" t="s">
        <v>2762</v>
      </c>
      <c r="AU957" s="1">
        <v>2025.0</v>
      </c>
      <c r="AV957" s="1">
        <v>12.0</v>
      </c>
      <c r="AW957" s="1">
        <v>10.0</v>
      </c>
      <c r="AX957" s="1" t="s">
        <v>74</v>
      </c>
      <c r="AY957" s="1" t="s">
        <v>74</v>
      </c>
      <c r="AZ957" s="1" t="s">
        <v>74</v>
      </c>
      <c r="BA957" s="1" t="s">
        <v>74</v>
      </c>
      <c r="BB957" s="1">
        <v>13208.0</v>
      </c>
      <c r="BC957" s="1">
        <v>13221.0</v>
      </c>
      <c r="BD957" s="1" t="s">
        <v>74</v>
      </c>
      <c r="BE957" s="1" t="s">
        <v>8396</v>
      </c>
      <c r="BF957" s="2" t="str">
        <f>HYPERLINK("http://dx.doi.org/10.1109/JIOT.2024.3509628","http://dx.doi.org/10.1109/JIOT.2024.3509628")</f>
        <v>http://dx.doi.org/10.1109/JIOT.2024.3509628</v>
      </c>
      <c r="BG957" s="1" t="s">
        <v>74</v>
      </c>
      <c r="BH957" s="1" t="s">
        <v>74</v>
      </c>
      <c r="BI957" s="1" t="s">
        <v>74</v>
      </c>
      <c r="BJ957" s="1" t="s">
        <v>74</v>
      </c>
      <c r="BK957" s="1" t="s">
        <v>74</v>
      </c>
      <c r="BL957" s="1" t="s">
        <v>152</v>
      </c>
      <c r="BM957" s="1" t="s">
        <v>74</v>
      </c>
      <c r="BN957" s="1" t="s">
        <v>74</v>
      </c>
      <c r="BO957" s="1" t="s">
        <v>74</v>
      </c>
      <c r="BP957" s="1" t="s">
        <v>74</v>
      </c>
      <c r="BQ957" s="1" t="s">
        <v>74</v>
      </c>
      <c r="BR957" s="1" t="s">
        <v>74</v>
      </c>
      <c r="BS957" s="1" t="s">
        <v>8397</v>
      </c>
      <c r="BT957" s="1" t="str">
        <f>HYPERLINK("https%3A%2F%2Fwww.webofscience.com%2Fwos%2Fwoscc%2Ffull-record%2FWOS:001484711600007","View Full Record in Web of Science")</f>
        <v>View Full Record in Web of Science</v>
      </c>
    </row>
    <row r="958" ht="12.75" customHeight="1">
      <c r="A958" s="1" t="s">
        <v>72</v>
      </c>
      <c r="B958" s="1" t="s">
        <v>8398</v>
      </c>
      <c r="C958" s="1" t="s">
        <v>74</v>
      </c>
      <c r="D958" s="1" t="s">
        <v>74</v>
      </c>
      <c r="E958" s="1" t="s">
        <v>74</v>
      </c>
      <c r="F958" s="1" t="s">
        <v>8399</v>
      </c>
      <c r="G958" s="1" t="s">
        <v>74</v>
      </c>
      <c r="H958" s="1" t="s">
        <v>74</v>
      </c>
      <c r="I958" s="1" t="s">
        <v>8400</v>
      </c>
      <c r="J958" s="1" t="s">
        <v>5449</v>
      </c>
      <c r="K958" s="1" t="s">
        <v>74</v>
      </c>
      <c r="L958" s="1" t="s">
        <v>74</v>
      </c>
      <c r="M958" s="1" t="s">
        <v>74</v>
      </c>
      <c r="N958" s="1" t="s">
        <v>78</v>
      </c>
      <c r="O958" s="1" t="s">
        <v>74</v>
      </c>
      <c r="P958" s="1" t="s">
        <v>74</v>
      </c>
      <c r="Q958" s="1" t="s">
        <v>74</v>
      </c>
      <c r="R958" s="1" t="s">
        <v>74</v>
      </c>
      <c r="S958" s="1" t="s">
        <v>74</v>
      </c>
      <c r="T958" s="1" t="s">
        <v>8401</v>
      </c>
      <c r="U958" s="1" t="s">
        <v>74</v>
      </c>
      <c r="V958" s="1" t="s">
        <v>8402</v>
      </c>
      <c r="W958" s="1" t="s">
        <v>74</v>
      </c>
      <c r="X958" s="1" t="s">
        <v>74</v>
      </c>
      <c r="Y958" s="1" t="s">
        <v>74</v>
      </c>
      <c r="Z958" s="1" t="s">
        <v>74</v>
      </c>
      <c r="AA958" s="1" t="s">
        <v>74</v>
      </c>
      <c r="AB958" s="1" t="s">
        <v>74</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5452</v>
      </c>
      <c r="AP958" s="1" t="s">
        <v>5453</v>
      </c>
      <c r="AQ958" s="1" t="s">
        <v>74</v>
      </c>
      <c r="AR958" s="1" t="s">
        <v>74</v>
      </c>
      <c r="AS958" s="1" t="s">
        <v>74</v>
      </c>
      <c r="AT958" s="1" t="s">
        <v>357</v>
      </c>
      <c r="AU958" s="1">
        <v>2025.0</v>
      </c>
      <c r="AV958" s="1">
        <v>186.0</v>
      </c>
      <c r="AW958" s="1" t="s">
        <v>74</v>
      </c>
      <c r="AX958" s="1" t="s">
        <v>74</v>
      </c>
      <c r="AY958" s="1" t="s">
        <v>74</v>
      </c>
      <c r="AZ958" s="1" t="s">
        <v>74</v>
      </c>
      <c r="BA958" s="1" t="s">
        <v>74</v>
      </c>
      <c r="BB958" s="1" t="s">
        <v>74</v>
      </c>
      <c r="BC958" s="1" t="s">
        <v>74</v>
      </c>
      <c r="BD958" s="1">
        <v>107785.0</v>
      </c>
      <c r="BE958" s="1" t="s">
        <v>8403</v>
      </c>
      <c r="BF958" s="2" t="str">
        <f>HYPERLINK("http://dx.doi.org/10.1016/j.infsof.2025.107785","http://dx.doi.org/10.1016/j.infsof.2025.107785")</f>
        <v>http://dx.doi.org/10.1016/j.infsof.2025.107785</v>
      </c>
      <c r="BG958" s="1" t="s">
        <v>74</v>
      </c>
      <c r="BH958" s="1" t="s">
        <v>112</v>
      </c>
      <c r="BI958" s="1" t="s">
        <v>74</v>
      </c>
      <c r="BJ958" s="1" t="s">
        <v>74</v>
      </c>
      <c r="BK958" s="1" t="s">
        <v>74</v>
      </c>
      <c r="BL958" s="1" t="s">
        <v>174</v>
      </c>
      <c r="BM958" s="1" t="s">
        <v>74</v>
      </c>
      <c r="BN958" s="1" t="s">
        <v>74</v>
      </c>
      <c r="BO958" s="1" t="s">
        <v>74</v>
      </c>
      <c r="BP958" s="1" t="s">
        <v>74</v>
      </c>
      <c r="BQ958" s="1" t="s">
        <v>74</v>
      </c>
      <c r="BR958" s="1" t="s">
        <v>74</v>
      </c>
      <c r="BS958" s="1" t="s">
        <v>8404</v>
      </c>
      <c r="BT958" s="1" t="str">
        <f>HYPERLINK("https%3A%2F%2Fwww.webofscience.com%2Fwos%2Fwoscc%2Ffull-record%2FWOS:001508454100002","View Full Record in Web of Science")</f>
        <v>View Full Record in Web of Science</v>
      </c>
    </row>
    <row r="959" ht="12.75" customHeight="1">
      <c r="A959" s="1" t="s">
        <v>72</v>
      </c>
      <c r="B959" s="1" t="s">
        <v>8405</v>
      </c>
      <c r="C959" s="1" t="s">
        <v>74</v>
      </c>
      <c r="D959" s="1" t="s">
        <v>74</v>
      </c>
      <c r="E959" s="1" t="s">
        <v>74</v>
      </c>
      <c r="F959" s="1" t="s">
        <v>8406</v>
      </c>
      <c r="G959" s="1" t="s">
        <v>74</v>
      </c>
      <c r="H959" s="1" t="s">
        <v>74</v>
      </c>
      <c r="I959" s="1" t="s">
        <v>8407</v>
      </c>
      <c r="J959" s="1" t="s">
        <v>8408</v>
      </c>
      <c r="K959" s="1" t="s">
        <v>74</v>
      </c>
      <c r="L959" s="1" t="s">
        <v>74</v>
      </c>
      <c r="M959" s="1" t="s">
        <v>74</v>
      </c>
      <c r="N959" s="1" t="s">
        <v>78</v>
      </c>
      <c r="O959" s="1" t="s">
        <v>74</v>
      </c>
      <c r="P959" s="1" t="s">
        <v>74</v>
      </c>
      <c r="Q959" s="1" t="s">
        <v>74</v>
      </c>
      <c r="R959" s="1" t="s">
        <v>74</v>
      </c>
      <c r="S959" s="1" t="s">
        <v>74</v>
      </c>
      <c r="T959" s="1" t="s">
        <v>8409</v>
      </c>
      <c r="U959" s="1" t="s">
        <v>74</v>
      </c>
      <c r="V959" s="1" t="s">
        <v>8410</v>
      </c>
      <c r="W959" s="1" t="s">
        <v>74</v>
      </c>
      <c r="X959" s="1" t="s">
        <v>74</v>
      </c>
      <c r="Y959" s="1" t="s">
        <v>74</v>
      </c>
      <c r="Z959" s="1" t="s">
        <v>74</v>
      </c>
      <c r="AA959" s="1" t="s">
        <v>74</v>
      </c>
      <c r="AB959" s="1" t="s">
        <v>74</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8411</v>
      </c>
      <c r="AP959" s="1" t="s">
        <v>8412</v>
      </c>
      <c r="AQ959" s="1" t="s">
        <v>74</v>
      </c>
      <c r="AR959" s="1" t="s">
        <v>74</v>
      </c>
      <c r="AS959" s="1" t="s">
        <v>74</v>
      </c>
      <c r="AT959" s="1" t="s">
        <v>688</v>
      </c>
      <c r="AU959" s="1">
        <v>2025.0</v>
      </c>
      <c r="AV959" s="1">
        <v>14.0</v>
      </c>
      <c r="AW959" s="1">
        <v>2.0</v>
      </c>
      <c r="AX959" s="1" t="s">
        <v>74</v>
      </c>
      <c r="AY959" s="1" t="s">
        <v>74</v>
      </c>
      <c r="AZ959" s="1" t="s">
        <v>74</v>
      </c>
      <c r="BA959" s="1" t="s">
        <v>74</v>
      </c>
      <c r="BB959" s="1">
        <v>26.0</v>
      </c>
      <c r="BC959" s="1">
        <v>34.0</v>
      </c>
      <c r="BD959" s="1" t="s">
        <v>74</v>
      </c>
      <c r="BE959" s="1" t="s">
        <v>8413</v>
      </c>
      <c r="BF959" s="2" t="str">
        <f>HYPERLINK("http://dx.doi.org/10.1109/MCE.2024.3416903","http://dx.doi.org/10.1109/MCE.2024.3416903")</f>
        <v>http://dx.doi.org/10.1109/MCE.2024.3416903</v>
      </c>
      <c r="BG959" s="1" t="s">
        <v>74</v>
      </c>
      <c r="BH959" s="1" t="s">
        <v>74</v>
      </c>
      <c r="BI959" s="1" t="s">
        <v>74</v>
      </c>
      <c r="BJ959" s="1" t="s">
        <v>74</v>
      </c>
      <c r="BK959" s="1" t="s">
        <v>74</v>
      </c>
      <c r="BL959" s="1" t="s">
        <v>152</v>
      </c>
      <c r="BM959" s="1" t="s">
        <v>74</v>
      </c>
      <c r="BN959" s="1" t="s">
        <v>74</v>
      </c>
      <c r="BO959" s="1" t="s">
        <v>74</v>
      </c>
      <c r="BP959" s="1" t="s">
        <v>74</v>
      </c>
      <c r="BQ959" s="1" t="s">
        <v>74</v>
      </c>
      <c r="BR959" s="1" t="s">
        <v>74</v>
      </c>
      <c r="BS959" s="1" t="s">
        <v>8414</v>
      </c>
      <c r="BT959" s="1" t="str">
        <f>HYPERLINK("https%3A%2F%2Fwww.webofscience.com%2Fwos%2Fwoscc%2Ffull-record%2FWOS:001422950100001","View Full Record in Web of Science")</f>
        <v>View Full Record in Web of Science</v>
      </c>
    </row>
    <row r="960" ht="12.75" customHeight="1">
      <c r="A960" s="1" t="s">
        <v>72</v>
      </c>
      <c r="B960" s="1" t="s">
        <v>8415</v>
      </c>
      <c r="C960" s="1" t="s">
        <v>74</v>
      </c>
      <c r="D960" s="1" t="s">
        <v>74</v>
      </c>
      <c r="E960" s="1" t="s">
        <v>74</v>
      </c>
      <c r="F960" s="1" t="s">
        <v>8416</v>
      </c>
      <c r="G960" s="1" t="s">
        <v>74</v>
      </c>
      <c r="H960" s="1" t="s">
        <v>74</v>
      </c>
      <c r="I960" s="1" t="s">
        <v>8417</v>
      </c>
      <c r="J960" s="1" t="s">
        <v>147</v>
      </c>
      <c r="K960" s="1" t="s">
        <v>74</v>
      </c>
      <c r="L960" s="1" t="s">
        <v>74</v>
      </c>
      <c r="M960" s="1" t="s">
        <v>74</v>
      </c>
      <c r="N960" s="1" t="s">
        <v>78</v>
      </c>
      <c r="O960" s="1" t="s">
        <v>74</v>
      </c>
      <c r="P960" s="1" t="s">
        <v>74</v>
      </c>
      <c r="Q960" s="1" t="s">
        <v>74</v>
      </c>
      <c r="R960" s="1" t="s">
        <v>74</v>
      </c>
      <c r="S960" s="1" t="s">
        <v>74</v>
      </c>
      <c r="T960" s="1" t="s">
        <v>8418</v>
      </c>
      <c r="U960" s="1" t="s">
        <v>8419</v>
      </c>
      <c r="V960" s="1" t="s">
        <v>8420</v>
      </c>
      <c r="W960" s="1" t="s">
        <v>74</v>
      </c>
      <c r="X960" s="1" t="s">
        <v>74</v>
      </c>
      <c r="Y960" s="1" t="s">
        <v>74</v>
      </c>
      <c r="Z960" s="1" t="s">
        <v>74</v>
      </c>
      <c r="AA960" s="1" t="s">
        <v>74</v>
      </c>
      <c r="AB960" s="1" t="s">
        <v>74</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150</v>
      </c>
      <c r="AP960" s="1" t="s">
        <v>74</v>
      </c>
      <c r="AQ960" s="1" t="s">
        <v>74</v>
      </c>
      <c r="AR960" s="1" t="s">
        <v>74</v>
      </c>
      <c r="AS960" s="1" t="s">
        <v>74</v>
      </c>
      <c r="AT960" s="1" t="s">
        <v>74</v>
      </c>
      <c r="AU960" s="1">
        <v>2025.0</v>
      </c>
      <c r="AV960" s="1">
        <v>13.0</v>
      </c>
      <c r="AW960" s="1" t="s">
        <v>74</v>
      </c>
      <c r="AX960" s="1" t="s">
        <v>74</v>
      </c>
      <c r="AY960" s="1" t="s">
        <v>74</v>
      </c>
      <c r="AZ960" s="1" t="s">
        <v>74</v>
      </c>
      <c r="BA960" s="1" t="s">
        <v>74</v>
      </c>
      <c r="BB960" s="1">
        <v>186633.0</v>
      </c>
      <c r="BC960" s="1">
        <v>186664.0</v>
      </c>
      <c r="BD960" s="1" t="s">
        <v>74</v>
      </c>
      <c r="BE960" s="1" t="s">
        <v>8421</v>
      </c>
      <c r="BF960" s="2" t="str">
        <f>HYPERLINK("http://dx.doi.org/10.1109/ACCESS.2025.3623172","http://dx.doi.org/10.1109/ACCESS.2025.3623172")</f>
        <v>http://dx.doi.org/10.1109/ACCESS.2025.3623172</v>
      </c>
      <c r="BG960" s="1" t="s">
        <v>74</v>
      </c>
      <c r="BH960" s="1" t="s">
        <v>74</v>
      </c>
      <c r="BI960" s="1" t="s">
        <v>74</v>
      </c>
      <c r="BJ960" s="1" t="s">
        <v>74</v>
      </c>
      <c r="BK960" s="1" t="s">
        <v>74</v>
      </c>
      <c r="BL960" s="1" t="s">
        <v>152</v>
      </c>
      <c r="BM960" s="1" t="s">
        <v>74</v>
      </c>
      <c r="BN960" s="1" t="s">
        <v>74</v>
      </c>
      <c r="BO960" s="1" t="s">
        <v>153</v>
      </c>
      <c r="BP960" s="1" t="s">
        <v>74</v>
      </c>
      <c r="BQ960" s="1" t="s">
        <v>74</v>
      </c>
      <c r="BR960" s="1" t="s">
        <v>74</v>
      </c>
      <c r="BS960" s="1" t="s">
        <v>8422</v>
      </c>
      <c r="BT960" s="1" t="str">
        <f>HYPERLINK("https%3A%2F%2Fwww.webofscience.com%2Fwos%2Fwoscc%2Ffull-record%2FWOS:001612982900036","View Full Record in Web of Science")</f>
        <v>View Full Record in Web of Science</v>
      </c>
    </row>
    <row r="961" ht="12.75" customHeight="1">
      <c r="A961" s="1" t="s">
        <v>72</v>
      </c>
      <c r="B961" s="1" t="s">
        <v>8423</v>
      </c>
      <c r="C961" s="1" t="s">
        <v>74</v>
      </c>
      <c r="D961" s="1" t="s">
        <v>74</v>
      </c>
      <c r="E961" s="1" t="s">
        <v>74</v>
      </c>
      <c r="F961" s="1" t="s">
        <v>2826</v>
      </c>
      <c r="G961" s="1" t="s">
        <v>74</v>
      </c>
      <c r="H961" s="1" t="s">
        <v>74</v>
      </c>
      <c r="I961" s="1" t="s">
        <v>8424</v>
      </c>
      <c r="J961" s="1" t="s">
        <v>1730</v>
      </c>
      <c r="K961" s="1" t="s">
        <v>74</v>
      </c>
      <c r="L961" s="1" t="s">
        <v>74</v>
      </c>
      <c r="M961" s="1" t="s">
        <v>74</v>
      </c>
      <c r="N961" s="1" t="s">
        <v>78</v>
      </c>
      <c r="O961" s="1" t="s">
        <v>74</v>
      </c>
      <c r="P961" s="1" t="s">
        <v>74</v>
      </c>
      <c r="Q961" s="1" t="s">
        <v>74</v>
      </c>
      <c r="R961" s="1" t="s">
        <v>74</v>
      </c>
      <c r="S961" s="1" t="s">
        <v>74</v>
      </c>
      <c r="T961" s="1" t="s">
        <v>8425</v>
      </c>
      <c r="U961" s="1" t="s">
        <v>8426</v>
      </c>
      <c r="V961" s="1" t="s">
        <v>8427</v>
      </c>
      <c r="W961" s="1" t="s">
        <v>74</v>
      </c>
      <c r="X961" s="1" t="s">
        <v>74</v>
      </c>
      <c r="Y961" s="1" t="s">
        <v>74</v>
      </c>
      <c r="Z961" s="1" t="s">
        <v>74</v>
      </c>
      <c r="AA961" s="1" t="s">
        <v>74</v>
      </c>
      <c r="AB961" s="1" t="s">
        <v>74</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1733</v>
      </c>
      <c r="AP961" s="1" t="s">
        <v>74</v>
      </c>
      <c r="AQ961" s="1" t="s">
        <v>74</v>
      </c>
      <c r="AR961" s="1" t="s">
        <v>74</v>
      </c>
      <c r="AS961" s="1" t="s">
        <v>74</v>
      </c>
      <c r="AT961" s="1" t="s">
        <v>2642</v>
      </c>
      <c r="AU961" s="1">
        <v>2025.0</v>
      </c>
      <c r="AV961" s="1">
        <v>20.0</v>
      </c>
      <c r="AW961" s="1">
        <v>3.0</v>
      </c>
      <c r="AX961" s="1" t="s">
        <v>74</v>
      </c>
      <c r="AY961" s="1" t="s">
        <v>74</v>
      </c>
      <c r="AZ961" s="1" t="s">
        <v>74</v>
      </c>
      <c r="BA961" s="1" t="s">
        <v>74</v>
      </c>
      <c r="BB961" s="1" t="s">
        <v>74</v>
      </c>
      <c r="BC961" s="1" t="s">
        <v>74</v>
      </c>
      <c r="BD961" s="1">
        <v>221.0</v>
      </c>
      <c r="BE961" s="1" t="s">
        <v>8428</v>
      </c>
      <c r="BF961" s="2" t="str">
        <f>HYPERLINK("http://dx.doi.org/10.3390/jtaer20030221","http://dx.doi.org/10.3390/jtaer20030221")</f>
        <v>http://dx.doi.org/10.3390/jtaer20030221</v>
      </c>
      <c r="BG961" s="1" t="s">
        <v>74</v>
      </c>
      <c r="BH961" s="1" t="s">
        <v>74</v>
      </c>
      <c r="BI961" s="1" t="s">
        <v>74</v>
      </c>
      <c r="BJ961" s="1" t="s">
        <v>74</v>
      </c>
      <c r="BK961" s="1" t="s">
        <v>74</v>
      </c>
      <c r="BL961" s="1" t="s">
        <v>214</v>
      </c>
      <c r="BM961" s="1" t="s">
        <v>74</v>
      </c>
      <c r="BN961" s="1" t="s">
        <v>74</v>
      </c>
      <c r="BO961" s="1" t="s">
        <v>163</v>
      </c>
      <c r="BP961" s="1" t="s">
        <v>74</v>
      </c>
      <c r="BQ961" s="1" t="s">
        <v>74</v>
      </c>
      <c r="BR961" s="1" t="s">
        <v>74</v>
      </c>
      <c r="BS961" s="1" t="s">
        <v>8429</v>
      </c>
      <c r="BT961" s="1" t="str">
        <f>HYPERLINK("https%3A%2F%2Fwww.webofscience.com%2Fwos%2Fwoscc%2Ffull-record%2FWOS:001580200400001","View Full Record in Web of Science")</f>
        <v>View Full Record in Web of Science</v>
      </c>
    </row>
    <row r="962" ht="12.75" customHeight="1">
      <c r="A962" s="1" t="s">
        <v>72</v>
      </c>
      <c r="B962" s="1" t="s">
        <v>8430</v>
      </c>
      <c r="C962" s="1" t="s">
        <v>74</v>
      </c>
      <c r="D962" s="1" t="s">
        <v>74</v>
      </c>
      <c r="E962" s="1" t="s">
        <v>74</v>
      </c>
      <c r="F962" s="1" t="s">
        <v>8431</v>
      </c>
      <c r="G962" s="1" t="s">
        <v>74</v>
      </c>
      <c r="H962" s="1" t="s">
        <v>74</v>
      </c>
      <c r="I962" s="1" t="s">
        <v>8432</v>
      </c>
      <c r="J962" s="1" t="s">
        <v>147</v>
      </c>
      <c r="K962" s="1" t="s">
        <v>74</v>
      </c>
      <c r="L962" s="1" t="s">
        <v>74</v>
      </c>
      <c r="M962" s="1" t="s">
        <v>74</v>
      </c>
      <c r="N962" s="1" t="s">
        <v>78</v>
      </c>
      <c r="O962" s="1" t="s">
        <v>74</v>
      </c>
      <c r="P962" s="1" t="s">
        <v>74</v>
      </c>
      <c r="Q962" s="1" t="s">
        <v>74</v>
      </c>
      <c r="R962" s="1" t="s">
        <v>74</v>
      </c>
      <c r="S962" s="1" t="s">
        <v>74</v>
      </c>
      <c r="T962" s="1" t="s">
        <v>8433</v>
      </c>
      <c r="U962" s="1" t="s">
        <v>8434</v>
      </c>
      <c r="V962" s="1" t="s">
        <v>8435</v>
      </c>
      <c r="W962" s="1" t="s">
        <v>74</v>
      </c>
      <c r="X962" s="1" t="s">
        <v>74</v>
      </c>
      <c r="Y962" s="1" t="s">
        <v>74</v>
      </c>
      <c r="Z962" s="1" t="s">
        <v>74</v>
      </c>
      <c r="AA962" s="1" t="s">
        <v>74</v>
      </c>
      <c r="AB962" s="1" t="s">
        <v>74</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150</v>
      </c>
      <c r="AP962" s="1" t="s">
        <v>74</v>
      </c>
      <c r="AQ962" s="1" t="s">
        <v>74</v>
      </c>
      <c r="AR962" s="1" t="s">
        <v>74</v>
      </c>
      <c r="AS962" s="1" t="s">
        <v>74</v>
      </c>
      <c r="AT962" s="1" t="s">
        <v>74</v>
      </c>
      <c r="AU962" s="1">
        <v>2024.0</v>
      </c>
      <c r="AV962" s="1">
        <v>12.0</v>
      </c>
      <c r="AW962" s="1" t="s">
        <v>74</v>
      </c>
      <c r="AX962" s="1" t="s">
        <v>74</v>
      </c>
      <c r="AY962" s="1" t="s">
        <v>74</v>
      </c>
      <c r="AZ962" s="1" t="s">
        <v>74</v>
      </c>
      <c r="BA962" s="1" t="s">
        <v>74</v>
      </c>
      <c r="BB962" s="1">
        <v>7170.0</v>
      </c>
      <c r="BC962" s="1">
        <v>7198.0</v>
      </c>
      <c r="BD962" s="1" t="s">
        <v>74</v>
      </c>
      <c r="BE962" s="1" t="s">
        <v>8436</v>
      </c>
      <c r="BF962" s="2" t="str">
        <f>HYPERLINK("http://dx.doi.org/10.1109/ACCESS.2024.3349970","http://dx.doi.org/10.1109/ACCESS.2024.3349970")</f>
        <v>http://dx.doi.org/10.1109/ACCESS.2024.3349970</v>
      </c>
      <c r="BG962" s="1" t="s">
        <v>74</v>
      </c>
      <c r="BH962" s="1" t="s">
        <v>74</v>
      </c>
      <c r="BI962" s="1" t="s">
        <v>74</v>
      </c>
      <c r="BJ962" s="1" t="s">
        <v>74</v>
      </c>
      <c r="BK962" s="1" t="s">
        <v>74</v>
      </c>
      <c r="BL962" s="1" t="s">
        <v>152</v>
      </c>
      <c r="BM962" s="1" t="s">
        <v>74</v>
      </c>
      <c r="BN962" s="1" t="s">
        <v>74</v>
      </c>
      <c r="BO962" s="1" t="s">
        <v>153</v>
      </c>
      <c r="BP962" s="1" t="s">
        <v>74</v>
      </c>
      <c r="BQ962" s="1" t="s">
        <v>74</v>
      </c>
      <c r="BR962" s="1" t="s">
        <v>74</v>
      </c>
      <c r="BS962" s="1" t="s">
        <v>8437</v>
      </c>
      <c r="BT962" s="1" t="str">
        <f>HYPERLINK("https%3A%2F%2Fwww.webofscience.com%2Fwos%2Fwoscc%2Ffull-record%2FWOS:001143417600001","View Full Record in Web of Science")</f>
        <v>View Full Record in Web of Science</v>
      </c>
    </row>
    <row r="963" ht="12.75" customHeight="1">
      <c r="A963" s="1" t="s">
        <v>72</v>
      </c>
      <c r="B963" s="1" t="s">
        <v>8438</v>
      </c>
      <c r="C963" s="1" t="s">
        <v>74</v>
      </c>
      <c r="D963" s="1" t="s">
        <v>74</v>
      </c>
      <c r="E963" s="1" t="s">
        <v>74</v>
      </c>
      <c r="F963" s="1" t="s">
        <v>8439</v>
      </c>
      <c r="G963" s="1" t="s">
        <v>74</v>
      </c>
      <c r="H963" s="1" t="s">
        <v>74</v>
      </c>
      <c r="I963" s="1" t="s">
        <v>8440</v>
      </c>
      <c r="J963" s="1" t="s">
        <v>3305</v>
      </c>
      <c r="K963" s="1" t="s">
        <v>74</v>
      </c>
      <c r="L963" s="1" t="s">
        <v>74</v>
      </c>
      <c r="M963" s="1" t="s">
        <v>74</v>
      </c>
      <c r="N963" s="1" t="s">
        <v>78</v>
      </c>
      <c r="O963" s="1" t="s">
        <v>74</v>
      </c>
      <c r="P963" s="1" t="s">
        <v>74</v>
      </c>
      <c r="Q963" s="1" t="s">
        <v>74</v>
      </c>
      <c r="R963" s="1" t="s">
        <v>74</v>
      </c>
      <c r="S963" s="1" t="s">
        <v>74</v>
      </c>
      <c r="T963" s="1" t="s">
        <v>8441</v>
      </c>
      <c r="U963" s="1" t="s">
        <v>74</v>
      </c>
      <c r="V963" s="1" t="s">
        <v>8442</v>
      </c>
      <c r="W963" s="1" t="s">
        <v>74</v>
      </c>
      <c r="X963" s="1" t="s">
        <v>74</v>
      </c>
      <c r="Y963" s="1" t="s">
        <v>74</v>
      </c>
      <c r="Z963" s="1" t="s">
        <v>74</v>
      </c>
      <c r="AA963" s="1" t="s">
        <v>74</v>
      </c>
      <c r="AB963" s="1" t="s">
        <v>74</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3308</v>
      </c>
      <c r="AP963" s="1" t="s">
        <v>3309</v>
      </c>
      <c r="AQ963" s="1" t="s">
        <v>74</v>
      </c>
      <c r="AR963" s="1" t="s">
        <v>74</v>
      </c>
      <c r="AS963" s="1" t="s">
        <v>74</v>
      </c>
      <c r="AT963" s="1" t="s">
        <v>736</v>
      </c>
      <c r="AU963" s="1">
        <v>2026.0</v>
      </c>
      <c r="AV963" s="1">
        <v>129.0</v>
      </c>
      <c r="AW963" s="1" t="s">
        <v>74</v>
      </c>
      <c r="AX963" s="1" t="s">
        <v>1409</v>
      </c>
      <c r="AY963" s="1" t="s">
        <v>74</v>
      </c>
      <c r="AZ963" s="1" t="s">
        <v>74</v>
      </c>
      <c r="BA963" s="1" t="s">
        <v>74</v>
      </c>
      <c r="BB963" s="1" t="s">
        <v>74</v>
      </c>
      <c r="BC963" s="1" t="s">
        <v>74</v>
      </c>
      <c r="BD963" s="1">
        <v>110741.0</v>
      </c>
      <c r="BE963" s="1" t="s">
        <v>8443</v>
      </c>
      <c r="BF963" s="2" t="str">
        <f>HYPERLINK("http://dx.doi.org/10.1016/j.compeleceng.2025.110741","http://dx.doi.org/10.1016/j.compeleceng.2025.110741")</f>
        <v>http://dx.doi.org/10.1016/j.compeleceng.2025.110741</v>
      </c>
      <c r="BG963" s="1" t="s">
        <v>74</v>
      </c>
      <c r="BH963" s="1" t="s">
        <v>811</v>
      </c>
      <c r="BI963" s="1" t="s">
        <v>74</v>
      </c>
      <c r="BJ963" s="1" t="s">
        <v>74</v>
      </c>
      <c r="BK963" s="1" t="s">
        <v>74</v>
      </c>
      <c r="BL963" s="1" t="s">
        <v>98</v>
      </c>
      <c r="BM963" s="1" t="s">
        <v>74</v>
      </c>
      <c r="BN963" s="1" t="s">
        <v>74</v>
      </c>
      <c r="BO963" s="1" t="s">
        <v>74</v>
      </c>
      <c r="BP963" s="1" t="s">
        <v>74</v>
      </c>
      <c r="BQ963" s="1" t="s">
        <v>74</v>
      </c>
      <c r="BR963" s="1" t="s">
        <v>74</v>
      </c>
      <c r="BS963" s="1" t="s">
        <v>8444</v>
      </c>
      <c r="BT963" s="1" t="str">
        <f>HYPERLINK("https%3A%2F%2Fwww.webofscience.com%2Fwos%2Fwoscc%2Ffull-record%2FWOS:001602261600003","View Full Record in Web of Science")</f>
        <v>View Full Record in Web of Science</v>
      </c>
    </row>
    <row r="964" ht="12.75" customHeight="1">
      <c r="A964" s="1" t="s">
        <v>72</v>
      </c>
      <c r="B964" s="1" t="s">
        <v>8445</v>
      </c>
      <c r="C964" s="1" t="s">
        <v>74</v>
      </c>
      <c r="D964" s="1" t="s">
        <v>74</v>
      </c>
      <c r="E964" s="1" t="s">
        <v>74</v>
      </c>
      <c r="F964" s="1" t="s">
        <v>8446</v>
      </c>
      <c r="G964" s="1" t="s">
        <v>74</v>
      </c>
      <c r="H964" s="1" t="s">
        <v>74</v>
      </c>
      <c r="I964" s="1" t="s">
        <v>8447</v>
      </c>
      <c r="J964" s="1" t="s">
        <v>675</v>
      </c>
      <c r="K964" s="1" t="s">
        <v>74</v>
      </c>
      <c r="L964" s="1" t="s">
        <v>74</v>
      </c>
      <c r="M964" s="1" t="s">
        <v>74</v>
      </c>
      <c r="N964" s="1" t="s">
        <v>78</v>
      </c>
      <c r="O964" s="1" t="s">
        <v>74</v>
      </c>
      <c r="P964" s="1" t="s">
        <v>74</v>
      </c>
      <c r="Q964" s="1" t="s">
        <v>74</v>
      </c>
      <c r="R964" s="1" t="s">
        <v>74</v>
      </c>
      <c r="S964" s="1" t="s">
        <v>74</v>
      </c>
      <c r="T964" s="1" t="s">
        <v>8448</v>
      </c>
      <c r="U964" s="1" t="s">
        <v>74</v>
      </c>
      <c r="V964" s="1" t="s">
        <v>8449</v>
      </c>
      <c r="W964" s="1" t="s">
        <v>74</v>
      </c>
      <c r="X964" s="1" t="s">
        <v>74</v>
      </c>
      <c r="Y964" s="1" t="s">
        <v>74</v>
      </c>
      <c r="Z964" s="1" t="s">
        <v>74</v>
      </c>
      <c r="AA964" s="1" t="s">
        <v>74</v>
      </c>
      <c r="AB964" s="1" t="s">
        <v>74</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74</v>
      </c>
      <c r="AP964" s="1" t="s">
        <v>679</v>
      </c>
      <c r="AQ964" s="1" t="s">
        <v>74</v>
      </c>
      <c r="AR964" s="1" t="s">
        <v>74</v>
      </c>
      <c r="AS964" s="1" t="s">
        <v>74</v>
      </c>
      <c r="AT964" s="1" t="s">
        <v>574</v>
      </c>
      <c r="AU964" s="1">
        <v>2025.0</v>
      </c>
      <c r="AV964" s="1">
        <v>8.0</v>
      </c>
      <c r="AW964" s="1" t="s">
        <v>74</v>
      </c>
      <c r="AX964" s="1" t="s">
        <v>74</v>
      </c>
      <c r="AY964" s="1" t="s">
        <v>74</v>
      </c>
      <c r="AZ964" s="1" t="s">
        <v>74</v>
      </c>
      <c r="BA964" s="1" t="s">
        <v>74</v>
      </c>
      <c r="BB964" s="1" t="s">
        <v>74</v>
      </c>
      <c r="BC964" s="1" t="s">
        <v>74</v>
      </c>
      <c r="BD964" s="1">
        <v>1474017.0</v>
      </c>
      <c r="BE964" s="1" t="s">
        <v>8450</v>
      </c>
      <c r="BF964" s="2" t="str">
        <f>HYPERLINK("http://dx.doi.org/10.3389/frai.2025.1474017","http://dx.doi.org/10.3389/frai.2025.1474017")</f>
        <v>http://dx.doi.org/10.3389/frai.2025.1474017</v>
      </c>
      <c r="BG964" s="1" t="s">
        <v>74</v>
      </c>
      <c r="BH964" s="1" t="s">
        <v>74</v>
      </c>
      <c r="BI964" s="1" t="s">
        <v>74</v>
      </c>
      <c r="BJ964" s="1" t="s">
        <v>74</v>
      </c>
      <c r="BK964" s="1" t="s">
        <v>74</v>
      </c>
      <c r="BL964" s="1" t="s">
        <v>174</v>
      </c>
      <c r="BM964" s="1" t="s">
        <v>74</v>
      </c>
      <c r="BN964" s="1" t="s">
        <v>74</v>
      </c>
      <c r="BO964" s="1" t="s">
        <v>153</v>
      </c>
      <c r="BP964" s="1" t="s">
        <v>74</v>
      </c>
      <c r="BQ964" s="1" t="s">
        <v>74</v>
      </c>
      <c r="BR964" s="1" t="s">
        <v>74</v>
      </c>
      <c r="BS964" s="1" t="s">
        <v>8451</v>
      </c>
      <c r="BT964" s="1" t="str">
        <f>HYPERLINK("https%3A%2F%2Fwww.webofscience.com%2Fwos%2Fwoscc%2Ffull-record%2FWOS:001453657700001","View Full Record in Web of Science")</f>
        <v>View Full Record in Web of Science</v>
      </c>
    </row>
    <row r="965" ht="12.75" customHeight="1">
      <c r="A965" s="1" t="s">
        <v>72</v>
      </c>
      <c r="B965" s="1" t="s">
        <v>8452</v>
      </c>
      <c r="C965" s="1" t="s">
        <v>74</v>
      </c>
      <c r="D965" s="1" t="s">
        <v>74</v>
      </c>
      <c r="E965" s="1" t="s">
        <v>74</v>
      </c>
      <c r="F965" s="1" t="s">
        <v>8453</v>
      </c>
      <c r="G965" s="1" t="s">
        <v>74</v>
      </c>
      <c r="H965" s="1" t="s">
        <v>74</v>
      </c>
      <c r="I965" s="1" t="s">
        <v>8454</v>
      </c>
      <c r="J965" s="1" t="s">
        <v>2857</v>
      </c>
      <c r="K965" s="1" t="s">
        <v>74</v>
      </c>
      <c r="L965" s="1" t="s">
        <v>74</v>
      </c>
      <c r="M965" s="1" t="s">
        <v>74</v>
      </c>
      <c r="N965" s="1" t="s">
        <v>78</v>
      </c>
      <c r="O965" s="1" t="s">
        <v>74</v>
      </c>
      <c r="P965" s="1" t="s">
        <v>74</v>
      </c>
      <c r="Q965" s="1" t="s">
        <v>74</v>
      </c>
      <c r="R965" s="1" t="s">
        <v>74</v>
      </c>
      <c r="S965" s="1" t="s">
        <v>74</v>
      </c>
      <c r="T965" s="1" t="s">
        <v>8455</v>
      </c>
      <c r="U965" s="1" t="s">
        <v>1137</v>
      </c>
      <c r="V965" s="1" t="s">
        <v>8456</v>
      </c>
      <c r="W965" s="1" t="s">
        <v>74</v>
      </c>
      <c r="X965" s="1" t="s">
        <v>74</v>
      </c>
      <c r="Y965" s="1" t="s">
        <v>74</v>
      </c>
      <c r="Z965" s="1" t="s">
        <v>74</v>
      </c>
      <c r="AA965" s="1" t="s">
        <v>74</v>
      </c>
      <c r="AB965" s="1" t="s">
        <v>74</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2860</v>
      </c>
      <c r="AP965" s="1" t="s">
        <v>2861</v>
      </c>
      <c r="AQ965" s="1" t="s">
        <v>74</v>
      </c>
      <c r="AR965" s="1" t="s">
        <v>74</v>
      </c>
      <c r="AS965" s="1" t="s">
        <v>74</v>
      </c>
      <c r="AT965" s="1" t="s">
        <v>262</v>
      </c>
      <c r="AU965" s="1">
        <v>2025.0</v>
      </c>
      <c r="AV965" s="1">
        <v>29.0</v>
      </c>
      <c r="AW965" s="1">
        <v>9.0</v>
      </c>
      <c r="AX965" s="1" t="s">
        <v>74</v>
      </c>
      <c r="AY965" s="1" t="s">
        <v>74</v>
      </c>
      <c r="AZ965" s="1" t="s">
        <v>74</v>
      </c>
      <c r="BA965" s="1" t="s">
        <v>74</v>
      </c>
      <c r="BB965" s="1">
        <v>6366.0</v>
      </c>
      <c r="BC965" s="1">
        <v>6378.0</v>
      </c>
      <c r="BD965" s="1" t="s">
        <v>74</v>
      </c>
      <c r="BE965" s="1" t="s">
        <v>8457</v>
      </c>
      <c r="BF965" s="2" t="str">
        <f>HYPERLINK("http://dx.doi.org/10.1109/JBHI.2024.3464555","http://dx.doi.org/10.1109/JBHI.2024.3464555")</f>
        <v>http://dx.doi.org/10.1109/JBHI.2024.3464555</v>
      </c>
      <c r="BG965" s="1" t="s">
        <v>74</v>
      </c>
      <c r="BH965" s="1" t="s">
        <v>74</v>
      </c>
      <c r="BI965" s="1" t="s">
        <v>74</v>
      </c>
      <c r="BJ965" s="1" t="s">
        <v>74</v>
      </c>
      <c r="BK965" s="1" t="s">
        <v>74</v>
      </c>
      <c r="BL965" s="1" t="s">
        <v>2863</v>
      </c>
      <c r="BM965" s="1" t="s">
        <v>74</v>
      </c>
      <c r="BN965" s="1" t="s">
        <v>74</v>
      </c>
      <c r="BO965" s="1" t="s">
        <v>74</v>
      </c>
      <c r="BP965" s="1" t="s">
        <v>74</v>
      </c>
      <c r="BQ965" s="1" t="s">
        <v>74</v>
      </c>
      <c r="BR965" s="1" t="s">
        <v>74</v>
      </c>
      <c r="BS965" s="1" t="s">
        <v>8458</v>
      </c>
      <c r="BT965" s="1" t="str">
        <f>HYPERLINK("https%3A%2F%2Fwww.webofscience.com%2Fwos%2Fwoscc%2Ffull-record%2FWOS:001566981400037","View Full Record in Web of Science")</f>
        <v>View Full Record in Web of Science</v>
      </c>
    </row>
    <row r="966" ht="12.75" customHeight="1">
      <c r="A966" s="1" t="s">
        <v>72</v>
      </c>
      <c r="B966" s="1" t="s">
        <v>8459</v>
      </c>
      <c r="C966" s="1" t="s">
        <v>74</v>
      </c>
      <c r="D966" s="1" t="s">
        <v>74</v>
      </c>
      <c r="E966" s="1" t="s">
        <v>74</v>
      </c>
      <c r="F966" s="1" t="s">
        <v>8460</v>
      </c>
      <c r="G966" s="1" t="s">
        <v>74</v>
      </c>
      <c r="H966" s="1" t="s">
        <v>74</v>
      </c>
      <c r="I966" s="1" t="s">
        <v>8461</v>
      </c>
      <c r="J966" s="1" t="s">
        <v>720</v>
      </c>
      <c r="K966" s="1" t="s">
        <v>74</v>
      </c>
      <c r="L966" s="1" t="s">
        <v>74</v>
      </c>
      <c r="M966" s="1" t="s">
        <v>74</v>
      </c>
      <c r="N966" s="1" t="s">
        <v>78</v>
      </c>
      <c r="O966" s="1" t="s">
        <v>74</v>
      </c>
      <c r="P966" s="1" t="s">
        <v>74</v>
      </c>
      <c r="Q966" s="1" t="s">
        <v>74</v>
      </c>
      <c r="R966" s="1" t="s">
        <v>74</v>
      </c>
      <c r="S966" s="1" t="s">
        <v>74</v>
      </c>
      <c r="T966" s="1" t="s">
        <v>8462</v>
      </c>
      <c r="U966" s="1" t="s">
        <v>74</v>
      </c>
      <c r="V966" s="1" t="s">
        <v>8463</v>
      </c>
      <c r="W966" s="1" t="s">
        <v>74</v>
      </c>
      <c r="X966" s="1" t="s">
        <v>74</v>
      </c>
      <c r="Y966" s="1" t="s">
        <v>74</v>
      </c>
      <c r="Z966" s="1" t="s">
        <v>74</v>
      </c>
      <c r="AA966" s="1" t="s">
        <v>74</v>
      </c>
      <c r="AB966" s="1" t="s">
        <v>74</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723</v>
      </c>
      <c r="AP966" s="1" t="s">
        <v>724</v>
      </c>
      <c r="AQ966" s="1" t="s">
        <v>74</v>
      </c>
      <c r="AR966" s="1" t="s">
        <v>74</v>
      </c>
      <c r="AS966" s="1" t="s">
        <v>74</v>
      </c>
      <c r="AT966" s="1" t="s">
        <v>8464</v>
      </c>
      <c r="AU966" s="1">
        <v>2025.0</v>
      </c>
      <c r="AV966" s="1">
        <v>653.0</v>
      </c>
      <c r="AW966" s="1" t="s">
        <v>74</v>
      </c>
      <c r="AX966" s="1" t="s">
        <v>74</v>
      </c>
      <c r="AY966" s="1" t="s">
        <v>74</v>
      </c>
      <c r="AZ966" s="1" t="s">
        <v>74</v>
      </c>
      <c r="BA966" s="1" t="s">
        <v>74</v>
      </c>
      <c r="BB966" s="1" t="s">
        <v>74</v>
      </c>
      <c r="BC966" s="1" t="s">
        <v>74</v>
      </c>
      <c r="BD966" s="1">
        <v>131214.0</v>
      </c>
      <c r="BE966" s="1" t="s">
        <v>8465</v>
      </c>
      <c r="BF966" s="2" t="str">
        <f>HYPERLINK("http://dx.doi.org/10.1016/j.neucom.2025.131214","http://dx.doi.org/10.1016/j.neucom.2025.131214")</f>
        <v>http://dx.doi.org/10.1016/j.neucom.2025.131214</v>
      </c>
      <c r="BG966" s="1" t="s">
        <v>74</v>
      </c>
      <c r="BH966" s="1" t="s">
        <v>276</v>
      </c>
      <c r="BI966" s="1" t="s">
        <v>74</v>
      </c>
      <c r="BJ966" s="1" t="s">
        <v>74</v>
      </c>
      <c r="BK966" s="1" t="s">
        <v>74</v>
      </c>
      <c r="BL966" s="1" t="s">
        <v>174</v>
      </c>
      <c r="BM966" s="1" t="s">
        <v>74</v>
      </c>
      <c r="BN966" s="1" t="s">
        <v>74</v>
      </c>
      <c r="BO966" s="1" t="s">
        <v>74</v>
      </c>
      <c r="BP966" s="1" t="s">
        <v>74</v>
      </c>
      <c r="BQ966" s="1" t="s">
        <v>74</v>
      </c>
      <c r="BR966" s="1" t="s">
        <v>74</v>
      </c>
      <c r="BS966" s="1" t="s">
        <v>8466</v>
      </c>
      <c r="BT966" s="1" t="str">
        <f>HYPERLINK("https%3A%2F%2Fwww.webofscience.com%2Fwos%2Fwoscc%2Ffull-record%2FWOS:001583993700002","View Full Record in Web of Science")</f>
        <v>View Full Record in Web of Science</v>
      </c>
    </row>
    <row r="967" ht="12.75" customHeight="1">
      <c r="A967" s="1" t="s">
        <v>72</v>
      </c>
      <c r="B967" s="1" t="s">
        <v>8467</v>
      </c>
      <c r="C967" s="1" t="s">
        <v>74</v>
      </c>
      <c r="D967" s="1" t="s">
        <v>74</v>
      </c>
      <c r="E967" s="1" t="s">
        <v>74</v>
      </c>
      <c r="F967" s="1" t="s">
        <v>8468</v>
      </c>
      <c r="G967" s="1" t="s">
        <v>74</v>
      </c>
      <c r="H967" s="1" t="s">
        <v>74</v>
      </c>
      <c r="I967" s="1" t="s">
        <v>8469</v>
      </c>
      <c r="J967" s="1" t="s">
        <v>2768</v>
      </c>
      <c r="K967" s="1" t="s">
        <v>74</v>
      </c>
      <c r="L967" s="1" t="s">
        <v>74</v>
      </c>
      <c r="M967" s="1" t="s">
        <v>74</v>
      </c>
      <c r="N967" s="1" t="s">
        <v>78</v>
      </c>
      <c r="O967" s="1" t="s">
        <v>74</v>
      </c>
      <c r="P967" s="1" t="s">
        <v>74</v>
      </c>
      <c r="Q967" s="1" t="s">
        <v>74</v>
      </c>
      <c r="R967" s="1" t="s">
        <v>74</v>
      </c>
      <c r="S967" s="1" t="s">
        <v>74</v>
      </c>
      <c r="T967" s="1" t="s">
        <v>8470</v>
      </c>
      <c r="U967" s="1" t="s">
        <v>74</v>
      </c>
      <c r="V967" s="1" t="s">
        <v>8471</v>
      </c>
      <c r="W967" s="1" t="s">
        <v>74</v>
      </c>
      <c r="X967" s="1" t="s">
        <v>74</v>
      </c>
      <c r="Y967" s="1" t="s">
        <v>74</v>
      </c>
      <c r="Z967" s="1" t="s">
        <v>74</v>
      </c>
      <c r="AA967" s="1" t="s">
        <v>74</v>
      </c>
      <c r="AB967" s="1" t="s">
        <v>74</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2772</v>
      </c>
      <c r="AP967" s="1" t="s">
        <v>2773</v>
      </c>
      <c r="AQ967" s="1" t="s">
        <v>74</v>
      </c>
      <c r="AR967" s="1" t="s">
        <v>74</v>
      </c>
      <c r="AS967" s="1" t="s">
        <v>74</v>
      </c>
      <c r="AT967" s="1" t="s">
        <v>736</v>
      </c>
      <c r="AU967" s="1">
        <v>2026.0</v>
      </c>
      <c r="AV967" s="1">
        <v>231.0</v>
      </c>
      <c r="AW967" s="1" t="s">
        <v>74</v>
      </c>
      <c r="AX967" s="1" t="s">
        <v>74</v>
      </c>
      <c r="AY967" s="1" t="s">
        <v>74</v>
      </c>
      <c r="AZ967" s="1" t="s">
        <v>74</v>
      </c>
      <c r="BA967" s="1" t="s">
        <v>74</v>
      </c>
      <c r="BB967" s="1" t="s">
        <v>74</v>
      </c>
      <c r="BC967" s="1" t="s">
        <v>74</v>
      </c>
      <c r="BD967" s="1">
        <v>112594.0</v>
      </c>
      <c r="BE967" s="1" t="s">
        <v>8472</v>
      </c>
      <c r="BF967" s="2" t="str">
        <f>HYPERLINK("http://dx.doi.org/10.1016/j.jss.2025.112594","http://dx.doi.org/10.1016/j.jss.2025.112594")</f>
        <v>http://dx.doi.org/10.1016/j.jss.2025.112594</v>
      </c>
      <c r="BG967" s="1" t="s">
        <v>74</v>
      </c>
      <c r="BH967" s="1" t="s">
        <v>276</v>
      </c>
      <c r="BI967" s="1" t="s">
        <v>74</v>
      </c>
      <c r="BJ967" s="1" t="s">
        <v>74</v>
      </c>
      <c r="BK967" s="1" t="s">
        <v>74</v>
      </c>
      <c r="BL967" s="1" t="s">
        <v>174</v>
      </c>
      <c r="BM967" s="1" t="s">
        <v>74</v>
      </c>
      <c r="BN967" s="1" t="s">
        <v>74</v>
      </c>
      <c r="BO967" s="1" t="s">
        <v>74</v>
      </c>
      <c r="BP967" s="1" t="s">
        <v>74</v>
      </c>
      <c r="BQ967" s="1" t="s">
        <v>74</v>
      </c>
      <c r="BR967" s="1" t="s">
        <v>74</v>
      </c>
      <c r="BS967" s="1" t="s">
        <v>8473</v>
      </c>
      <c r="BT967" s="1" t="str">
        <f>HYPERLINK("https%3A%2F%2Fwww.webofscience.com%2Fwos%2Fwoscc%2Ffull-record%2FWOS:001633342100002","View Full Record in Web of Science")</f>
        <v>View Full Record in Web of Science</v>
      </c>
    </row>
    <row r="968" ht="12.75" customHeight="1">
      <c r="A968" s="1" t="s">
        <v>72</v>
      </c>
      <c r="B968" s="1" t="s">
        <v>8474</v>
      </c>
      <c r="C968" s="1" t="s">
        <v>74</v>
      </c>
      <c r="D968" s="1" t="s">
        <v>74</v>
      </c>
      <c r="E968" s="1" t="s">
        <v>74</v>
      </c>
      <c r="F968" s="1" t="s">
        <v>8475</v>
      </c>
      <c r="G968" s="1" t="s">
        <v>74</v>
      </c>
      <c r="H968" s="1" t="s">
        <v>74</v>
      </c>
      <c r="I968" s="1" t="s">
        <v>8476</v>
      </c>
      <c r="J968" s="1" t="s">
        <v>7466</v>
      </c>
      <c r="K968" s="1" t="s">
        <v>74</v>
      </c>
      <c r="L968" s="1" t="s">
        <v>74</v>
      </c>
      <c r="M968" s="1" t="s">
        <v>74</v>
      </c>
      <c r="N968" s="1" t="s">
        <v>78</v>
      </c>
      <c r="O968" s="1" t="s">
        <v>74</v>
      </c>
      <c r="P968" s="1" t="s">
        <v>74</v>
      </c>
      <c r="Q968" s="1" t="s">
        <v>74</v>
      </c>
      <c r="R968" s="1" t="s">
        <v>74</v>
      </c>
      <c r="S968" s="1" t="s">
        <v>74</v>
      </c>
      <c r="T968" s="1" t="s">
        <v>8477</v>
      </c>
      <c r="U968" s="1" t="s">
        <v>74</v>
      </c>
      <c r="V968" s="1" t="s">
        <v>8478</v>
      </c>
      <c r="W968" s="1" t="s">
        <v>74</v>
      </c>
      <c r="X968" s="1" t="s">
        <v>74</v>
      </c>
      <c r="Y968" s="1" t="s">
        <v>74</v>
      </c>
      <c r="Z968" s="1" t="s">
        <v>74</v>
      </c>
      <c r="AA968" s="1" t="s">
        <v>74</v>
      </c>
      <c r="AB968" s="1" t="s">
        <v>74</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7469</v>
      </c>
      <c r="AP968" s="1" t="s">
        <v>7470</v>
      </c>
      <c r="AQ968" s="1" t="s">
        <v>74</v>
      </c>
      <c r="AR968" s="1" t="s">
        <v>74</v>
      </c>
      <c r="AS968" s="1" t="s">
        <v>74</v>
      </c>
      <c r="AT968" s="1" t="s">
        <v>225</v>
      </c>
      <c r="AU968" s="1">
        <v>2026.0</v>
      </c>
      <c r="AV968" s="1">
        <v>99.0</v>
      </c>
      <c r="AW968" s="1" t="s">
        <v>74</v>
      </c>
      <c r="AX968" s="1" t="s">
        <v>74</v>
      </c>
      <c r="AY968" s="1" t="s">
        <v>74</v>
      </c>
      <c r="AZ968" s="1" t="s">
        <v>74</v>
      </c>
      <c r="BA968" s="1" t="s">
        <v>74</v>
      </c>
      <c r="BB968" s="1" t="s">
        <v>74</v>
      </c>
      <c r="BC968" s="1" t="s">
        <v>74</v>
      </c>
      <c r="BD968" s="1">
        <v>101909.0</v>
      </c>
      <c r="BE968" s="1" t="s">
        <v>8479</v>
      </c>
      <c r="BF968" s="2" t="str">
        <f>HYPERLINK("http://dx.doi.org/10.1016/j.csl.2025.101909","http://dx.doi.org/10.1016/j.csl.2025.101909")</f>
        <v>http://dx.doi.org/10.1016/j.csl.2025.101909</v>
      </c>
      <c r="BG968" s="1" t="s">
        <v>74</v>
      </c>
      <c r="BH968" s="1" t="s">
        <v>605</v>
      </c>
      <c r="BI968" s="1" t="s">
        <v>74</v>
      </c>
      <c r="BJ968" s="1" t="s">
        <v>74</v>
      </c>
      <c r="BK968" s="1" t="s">
        <v>74</v>
      </c>
      <c r="BL968" s="1" t="s">
        <v>174</v>
      </c>
      <c r="BM968" s="1" t="s">
        <v>74</v>
      </c>
      <c r="BN968" s="1" t="s">
        <v>74</v>
      </c>
      <c r="BO968" s="1" t="s">
        <v>74</v>
      </c>
      <c r="BP968" s="1" t="s">
        <v>74</v>
      </c>
      <c r="BQ968" s="1" t="s">
        <v>74</v>
      </c>
      <c r="BR968" s="1" t="s">
        <v>74</v>
      </c>
      <c r="BS968" s="1" t="s">
        <v>8480</v>
      </c>
      <c r="BT968" s="1" t="str">
        <f>HYPERLINK("https%3A%2F%2Fwww.webofscience.com%2Fwos%2Fwoscc%2Ffull-record%2FWOS:001635112000001","View Full Record in Web of Science")</f>
        <v>View Full Record in Web of Science</v>
      </c>
    </row>
    <row r="969" ht="12.75" customHeight="1">
      <c r="A969" s="1" t="s">
        <v>72</v>
      </c>
      <c r="B969" s="1" t="s">
        <v>8481</v>
      </c>
      <c r="C969" s="1" t="s">
        <v>74</v>
      </c>
      <c r="D969" s="1" t="s">
        <v>74</v>
      </c>
      <c r="E969" s="1" t="s">
        <v>74</v>
      </c>
      <c r="F969" s="1" t="s">
        <v>8482</v>
      </c>
      <c r="G969" s="1" t="s">
        <v>74</v>
      </c>
      <c r="H969" s="1" t="s">
        <v>74</v>
      </c>
      <c r="I969" s="1" t="s">
        <v>8483</v>
      </c>
      <c r="J969" s="1" t="s">
        <v>103</v>
      </c>
      <c r="K969" s="1" t="s">
        <v>74</v>
      </c>
      <c r="L969" s="1" t="s">
        <v>74</v>
      </c>
      <c r="M969" s="1" t="s">
        <v>74</v>
      </c>
      <c r="N969" s="1" t="s">
        <v>78</v>
      </c>
      <c r="O969" s="1" t="s">
        <v>74</v>
      </c>
      <c r="P969" s="1" t="s">
        <v>74</v>
      </c>
      <c r="Q969" s="1" t="s">
        <v>74</v>
      </c>
      <c r="R969" s="1" t="s">
        <v>74</v>
      </c>
      <c r="S969" s="1" t="s">
        <v>74</v>
      </c>
      <c r="T969" s="1" t="s">
        <v>8484</v>
      </c>
      <c r="U969" s="1" t="s">
        <v>512</v>
      </c>
      <c r="V969" s="1" t="s">
        <v>8485</v>
      </c>
      <c r="W969" s="1" t="s">
        <v>74</v>
      </c>
      <c r="X969" s="1" t="s">
        <v>74</v>
      </c>
      <c r="Y969" s="1" t="s">
        <v>74</v>
      </c>
      <c r="Z969" s="1" t="s">
        <v>74</v>
      </c>
      <c r="AA969" s="1" t="s">
        <v>74</v>
      </c>
      <c r="AB969" s="1" t="s">
        <v>74</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107</v>
      </c>
      <c r="AP969" s="1" t="s">
        <v>108</v>
      </c>
      <c r="AQ969" s="1" t="s">
        <v>74</v>
      </c>
      <c r="AR969" s="1" t="s">
        <v>74</v>
      </c>
      <c r="AS969" s="1" t="s">
        <v>74</v>
      </c>
      <c r="AT969" s="1" t="s">
        <v>736</v>
      </c>
      <c r="AU969" s="1">
        <v>2025.0</v>
      </c>
      <c r="AV969" s="1">
        <v>139.0</v>
      </c>
      <c r="AW969" s="1" t="s">
        <v>74</v>
      </c>
      <c r="AX969" s="1" t="s">
        <v>110</v>
      </c>
      <c r="AY969" s="1" t="s">
        <v>74</v>
      </c>
      <c r="AZ969" s="1" t="s">
        <v>74</v>
      </c>
      <c r="BA969" s="1" t="s">
        <v>74</v>
      </c>
      <c r="BB969" s="1" t="s">
        <v>74</v>
      </c>
      <c r="BC969" s="1" t="s">
        <v>74</v>
      </c>
      <c r="BD969" s="1">
        <v>109561.0</v>
      </c>
      <c r="BE969" s="1" t="s">
        <v>8486</v>
      </c>
      <c r="BF969" s="2" t="str">
        <f>HYPERLINK("http://dx.doi.org/10.1016/j.engappai.2024.109561","http://dx.doi.org/10.1016/j.engappai.2024.109561")</f>
        <v>http://dx.doi.org/10.1016/j.engappai.2024.109561</v>
      </c>
      <c r="BG969" s="1" t="s">
        <v>74</v>
      </c>
      <c r="BH969" s="1" t="s">
        <v>2216</v>
      </c>
      <c r="BI969" s="1" t="s">
        <v>74</v>
      </c>
      <c r="BJ969" s="1" t="s">
        <v>74</v>
      </c>
      <c r="BK969" s="1" t="s">
        <v>74</v>
      </c>
      <c r="BL969" s="1" t="s">
        <v>113</v>
      </c>
      <c r="BM969" s="1" t="s">
        <v>74</v>
      </c>
      <c r="BN969" s="1" t="s">
        <v>74</v>
      </c>
      <c r="BO969" s="1" t="s">
        <v>114</v>
      </c>
      <c r="BP969" s="1" t="s">
        <v>74</v>
      </c>
      <c r="BQ969" s="1" t="s">
        <v>74</v>
      </c>
      <c r="BR969" s="1" t="s">
        <v>74</v>
      </c>
      <c r="BS969" s="1" t="s">
        <v>8487</v>
      </c>
      <c r="BT969" s="1" t="str">
        <f>HYPERLINK("https%3A%2F%2Fwww.webofscience.com%2Fwos%2Fwoscc%2Ffull-record%2FWOS:001360856200001","View Full Record in Web of Science")</f>
        <v>View Full Record in Web of Science</v>
      </c>
    </row>
    <row r="970" ht="12.75" customHeight="1">
      <c r="A970" s="1" t="s">
        <v>72</v>
      </c>
      <c r="B970" s="1" t="s">
        <v>8488</v>
      </c>
      <c r="C970" s="1" t="s">
        <v>74</v>
      </c>
      <c r="D970" s="1" t="s">
        <v>74</v>
      </c>
      <c r="E970" s="1" t="s">
        <v>74</v>
      </c>
      <c r="F970" s="1" t="s">
        <v>8489</v>
      </c>
      <c r="G970" s="1" t="s">
        <v>74</v>
      </c>
      <c r="H970" s="1" t="s">
        <v>74</v>
      </c>
      <c r="I970" s="1" t="s">
        <v>8490</v>
      </c>
      <c r="J970" s="1" t="s">
        <v>1338</v>
      </c>
      <c r="K970" s="1" t="s">
        <v>74</v>
      </c>
      <c r="L970" s="1" t="s">
        <v>74</v>
      </c>
      <c r="M970" s="1" t="s">
        <v>74</v>
      </c>
      <c r="N970" s="1" t="s">
        <v>78</v>
      </c>
      <c r="O970" s="1" t="s">
        <v>74</v>
      </c>
      <c r="P970" s="1" t="s">
        <v>74</v>
      </c>
      <c r="Q970" s="1" t="s">
        <v>74</v>
      </c>
      <c r="R970" s="1" t="s">
        <v>74</v>
      </c>
      <c r="S970" s="1" t="s">
        <v>74</v>
      </c>
      <c r="T970" s="1" t="s">
        <v>8491</v>
      </c>
      <c r="U970" s="1" t="s">
        <v>74</v>
      </c>
      <c r="V970" s="1" t="s">
        <v>8492</v>
      </c>
      <c r="W970" s="1" t="s">
        <v>74</v>
      </c>
      <c r="X970" s="1" t="s">
        <v>74</v>
      </c>
      <c r="Y970" s="1" t="s">
        <v>74</v>
      </c>
      <c r="Z970" s="1" t="s">
        <v>74</v>
      </c>
      <c r="AA970" s="1" t="s">
        <v>74</v>
      </c>
      <c r="AB970" s="1" t="s">
        <v>74</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1341</v>
      </c>
      <c r="AP970" s="1" t="s">
        <v>74</v>
      </c>
      <c r="AQ970" s="1" t="s">
        <v>74</v>
      </c>
      <c r="AR970" s="1" t="s">
        <v>74</v>
      </c>
      <c r="AS970" s="1" t="s">
        <v>74</v>
      </c>
      <c r="AT970" s="1" t="s">
        <v>4277</v>
      </c>
      <c r="AU970" s="1">
        <v>2025.0</v>
      </c>
      <c r="AV970" s="1">
        <v>18.0</v>
      </c>
      <c r="AW970" s="1">
        <v>3.0</v>
      </c>
      <c r="AX970" s="1" t="s">
        <v>74</v>
      </c>
      <c r="AY970" s="1" t="s">
        <v>74</v>
      </c>
      <c r="AZ970" s="1" t="s">
        <v>74</v>
      </c>
      <c r="BA970" s="1" t="s">
        <v>74</v>
      </c>
      <c r="BB970" s="1">
        <v>1213.0</v>
      </c>
      <c r="BC970" s="1">
        <v>1215.0</v>
      </c>
      <c r="BD970" s="1" t="s">
        <v>74</v>
      </c>
      <c r="BE970" s="1" t="s">
        <v>8493</v>
      </c>
      <c r="BF970" s="2" t="str">
        <f>HYPERLINK("http://dx.doi.org/10.1109/TSC.2025.3552345","http://dx.doi.org/10.1109/TSC.2025.3552345")</f>
        <v>http://dx.doi.org/10.1109/TSC.2025.3552345</v>
      </c>
      <c r="BG970" s="1" t="s">
        <v>74</v>
      </c>
      <c r="BH970" s="1" t="s">
        <v>74</v>
      </c>
      <c r="BI970" s="1" t="s">
        <v>74</v>
      </c>
      <c r="BJ970" s="1" t="s">
        <v>74</v>
      </c>
      <c r="BK970" s="1" t="s">
        <v>74</v>
      </c>
      <c r="BL970" s="1" t="s">
        <v>174</v>
      </c>
      <c r="BM970" s="1" t="s">
        <v>74</v>
      </c>
      <c r="BN970" s="1" t="s">
        <v>74</v>
      </c>
      <c r="BO970" s="1" t="s">
        <v>74</v>
      </c>
      <c r="BP970" s="1" t="s">
        <v>74</v>
      </c>
      <c r="BQ970" s="1" t="s">
        <v>74</v>
      </c>
      <c r="BR970" s="1" t="s">
        <v>74</v>
      </c>
      <c r="BS970" s="1" t="s">
        <v>8494</v>
      </c>
      <c r="BT970" s="1" t="str">
        <f>HYPERLINK("https%3A%2F%2Fwww.webofscience.com%2Fwos%2Fwoscc%2Ffull-record%2FWOS:001506706500006","View Full Record in Web of Science")</f>
        <v>View Full Record in Web of Science</v>
      </c>
    </row>
    <row r="971" ht="12.75" customHeight="1">
      <c r="A971" s="1" t="s">
        <v>72</v>
      </c>
      <c r="B971" s="1" t="s">
        <v>8495</v>
      </c>
      <c r="C971" s="1" t="s">
        <v>74</v>
      </c>
      <c r="D971" s="1" t="s">
        <v>74</v>
      </c>
      <c r="E971" s="1" t="s">
        <v>74</v>
      </c>
      <c r="F971" s="1" t="s">
        <v>8496</v>
      </c>
      <c r="G971" s="1" t="s">
        <v>74</v>
      </c>
      <c r="H971" s="1" t="s">
        <v>74</v>
      </c>
      <c r="I971" s="1" t="s">
        <v>8497</v>
      </c>
      <c r="J971" s="1" t="s">
        <v>8498</v>
      </c>
      <c r="K971" s="1" t="s">
        <v>74</v>
      </c>
      <c r="L971" s="1" t="s">
        <v>74</v>
      </c>
      <c r="M971" s="1" t="s">
        <v>74</v>
      </c>
      <c r="N971" s="1" t="s">
        <v>78</v>
      </c>
      <c r="O971" s="1" t="s">
        <v>74</v>
      </c>
      <c r="P971" s="1" t="s">
        <v>74</v>
      </c>
      <c r="Q971" s="1" t="s">
        <v>74</v>
      </c>
      <c r="R971" s="1" t="s">
        <v>74</v>
      </c>
      <c r="S971" s="1" t="s">
        <v>74</v>
      </c>
      <c r="T971" s="1" t="s">
        <v>8499</v>
      </c>
      <c r="U971" s="1" t="s">
        <v>74</v>
      </c>
      <c r="V971" s="1" t="s">
        <v>8500</v>
      </c>
      <c r="W971" s="1" t="s">
        <v>74</v>
      </c>
      <c r="X971" s="1" t="s">
        <v>74</v>
      </c>
      <c r="Y971" s="1" t="s">
        <v>74</v>
      </c>
      <c r="Z971" s="1" t="s">
        <v>74</v>
      </c>
      <c r="AA971" s="1" t="s">
        <v>74</v>
      </c>
      <c r="AB971" s="1" t="s">
        <v>74</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74</v>
      </c>
      <c r="AP971" s="1" t="s">
        <v>8501</v>
      </c>
      <c r="AQ971" s="1" t="s">
        <v>74</v>
      </c>
      <c r="AR971" s="1" t="s">
        <v>74</v>
      </c>
      <c r="AS971" s="1" t="s">
        <v>74</v>
      </c>
      <c r="AT971" s="1" t="s">
        <v>688</v>
      </c>
      <c r="AU971" s="1">
        <v>2024.0</v>
      </c>
      <c r="AV971" s="1">
        <v>9.0</v>
      </c>
      <c r="AW971" s="1">
        <v>3.0</v>
      </c>
      <c r="AX971" s="1" t="s">
        <v>74</v>
      </c>
      <c r="AY971" s="1" t="s">
        <v>74</v>
      </c>
      <c r="AZ971" s="1" t="s">
        <v>74</v>
      </c>
      <c r="BA971" s="1" t="s">
        <v>74</v>
      </c>
      <c r="BB971" s="1" t="s">
        <v>74</v>
      </c>
      <c r="BC971" s="1" t="s">
        <v>74</v>
      </c>
      <c r="BD971" s="1">
        <v>39.0</v>
      </c>
      <c r="BE971" s="1" t="s">
        <v>8502</v>
      </c>
      <c r="BF971" s="2" t="str">
        <f>HYPERLINK("http://dx.doi.org/10.3390/data9030039","http://dx.doi.org/10.3390/data9030039")</f>
        <v>http://dx.doi.org/10.3390/data9030039</v>
      </c>
      <c r="BG971" s="1" t="s">
        <v>74</v>
      </c>
      <c r="BH971" s="1" t="s">
        <v>74</v>
      </c>
      <c r="BI971" s="1" t="s">
        <v>74</v>
      </c>
      <c r="BJ971" s="1" t="s">
        <v>74</v>
      </c>
      <c r="BK971" s="1" t="s">
        <v>74</v>
      </c>
      <c r="BL971" s="1" t="s">
        <v>361</v>
      </c>
      <c r="BM971" s="1" t="s">
        <v>74</v>
      </c>
      <c r="BN971" s="1" t="s">
        <v>74</v>
      </c>
      <c r="BO971" s="1" t="s">
        <v>163</v>
      </c>
      <c r="BP971" s="1" t="s">
        <v>74</v>
      </c>
      <c r="BQ971" s="1" t="s">
        <v>74</v>
      </c>
      <c r="BR971" s="1" t="s">
        <v>74</v>
      </c>
      <c r="BS971" s="1" t="s">
        <v>8503</v>
      </c>
      <c r="BT971" s="1" t="str">
        <f>HYPERLINK("https%3A%2F%2Fwww.webofscience.com%2Fwos%2Fwoscc%2Ffull-record%2FWOS:001191603300001","View Full Record in Web of Science")</f>
        <v>View Full Record in Web of Science</v>
      </c>
    </row>
    <row r="972" ht="12.75" customHeight="1">
      <c r="A972" s="1" t="s">
        <v>72</v>
      </c>
      <c r="B972" s="1" t="s">
        <v>8504</v>
      </c>
      <c r="C972" s="1" t="s">
        <v>74</v>
      </c>
      <c r="D972" s="1" t="s">
        <v>74</v>
      </c>
      <c r="E972" s="1" t="s">
        <v>74</v>
      </c>
      <c r="F972" s="1" t="s">
        <v>8505</v>
      </c>
      <c r="G972" s="1" t="s">
        <v>74</v>
      </c>
      <c r="H972" s="1" t="s">
        <v>74</v>
      </c>
      <c r="I972" s="1" t="s">
        <v>8506</v>
      </c>
      <c r="J972" s="1" t="s">
        <v>6041</v>
      </c>
      <c r="K972" s="1" t="s">
        <v>74</v>
      </c>
      <c r="L972" s="1" t="s">
        <v>74</v>
      </c>
      <c r="M972" s="1" t="s">
        <v>74</v>
      </c>
      <c r="N972" s="1" t="s">
        <v>78</v>
      </c>
      <c r="O972" s="1" t="s">
        <v>74</v>
      </c>
      <c r="P972" s="1" t="s">
        <v>74</v>
      </c>
      <c r="Q972" s="1" t="s">
        <v>74</v>
      </c>
      <c r="R972" s="1" t="s">
        <v>74</v>
      </c>
      <c r="S972" s="1" t="s">
        <v>74</v>
      </c>
      <c r="T972" s="1" t="s">
        <v>8507</v>
      </c>
      <c r="U972" s="1" t="s">
        <v>8508</v>
      </c>
      <c r="V972" s="1" t="s">
        <v>8509</v>
      </c>
      <c r="W972" s="1" t="s">
        <v>74</v>
      </c>
      <c r="X972" s="1" t="s">
        <v>74</v>
      </c>
      <c r="Y972" s="1" t="s">
        <v>74</v>
      </c>
      <c r="Z972" s="1" t="s">
        <v>74</v>
      </c>
      <c r="AA972" s="1" t="s">
        <v>74</v>
      </c>
      <c r="AB972" s="1" t="s">
        <v>74</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74</v>
      </c>
      <c r="AP972" s="1" t="s">
        <v>6044</v>
      </c>
      <c r="AQ972" s="1" t="s">
        <v>74</v>
      </c>
      <c r="AR972" s="1" t="s">
        <v>74</v>
      </c>
      <c r="AS972" s="1" t="s">
        <v>74</v>
      </c>
      <c r="AT972" s="1" t="s">
        <v>2822</v>
      </c>
      <c r="AU972" s="1">
        <v>2025.0</v>
      </c>
      <c r="AV972" s="1">
        <v>8.0</v>
      </c>
      <c r="AW972" s="1" t="s">
        <v>74</v>
      </c>
      <c r="AX972" s="1" t="s">
        <v>74</v>
      </c>
      <c r="AY972" s="1" t="s">
        <v>74</v>
      </c>
      <c r="AZ972" s="1" t="s">
        <v>74</v>
      </c>
      <c r="BA972" s="1" t="s">
        <v>74</v>
      </c>
      <c r="BB972" s="1" t="s">
        <v>74</v>
      </c>
      <c r="BC972" s="1" t="s">
        <v>74</v>
      </c>
      <c r="BD972" s="1">
        <v>1615788.0</v>
      </c>
      <c r="BE972" s="1" t="s">
        <v>8510</v>
      </c>
      <c r="BF972" s="2" t="str">
        <f>HYPERLINK("http://dx.doi.org/10.3389/fdata.2025.1615788","http://dx.doi.org/10.3389/fdata.2025.1615788")</f>
        <v>http://dx.doi.org/10.3389/fdata.2025.1615788</v>
      </c>
      <c r="BG972" s="1" t="s">
        <v>74</v>
      </c>
      <c r="BH972" s="1" t="s">
        <v>74</v>
      </c>
      <c r="BI972" s="1" t="s">
        <v>74</v>
      </c>
      <c r="BJ972" s="1" t="s">
        <v>74</v>
      </c>
      <c r="BK972" s="1" t="s">
        <v>74</v>
      </c>
      <c r="BL972" s="1" t="s">
        <v>361</v>
      </c>
      <c r="BM972" s="1" t="s">
        <v>74</v>
      </c>
      <c r="BN972" s="1" t="s">
        <v>74</v>
      </c>
      <c r="BO972" s="1" t="s">
        <v>153</v>
      </c>
      <c r="BP972" s="1" t="s">
        <v>74</v>
      </c>
      <c r="BQ972" s="1" t="s">
        <v>74</v>
      </c>
      <c r="BR972" s="1" t="s">
        <v>74</v>
      </c>
      <c r="BS972" s="1" t="s">
        <v>8511</v>
      </c>
      <c r="BT972" s="1" t="str">
        <f>HYPERLINK("https%3A%2F%2Fwww.webofscience.com%2Fwos%2Fwoscc%2Ffull-record%2FWOS:001604848100001","View Full Record in Web of Science")</f>
        <v>View Full Record in Web of Science</v>
      </c>
    </row>
    <row r="973" ht="12.75" customHeight="1">
      <c r="A973" s="1" t="s">
        <v>72</v>
      </c>
      <c r="B973" s="1" t="s">
        <v>8512</v>
      </c>
      <c r="C973" s="1" t="s">
        <v>74</v>
      </c>
      <c r="D973" s="1" t="s">
        <v>74</v>
      </c>
      <c r="E973" s="1" t="s">
        <v>74</v>
      </c>
      <c r="F973" s="1" t="s">
        <v>8513</v>
      </c>
      <c r="G973" s="1" t="s">
        <v>74</v>
      </c>
      <c r="H973" s="1" t="s">
        <v>74</v>
      </c>
      <c r="I973" s="1" t="s">
        <v>8514</v>
      </c>
      <c r="J973" s="1" t="s">
        <v>3395</v>
      </c>
      <c r="K973" s="1" t="s">
        <v>74</v>
      </c>
      <c r="L973" s="1" t="s">
        <v>74</v>
      </c>
      <c r="M973" s="1" t="s">
        <v>74</v>
      </c>
      <c r="N973" s="1" t="s">
        <v>78</v>
      </c>
      <c r="O973" s="1" t="s">
        <v>74</v>
      </c>
      <c r="P973" s="1" t="s">
        <v>74</v>
      </c>
      <c r="Q973" s="1" t="s">
        <v>74</v>
      </c>
      <c r="R973" s="1" t="s">
        <v>74</v>
      </c>
      <c r="S973" s="1" t="s">
        <v>74</v>
      </c>
      <c r="T973" s="1" t="s">
        <v>74</v>
      </c>
      <c r="U973" s="1" t="s">
        <v>74</v>
      </c>
      <c r="V973" s="1" t="s">
        <v>8515</v>
      </c>
      <c r="W973" s="1" t="s">
        <v>74</v>
      </c>
      <c r="X973" s="1" t="s">
        <v>74</v>
      </c>
      <c r="Y973" s="1" t="s">
        <v>74</v>
      </c>
      <c r="Z973" s="1" t="s">
        <v>74</v>
      </c>
      <c r="AA973" s="1" t="s">
        <v>74</v>
      </c>
      <c r="AB973" s="1" t="s">
        <v>74</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3397</v>
      </c>
      <c r="AP973" s="1" t="s">
        <v>74</v>
      </c>
      <c r="AQ973" s="1" t="s">
        <v>74</v>
      </c>
      <c r="AR973" s="1" t="s">
        <v>74</v>
      </c>
      <c r="AS973" s="1" t="s">
        <v>74</v>
      </c>
      <c r="AT973" s="1" t="s">
        <v>464</v>
      </c>
      <c r="AU973" s="1">
        <v>2025.0</v>
      </c>
      <c r="AV973" s="1">
        <v>18.0</v>
      </c>
      <c r="AW973" s="1">
        <v>12.0</v>
      </c>
      <c r="AX973" s="1" t="s">
        <v>74</v>
      </c>
      <c r="AY973" s="1" t="s">
        <v>74</v>
      </c>
      <c r="AZ973" s="1" t="s">
        <v>74</v>
      </c>
      <c r="BA973" s="1" t="s">
        <v>74</v>
      </c>
      <c r="BB973" s="1">
        <v>5415.0</v>
      </c>
      <c r="BC973" s="1">
        <v>5418.0</v>
      </c>
      <c r="BD973" s="1" t="s">
        <v>74</v>
      </c>
      <c r="BE973" s="1" t="s">
        <v>8516</v>
      </c>
      <c r="BF973" s="2" t="str">
        <f>HYPERLINK("http://dx.doi.org/10.14778/3750601.3750685","http://dx.doi.org/10.14778/3750601.3750685")</f>
        <v>http://dx.doi.org/10.14778/3750601.3750685</v>
      </c>
      <c r="BG973" s="1" t="s">
        <v>74</v>
      </c>
      <c r="BH973" s="1" t="s">
        <v>74</v>
      </c>
      <c r="BI973" s="1" t="s">
        <v>74</v>
      </c>
      <c r="BJ973" s="1" t="s">
        <v>74</v>
      </c>
      <c r="BK973" s="1" t="s">
        <v>74</v>
      </c>
      <c r="BL973" s="1" t="s">
        <v>174</v>
      </c>
      <c r="BM973" s="1" t="s">
        <v>74</v>
      </c>
      <c r="BN973" s="1" t="s">
        <v>74</v>
      </c>
      <c r="BO973" s="1" t="s">
        <v>74</v>
      </c>
      <c r="BP973" s="1" t="s">
        <v>74</v>
      </c>
      <c r="BQ973" s="1" t="s">
        <v>74</v>
      </c>
      <c r="BR973" s="1" t="s">
        <v>74</v>
      </c>
      <c r="BS973" s="1" t="s">
        <v>8517</v>
      </c>
      <c r="BT973" s="1" t="str">
        <f>HYPERLINK("https%3A%2F%2Fwww.webofscience.com%2Fwos%2Fwoscc%2Ffull-record%2FWOS:001607044000024","View Full Record in Web of Science")</f>
        <v>View Full Record in Web of Science</v>
      </c>
    </row>
    <row r="974" ht="12.75" customHeight="1">
      <c r="A974" s="1" t="s">
        <v>72</v>
      </c>
      <c r="B974" s="1" t="s">
        <v>8518</v>
      </c>
      <c r="C974" s="1" t="s">
        <v>74</v>
      </c>
      <c r="D974" s="1" t="s">
        <v>74</v>
      </c>
      <c r="E974" s="1" t="s">
        <v>74</v>
      </c>
      <c r="F974" s="1" t="s">
        <v>8519</v>
      </c>
      <c r="G974" s="1" t="s">
        <v>74</v>
      </c>
      <c r="H974" s="1" t="s">
        <v>74</v>
      </c>
      <c r="I974" s="1" t="s">
        <v>8520</v>
      </c>
      <c r="J974" s="1" t="s">
        <v>3741</v>
      </c>
      <c r="K974" s="1" t="s">
        <v>74</v>
      </c>
      <c r="L974" s="1" t="s">
        <v>74</v>
      </c>
      <c r="M974" s="1" t="s">
        <v>74</v>
      </c>
      <c r="N974" s="1" t="s">
        <v>78</v>
      </c>
      <c r="O974" s="1" t="s">
        <v>74</v>
      </c>
      <c r="P974" s="1" t="s">
        <v>74</v>
      </c>
      <c r="Q974" s="1" t="s">
        <v>74</v>
      </c>
      <c r="R974" s="1" t="s">
        <v>74</v>
      </c>
      <c r="S974" s="1" t="s">
        <v>74</v>
      </c>
      <c r="T974" s="1" t="s">
        <v>8521</v>
      </c>
      <c r="U974" s="1" t="s">
        <v>74</v>
      </c>
      <c r="V974" s="1" t="s">
        <v>8522</v>
      </c>
      <c r="W974" s="1" t="s">
        <v>74</v>
      </c>
      <c r="X974" s="1" t="s">
        <v>74</v>
      </c>
      <c r="Y974" s="1" t="s">
        <v>74</v>
      </c>
      <c r="Z974" s="1" t="s">
        <v>74</v>
      </c>
      <c r="AA974" s="1" t="s">
        <v>74</v>
      </c>
      <c r="AB974" s="1" t="s">
        <v>74</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3744</v>
      </c>
      <c r="AP974" s="1" t="s">
        <v>3745</v>
      </c>
      <c r="AQ974" s="1" t="s">
        <v>74</v>
      </c>
      <c r="AR974" s="1" t="s">
        <v>74</v>
      </c>
      <c r="AS974" s="1" t="s">
        <v>74</v>
      </c>
      <c r="AT974" s="1" t="s">
        <v>139</v>
      </c>
      <c r="AU974" s="1">
        <v>2024.0</v>
      </c>
      <c r="AV974" s="1">
        <v>137.0</v>
      </c>
      <c r="AW974" s="1" t="s">
        <v>74</v>
      </c>
      <c r="AX974" s="1" t="s">
        <v>74</v>
      </c>
      <c r="AY974" s="1" t="s">
        <v>74</v>
      </c>
      <c r="AZ974" s="1" t="s">
        <v>74</v>
      </c>
      <c r="BA974" s="1" t="s">
        <v>74</v>
      </c>
      <c r="BB974" s="1" t="s">
        <v>74</v>
      </c>
      <c r="BC974" s="1" t="s">
        <v>74</v>
      </c>
      <c r="BD974" s="1">
        <v>103596.0</v>
      </c>
      <c r="BE974" s="1" t="s">
        <v>8523</v>
      </c>
      <c r="BF974" s="2" t="str">
        <f>HYPERLINK("http://dx.doi.org/10.1016/j.cose.2023.103596","http://dx.doi.org/10.1016/j.cose.2023.103596")</f>
        <v>http://dx.doi.org/10.1016/j.cose.2023.103596</v>
      </c>
      <c r="BG974" s="1" t="s">
        <v>74</v>
      </c>
      <c r="BH974" s="1" t="s">
        <v>1015</v>
      </c>
      <c r="BI974" s="1" t="s">
        <v>74</v>
      </c>
      <c r="BJ974" s="1" t="s">
        <v>74</v>
      </c>
      <c r="BK974" s="1" t="s">
        <v>74</v>
      </c>
      <c r="BL974" s="1" t="s">
        <v>174</v>
      </c>
      <c r="BM974" s="1" t="s">
        <v>74</v>
      </c>
      <c r="BN974" s="1" t="s">
        <v>74</v>
      </c>
      <c r="BO974" s="1" t="s">
        <v>3736</v>
      </c>
      <c r="BP974" s="1" t="s">
        <v>74</v>
      </c>
      <c r="BQ974" s="1" t="s">
        <v>74</v>
      </c>
      <c r="BR974" s="1" t="s">
        <v>74</v>
      </c>
      <c r="BS974" s="1" t="s">
        <v>8524</v>
      </c>
      <c r="BT974" s="1" t="str">
        <f>HYPERLINK("https%3A%2F%2Fwww.webofscience.com%2Fwos%2Fwoscc%2Ffull-record%2FWOS:001121109800001","View Full Record in Web of Science")</f>
        <v>View Full Record in Web of Science</v>
      </c>
    </row>
    <row r="975" ht="12.75" customHeight="1">
      <c r="A975" s="1" t="s">
        <v>72</v>
      </c>
      <c r="B975" s="1" t="s">
        <v>8525</v>
      </c>
      <c r="C975" s="1" t="s">
        <v>74</v>
      </c>
      <c r="D975" s="1" t="s">
        <v>74</v>
      </c>
      <c r="E975" s="1" t="s">
        <v>74</v>
      </c>
      <c r="F975" s="1" t="s">
        <v>8526</v>
      </c>
      <c r="G975" s="1" t="s">
        <v>74</v>
      </c>
      <c r="H975" s="1" t="s">
        <v>74</v>
      </c>
      <c r="I975" s="1" t="s">
        <v>8527</v>
      </c>
      <c r="J975" s="1" t="s">
        <v>1272</v>
      </c>
      <c r="K975" s="1" t="s">
        <v>74</v>
      </c>
      <c r="L975" s="1" t="s">
        <v>74</v>
      </c>
      <c r="M975" s="1" t="s">
        <v>74</v>
      </c>
      <c r="N975" s="1" t="s">
        <v>78</v>
      </c>
      <c r="O975" s="1" t="s">
        <v>74</v>
      </c>
      <c r="P975" s="1" t="s">
        <v>74</v>
      </c>
      <c r="Q975" s="1" t="s">
        <v>74</v>
      </c>
      <c r="R975" s="1" t="s">
        <v>74</v>
      </c>
      <c r="S975" s="1" t="s">
        <v>74</v>
      </c>
      <c r="T975" s="1" t="s">
        <v>8528</v>
      </c>
      <c r="U975" s="1" t="s">
        <v>74</v>
      </c>
      <c r="V975" s="1" t="s">
        <v>8529</v>
      </c>
      <c r="W975" s="1" t="s">
        <v>74</v>
      </c>
      <c r="X975" s="1" t="s">
        <v>74</v>
      </c>
      <c r="Y975" s="1" t="s">
        <v>74</v>
      </c>
      <c r="Z975" s="1" t="s">
        <v>74</v>
      </c>
      <c r="AA975" s="1" t="s">
        <v>74</v>
      </c>
      <c r="AB975" s="1" t="s">
        <v>74</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1276</v>
      </c>
      <c r="AP975" s="1" t="s">
        <v>1277</v>
      </c>
      <c r="AQ975" s="1" t="s">
        <v>74</v>
      </c>
      <c r="AR975" s="1" t="s">
        <v>74</v>
      </c>
      <c r="AS975" s="1" t="s">
        <v>74</v>
      </c>
      <c r="AT975" s="1" t="s">
        <v>6497</v>
      </c>
      <c r="AU975" s="1">
        <v>2024.0</v>
      </c>
      <c r="AV975" s="1">
        <v>81.0</v>
      </c>
      <c r="AW975" s="1">
        <v>1.0</v>
      </c>
      <c r="AX975" s="1" t="s">
        <v>74</v>
      </c>
      <c r="AY975" s="1" t="s">
        <v>74</v>
      </c>
      <c r="AZ975" s="1" t="s">
        <v>74</v>
      </c>
      <c r="BA975" s="1" t="s">
        <v>74</v>
      </c>
      <c r="BB975" s="1" t="s">
        <v>74</v>
      </c>
      <c r="BC975" s="1" t="s">
        <v>74</v>
      </c>
      <c r="BD975" s="1">
        <v>350.0</v>
      </c>
      <c r="BE975" s="1" t="s">
        <v>8530</v>
      </c>
      <c r="BF975" s="2" t="str">
        <f>HYPERLINK("http://dx.doi.org/10.1007/s11227-024-06867-3","http://dx.doi.org/10.1007/s11227-024-06867-3")</f>
        <v>http://dx.doi.org/10.1007/s11227-024-06867-3</v>
      </c>
      <c r="BG975" s="1" t="s">
        <v>74</v>
      </c>
      <c r="BH975" s="1" t="s">
        <v>74</v>
      </c>
      <c r="BI975" s="1" t="s">
        <v>74</v>
      </c>
      <c r="BJ975" s="1" t="s">
        <v>74</v>
      </c>
      <c r="BK975" s="1" t="s">
        <v>74</v>
      </c>
      <c r="BL975" s="1" t="s">
        <v>98</v>
      </c>
      <c r="BM975" s="1" t="s">
        <v>74</v>
      </c>
      <c r="BN975" s="1" t="s">
        <v>74</v>
      </c>
      <c r="BO975" s="1" t="s">
        <v>74</v>
      </c>
      <c r="BP975" s="1" t="s">
        <v>74</v>
      </c>
      <c r="BQ975" s="1" t="s">
        <v>74</v>
      </c>
      <c r="BR975" s="1" t="s">
        <v>74</v>
      </c>
      <c r="BS975" s="1" t="s">
        <v>8531</v>
      </c>
      <c r="BT975" s="1" t="str">
        <f>HYPERLINK("https%3A%2F%2Fwww.webofscience.com%2Fwos%2Fwoscc%2Ffull-record%2FWOS:001385224600002","View Full Record in Web of Science")</f>
        <v>View Full Record in Web of Science</v>
      </c>
    </row>
    <row r="976" ht="12.75" customHeight="1">
      <c r="A976" s="1" t="s">
        <v>72</v>
      </c>
      <c r="B976" s="1" t="s">
        <v>8532</v>
      </c>
      <c r="C976" s="1" t="s">
        <v>74</v>
      </c>
      <c r="D976" s="1" t="s">
        <v>74</v>
      </c>
      <c r="E976" s="1" t="s">
        <v>74</v>
      </c>
      <c r="F976" s="1" t="s">
        <v>8533</v>
      </c>
      <c r="G976" s="1" t="s">
        <v>74</v>
      </c>
      <c r="H976" s="1" t="s">
        <v>74</v>
      </c>
      <c r="I976" s="1" t="s">
        <v>8534</v>
      </c>
      <c r="J976" s="1" t="s">
        <v>147</v>
      </c>
      <c r="K976" s="1" t="s">
        <v>74</v>
      </c>
      <c r="L976" s="1" t="s">
        <v>74</v>
      </c>
      <c r="M976" s="1" t="s">
        <v>74</v>
      </c>
      <c r="N976" s="1" t="s">
        <v>78</v>
      </c>
      <c r="O976" s="1" t="s">
        <v>74</v>
      </c>
      <c r="P976" s="1" t="s">
        <v>74</v>
      </c>
      <c r="Q976" s="1" t="s">
        <v>74</v>
      </c>
      <c r="R976" s="1" t="s">
        <v>74</v>
      </c>
      <c r="S976" s="1" t="s">
        <v>74</v>
      </c>
      <c r="T976" s="1" t="s">
        <v>8535</v>
      </c>
      <c r="U976" s="1" t="s">
        <v>322</v>
      </c>
      <c r="V976" s="1" t="s">
        <v>8536</v>
      </c>
      <c r="W976" s="1" t="s">
        <v>74</v>
      </c>
      <c r="X976" s="1" t="s">
        <v>74</v>
      </c>
      <c r="Y976" s="1" t="s">
        <v>74</v>
      </c>
      <c r="Z976" s="1" t="s">
        <v>74</v>
      </c>
      <c r="AA976" s="1" t="s">
        <v>74</v>
      </c>
      <c r="AB976" s="1" t="s">
        <v>74</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150</v>
      </c>
      <c r="AP976" s="1" t="s">
        <v>74</v>
      </c>
      <c r="AQ976" s="1" t="s">
        <v>74</v>
      </c>
      <c r="AR976" s="1" t="s">
        <v>74</v>
      </c>
      <c r="AS976" s="1" t="s">
        <v>74</v>
      </c>
      <c r="AT976" s="1" t="s">
        <v>74</v>
      </c>
      <c r="AU976" s="1">
        <v>2021.0</v>
      </c>
      <c r="AV976" s="1">
        <v>9.0</v>
      </c>
      <c r="AW976" s="1" t="s">
        <v>74</v>
      </c>
      <c r="AX976" s="1" t="s">
        <v>74</v>
      </c>
      <c r="AY976" s="1" t="s">
        <v>74</v>
      </c>
      <c r="AZ976" s="1" t="s">
        <v>74</v>
      </c>
      <c r="BA976" s="1" t="s">
        <v>74</v>
      </c>
      <c r="BB976" s="1">
        <v>118837.0</v>
      </c>
      <c r="BC976" s="1">
        <v>118850.0</v>
      </c>
      <c r="BD976" s="1" t="s">
        <v>74</v>
      </c>
      <c r="BE976" s="1" t="s">
        <v>8537</v>
      </c>
      <c r="BF976" s="2" t="str">
        <f>HYPERLINK("http://dx.doi.org/10.1109/ACCESS.2021.3104106","http://dx.doi.org/10.1109/ACCESS.2021.3104106")</f>
        <v>http://dx.doi.org/10.1109/ACCESS.2021.3104106</v>
      </c>
      <c r="BG976" s="1" t="s">
        <v>74</v>
      </c>
      <c r="BH976" s="1" t="s">
        <v>74</v>
      </c>
      <c r="BI976" s="1" t="s">
        <v>74</v>
      </c>
      <c r="BJ976" s="1" t="s">
        <v>74</v>
      </c>
      <c r="BK976" s="1" t="s">
        <v>74</v>
      </c>
      <c r="BL976" s="1" t="s">
        <v>152</v>
      </c>
      <c r="BM976" s="1" t="s">
        <v>74</v>
      </c>
      <c r="BN976" s="1" t="s">
        <v>74</v>
      </c>
      <c r="BO976" s="1" t="s">
        <v>153</v>
      </c>
      <c r="BP976" s="1" t="s">
        <v>74</v>
      </c>
      <c r="BQ976" s="1" t="s">
        <v>74</v>
      </c>
      <c r="BR976" s="1" t="s">
        <v>74</v>
      </c>
      <c r="BS976" s="1" t="s">
        <v>8538</v>
      </c>
      <c r="BT976" s="1" t="str">
        <f>HYPERLINK("https%3A%2F%2Fwww.webofscience.com%2Fwos%2Fwoscc%2Ffull-record%2FWOS:000692179000001","View Full Record in Web of Science")</f>
        <v>View Full Record in Web of Science</v>
      </c>
    </row>
    <row r="977" ht="12.75" customHeight="1">
      <c r="A977" s="1" t="s">
        <v>72</v>
      </c>
      <c r="B977" s="1" t="s">
        <v>8539</v>
      </c>
      <c r="C977" s="1" t="s">
        <v>74</v>
      </c>
      <c r="D977" s="1" t="s">
        <v>74</v>
      </c>
      <c r="E977" s="1" t="s">
        <v>74</v>
      </c>
      <c r="F977" s="1" t="s">
        <v>8540</v>
      </c>
      <c r="G977" s="1" t="s">
        <v>74</v>
      </c>
      <c r="H977" s="1" t="s">
        <v>74</v>
      </c>
      <c r="I977" s="1" t="s">
        <v>8541</v>
      </c>
      <c r="J977" s="1" t="s">
        <v>239</v>
      </c>
      <c r="K977" s="1" t="s">
        <v>74</v>
      </c>
      <c r="L977" s="1" t="s">
        <v>74</v>
      </c>
      <c r="M977" s="1" t="s">
        <v>74</v>
      </c>
      <c r="N977" s="1" t="s">
        <v>78</v>
      </c>
      <c r="O977" s="1" t="s">
        <v>74</v>
      </c>
      <c r="P977" s="1" t="s">
        <v>74</v>
      </c>
      <c r="Q977" s="1" t="s">
        <v>74</v>
      </c>
      <c r="R977" s="1" t="s">
        <v>74</v>
      </c>
      <c r="S977" s="1" t="s">
        <v>74</v>
      </c>
      <c r="T977" s="1" t="s">
        <v>8542</v>
      </c>
      <c r="U977" s="1" t="s">
        <v>1137</v>
      </c>
      <c r="V977" s="1" t="s">
        <v>8543</v>
      </c>
      <c r="W977" s="1" t="s">
        <v>74</v>
      </c>
      <c r="X977" s="1" t="s">
        <v>74</v>
      </c>
      <c r="Y977" s="1" t="s">
        <v>74</v>
      </c>
      <c r="Z977" s="1" t="s">
        <v>74</v>
      </c>
      <c r="AA977" s="1" t="s">
        <v>74</v>
      </c>
      <c r="AB977" s="1" t="s">
        <v>74</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242</v>
      </c>
      <c r="AP977" s="1" t="s">
        <v>74</v>
      </c>
      <c r="AQ977" s="1" t="s">
        <v>74</v>
      </c>
      <c r="AR977" s="1" t="s">
        <v>74</v>
      </c>
      <c r="AS977" s="1" t="s">
        <v>74</v>
      </c>
      <c r="AT977" s="1" t="s">
        <v>335</v>
      </c>
      <c r="AU977" s="1">
        <v>2023.0</v>
      </c>
      <c r="AV977" s="1">
        <v>12.0</v>
      </c>
      <c r="AW977" s="1">
        <v>12.0</v>
      </c>
      <c r="AX977" s="1" t="s">
        <v>74</v>
      </c>
      <c r="AY977" s="1" t="s">
        <v>74</v>
      </c>
      <c r="AZ977" s="1" t="s">
        <v>74</v>
      </c>
      <c r="BA977" s="1" t="s">
        <v>74</v>
      </c>
      <c r="BB977" s="1" t="s">
        <v>74</v>
      </c>
      <c r="BC977" s="1" t="s">
        <v>74</v>
      </c>
      <c r="BD977" s="1">
        <v>2722.0</v>
      </c>
      <c r="BE977" s="1" t="s">
        <v>8544</v>
      </c>
      <c r="BF977" s="2" t="str">
        <f>HYPERLINK("http://dx.doi.org/10.3390/electronics12122722","http://dx.doi.org/10.3390/electronics12122722")</f>
        <v>http://dx.doi.org/10.3390/electronics12122722</v>
      </c>
      <c r="BG977" s="1" t="s">
        <v>74</v>
      </c>
      <c r="BH977" s="1" t="s">
        <v>74</v>
      </c>
      <c r="BI977" s="1" t="s">
        <v>74</v>
      </c>
      <c r="BJ977" s="1" t="s">
        <v>74</v>
      </c>
      <c r="BK977" s="1" t="s">
        <v>74</v>
      </c>
      <c r="BL977" s="1" t="s">
        <v>244</v>
      </c>
      <c r="BM977" s="1" t="s">
        <v>74</v>
      </c>
      <c r="BN977" s="1" t="s">
        <v>74</v>
      </c>
      <c r="BO977" s="1" t="s">
        <v>153</v>
      </c>
      <c r="BP977" s="1" t="s">
        <v>74</v>
      </c>
      <c r="BQ977" s="1" t="s">
        <v>74</v>
      </c>
      <c r="BR977" s="1" t="s">
        <v>74</v>
      </c>
      <c r="BS977" s="1" t="s">
        <v>8545</v>
      </c>
      <c r="BT977" s="1" t="str">
        <f>HYPERLINK("https%3A%2F%2Fwww.webofscience.com%2Fwos%2Fwoscc%2Ffull-record%2FWOS:001016969200001","View Full Record in Web of Science")</f>
        <v>View Full Record in Web of Science</v>
      </c>
    </row>
    <row r="978" ht="12.75" customHeight="1">
      <c r="A978" s="1" t="s">
        <v>72</v>
      </c>
      <c r="B978" s="1" t="s">
        <v>8546</v>
      </c>
      <c r="C978" s="1" t="s">
        <v>74</v>
      </c>
      <c r="D978" s="1" t="s">
        <v>74</v>
      </c>
      <c r="E978" s="1" t="s">
        <v>74</v>
      </c>
      <c r="F978" s="1" t="s">
        <v>8547</v>
      </c>
      <c r="G978" s="1" t="s">
        <v>74</v>
      </c>
      <c r="H978" s="1" t="s">
        <v>74</v>
      </c>
      <c r="I978" s="1" t="s">
        <v>8548</v>
      </c>
      <c r="J978" s="1" t="s">
        <v>239</v>
      </c>
      <c r="K978" s="1" t="s">
        <v>74</v>
      </c>
      <c r="L978" s="1" t="s">
        <v>74</v>
      </c>
      <c r="M978" s="1" t="s">
        <v>74</v>
      </c>
      <c r="N978" s="1" t="s">
        <v>78</v>
      </c>
      <c r="O978" s="1" t="s">
        <v>74</v>
      </c>
      <c r="P978" s="1" t="s">
        <v>74</v>
      </c>
      <c r="Q978" s="1" t="s">
        <v>74</v>
      </c>
      <c r="R978" s="1" t="s">
        <v>74</v>
      </c>
      <c r="S978" s="1" t="s">
        <v>74</v>
      </c>
      <c r="T978" s="1" t="s">
        <v>8549</v>
      </c>
      <c r="U978" s="1" t="s">
        <v>74</v>
      </c>
      <c r="V978" s="1" t="s">
        <v>8550</v>
      </c>
      <c r="W978" s="1" t="s">
        <v>74</v>
      </c>
      <c r="X978" s="1" t="s">
        <v>74</v>
      </c>
      <c r="Y978" s="1" t="s">
        <v>74</v>
      </c>
      <c r="Z978" s="1" t="s">
        <v>74</v>
      </c>
      <c r="AA978" s="1" t="s">
        <v>74</v>
      </c>
      <c r="AB978" s="1" t="s">
        <v>74</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242</v>
      </c>
      <c r="AP978" s="1" t="s">
        <v>74</v>
      </c>
      <c r="AQ978" s="1" t="s">
        <v>74</v>
      </c>
      <c r="AR978" s="1" t="s">
        <v>74</v>
      </c>
      <c r="AS978" s="1" t="s">
        <v>74</v>
      </c>
      <c r="AT978" s="1" t="s">
        <v>2977</v>
      </c>
      <c r="AU978" s="1">
        <v>2025.0</v>
      </c>
      <c r="AV978" s="1">
        <v>14.0</v>
      </c>
      <c r="AW978" s="1">
        <v>18.0</v>
      </c>
      <c r="AX978" s="1" t="s">
        <v>74</v>
      </c>
      <c r="AY978" s="1" t="s">
        <v>74</v>
      </c>
      <c r="AZ978" s="1" t="s">
        <v>74</v>
      </c>
      <c r="BA978" s="1" t="s">
        <v>74</v>
      </c>
      <c r="BB978" s="1" t="s">
        <v>74</v>
      </c>
      <c r="BC978" s="1" t="s">
        <v>74</v>
      </c>
      <c r="BD978" s="1">
        <v>3738.0</v>
      </c>
      <c r="BE978" s="1" t="s">
        <v>8551</v>
      </c>
      <c r="BF978" s="2" t="str">
        <f>HYPERLINK("http://dx.doi.org/10.3390/electronics14183738","http://dx.doi.org/10.3390/electronics14183738")</f>
        <v>http://dx.doi.org/10.3390/electronics14183738</v>
      </c>
      <c r="BG978" s="1" t="s">
        <v>74</v>
      </c>
      <c r="BH978" s="1" t="s">
        <v>74</v>
      </c>
      <c r="BI978" s="1" t="s">
        <v>74</v>
      </c>
      <c r="BJ978" s="1" t="s">
        <v>74</v>
      </c>
      <c r="BK978" s="1" t="s">
        <v>74</v>
      </c>
      <c r="BL978" s="1" t="s">
        <v>244</v>
      </c>
      <c r="BM978" s="1" t="s">
        <v>74</v>
      </c>
      <c r="BN978" s="1" t="s">
        <v>74</v>
      </c>
      <c r="BO978" s="1" t="s">
        <v>163</v>
      </c>
      <c r="BP978" s="1" t="s">
        <v>74</v>
      </c>
      <c r="BQ978" s="1" t="s">
        <v>74</v>
      </c>
      <c r="BR978" s="1" t="s">
        <v>74</v>
      </c>
      <c r="BS978" s="1" t="s">
        <v>8552</v>
      </c>
      <c r="BT978" s="1" t="str">
        <f>HYPERLINK("https%3A%2F%2Fwww.webofscience.com%2Fwos%2Fwoscc%2Ffull-record%2FWOS:001579783100001","View Full Record in Web of Science")</f>
        <v>View Full Record in Web of Science</v>
      </c>
    </row>
    <row r="979" ht="12.75" customHeight="1">
      <c r="A979" s="1" t="s">
        <v>72</v>
      </c>
      <c r="B979" s="1" t="s">
        <v>8553</v>
      </c>
      <c r="C979" s="1" t="s">
        <v>74</v>
      </c>
      <c r="D979" s="1" t="s">
        <v>74</v>
      </c>
      <c r="E979" s="1" t="s">
        <v>74</v>
      </c>
      <c r="F979" s="1" t="s">
        <v>8554</v>
      </c>
      <c r="G979" s="1" t="s">
        <v>74</v>
      </c>
      <c r="H979" s="1" t="s">
        <v>74</v>
      </c>
      <c r="I979" s="1" t="s">
        <v>8555</v>
      </c>
      <c r="J979" s="1" t="s">
        <v>1318</v>
      </c>
      <c r="K979" s="1" t="s">
        <v>74</v>
      </c>
      <c r="L979" s="1" t="s">
        <v>74</v>
      </c>
      <c r="M979" s="1" t="s">
        <v>74</v>
      </c>
      <c r="N979" s="1" t="s">
        <v>78</v>
      </c>
      <c r="O979" s="1" t="s">
        <v>74</v>
      </c>
      <c r="P979" s="1" t="s">
        <v>74</v>
      </c>
      <c r="Q979" s="1" t="s">
        <v>74</v>
      </c>
      <c r="R979" s="1" t="s">
        <v>74</v>
      </c>
      <c r="S979" s="1" t="s">
        <v>74</v>
      </c>
      <c r="T979" s="1" t="s">
        <v>8556</v>
      </c>
      <c r="U979" s="1" t="s">
        <v>8557</v>
      </c>
      <c r="V979" s="1" t="s">
        <v>8558</v>
      </c>
      <c r="W979" s="1" t="s">
        <v>74</v>
      </c>
      <c r="X979" s="1" t="s">
        <v>74</v>
      </c>
      <c r="Y979" s="1" t="s">
        <v>74</v>
      </c>
      <c r="Z979" s="1" t="s">
        <v>74</v>
      </c>
      <c r="AA979" s="1" t="s">
        <v>74</v>
      </c>
      <c r="AB979" s="1" t="s">
        <v>74</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1322</v>
      </c>
      <c r="AP979" s="1" t="s">
        <v>1323</v>
      </c>
      <c r="AQ979" s="1" t="s">
        <v>74</v>
      </c>
      <c r="AR979" s="1" t="s">
        <v>74</v>
      </c>
      <c r="AS979" s="1" t="s">
        <v>74</v>
      </c>
      <c r="AT979" s="1" t="s">
        <v>8559</v>
      </c>
      <c r="AU979" s="1">
        <v>2025.0</v>
      </c>
      <c r="AV979" s="1">
        <v>18.0</v>
      </c>
      <c r="AW979" s="1">
        <v>2.0</v>
      </c>
      <c r="AX979" s="1" t="s">
        <v>74</v>
      </c>
      <c r="AY979" s="1" t="s">
        <v>74</v>
      </c>
      <c r="AZ979" s="1" t="s">
        <v>74</v>
      </c>
      <c r="BA979" s="1" t="s">
        <v>74</v>
      </c>
      <c r="BB979" s="1" t="s">
        <v>74</v>
      </c>
      <c r="BC979" s="1" t="s">
        <v>74</v>
      </c>
      <c r="BD979" s="1">
        <v>362.0</v>
      </c>
      <c r="BE979" s="1" t="s">
        <v>8560</v>
      </c>
      <c r="BF979" s="2" t="str">
        <f>HYPERLINK("http://dx.doi.org/10.1007/s12145-025-01878-x","http://dx.doi.org/10.1007/s12145-025-01878-x")</f>
        <v>http://dx.doi.org/10.1007/s12145-025-01878-x</v>
      </c>
      <c r="BG979" s="1" t="s">
        <v>74</v>
      </c>
      <c r="BH979" s="1" t="s">
        <v>74</v>
      </c>
      <c r="BI979" s="1" t="s">
        <v>74</v>
      </c>
      <c r="BJ979" s="1" t="s">
        <v>74</v>
      </c>
      <c r="BK979" s="1" t="s">
        <v>74</v>
      </c>
      <c r="BL979" s="1" t="s">
        <v>1326</v>
      </c>
      <c r="BM979" s="1" t="s">
        <v>74</v>
      </c>
      <c r="BN979" s="1" t="s">
        <v>74</v>
      </c>
      <c r="BO979" s="1" t="s">
        <v>74</v>
      </c>
      <c r="BP979" s="1" t="s">
        <v>74</v>
      </c>
      <c r="BQ979" s="1" t="s">
        <v>74</v>
      </c>
      <c r="BR979" s="1" t="s">
        <v>74</v>
      </c>
      <c r="BS979" s="1" t="s">
        <v>8561</v>
      </c>
      <c r="BT979" s="1" t="str">
        <f>HYPERLINK("https%3A%2F%2Fwww.webofscience.com%2Fwos%2Fwoscc%2Ffull-record%2FWOS:001464007500002","View Full Record in Web of Science")</f>
        <v>View Full Record in Web of Science</v>
      </c>
    </row>
    <row r="980" ht="12.75" customHeight="1">
      <c r="A980" s="1" t="s">
        <v>72</v>
      </c>
      <c r="B980" s="1" t="s">
        <v>8562</v>
      </c>
      <c r="C980" s="1" t="s">
        <v>74</v>
      </c>
      <c r="D980" s="1" t="s">
        <v>74</v>
      </c>
      <c r="E980" s="1" t="s">
        <v>74</v>
      </c>
      <c r="F980" s="1" t="s">
        <v>8563</v>
      </c>
      <c r="G980" s="1" t="s">
        <v>74</v>
      </c>
      <c r="H980" s="1" t="s">
        <v>74</v>
      </c>
      <c r="I980" s="1" t="s">
        <v>8564</v>
      </c>
      <c r="J980" s="1" t="s">
        <v>6369</v>
      </c>
      <c r="K980" s="1" t="s">
        <v>74</v>
      </c>
      <c r="L980" s="1" t="s">
        <v>74</v>
      </c>
      <c r="M980" s="1" t="s">
        <v>74</v>
      </c>
      <c r="N980" s="1" t="s">
        <v>78</v>
      </c>
      <c r="O980" s="1" t="s">
        <v>74</v>
      </c>
      <c r="P980" s="1" t="s">
        <v>74</v>
      </c>
      <c r="Q980" s="1" t="s">
        <v>74</v>
      </c>
      <c r="R980" s="1" t="s">
        <v>74</v>
      </c>
      <c r="S980" s="1" t="s">
        <v>74</v>
      </c>
      <c r="T980" s="1" t="s">
        <v>8565</v>
      </c>
      <c r="U980" s="1" t="s">
        <v>74</v>
      </c>
      <c r="V980" s="1" t="s">
        <v>8566</v>
      </c>
      <c r="W980" s="1" t="s">
        <v>74</v>
      </c>
      <c r="X980" s="1" t="s">
        <v>74</v>
      </c>
      <c r="Y980" s="1" t="s">
        <v>74</v>
      </c>
      <c r="Z980" s="1" t="s">
        <v>74</v>
      </c>
      <c r="AA980" s="1" t="s">
        <v>74</v>
      </c>
      <c r="AB980" s="1" t="s">
        <v>74</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6373</v>
      </c>
      <c r="AP980" s="1" t="s">
        <v>6374</v>
      </c>
      <c r="AQ980" s="1" t="s">
        <v>74</v>
      </c>
      <c r="AR980" s="1" t="s">
        <v>74</v>
      </c>
      <c r="AS980" s="1" t="s">
        <v>74</v>
      </c>
      <c r="AT980" s="1" t="s">
        <v>200</v>
      </c>
      <c r="AU980" s="1">
        <v>2025.0</v>
      </c>
      <c r="AV980" s="1">
        <v>51.0</v>
      </c>
      <c r="AW980" s="1">
        <v>12.0</v>
      </c>
      <c r="AX980" s="1" t="s">
        <v>74</v>
      </c>
      <c r="AY980" s="1" t="s">
        <v>74</v>
      </c>
      <c r="AZ980" s="1" t="s">
        <v>74</v>
      </c>
      <c r="BA980" s="1" t="s">
        <v>74</v>
      </c>
      <c r="BB980" s="1">
        <v>3452.0</v>
      </c>
      <c r="BC980" s="1">
        <v>3466.0</v>
      </c>
      <c r="BD980" s="1" t="s">
        <v>74</v>
      </c>
      <c r="BE980" s="1" t="s">
        <v>8567</v>
      </c>
      <c r="BF980" s="2" t="str">
        <f>HYPERLINK("http://dx.doi.org/10.1109/TSE.2025.3614469","http://dx.doi.org/10.1109/TSE.2025.3614469")</f>
        <v>http://dx.doi.org/10.1109/TSE.2025.3614469</v>
      </c>
      <c r="BG980" s="1" t="s">
        <v>74</v>
      </c>
      <c r="BH980" s="1" t="s">
        <v>74</v>
      </c>
      <c r="BI980" s="1" t="s">
        <v>74</v>
      </c>
      <c r="BJ980" s="1" t="s">
        <v>74</v>
      </c>
      <c r="BK980" s="1" t="s">
        <v>74</v>
      </c>
      <c r="BL980" s="1" t="s">
        <v>98</v>
      </c>
      <c r="BM980" s="1" t="s">
        <v>74</v>
      </c>
      <c r="BN980" s="1" t="s">
        <v>74</v>
      </c>
      <c r="BO980" s="1" t="s">
        <v>74</v>
      </c>
      <c r="BP980" s="1" t="s">
        <v>74</v>
      </c>
      <c r="BQ980" s="1" t="s">
        <v>74</v>
      </c>
      <c r="BR980" s="1" t="s">
        <v>74</v>
      </c>
      <c r="BS980" s="1" t="s">
        <v>8568</v>
      </c>
      <c r="BT980" s="1" t="str">
        <f>HYPERLINK("https%3A%2F%2Fwww.webofscience.com%2Fwos%2Fwoscc%2Ffull-record%2FWOS:001639031400023","View Full Record in Web of Science")</f>
        <v>View Full Record in Web of Science</v>
      </c>
    </row>
    <row r="981" ht="12.75" customHeight="1">
      <c r="A981" s="1" t="s">
        <v>72</v>
      </c>
      <c r="B981" s="1" t="s">
        <v>8569</v>
      </c>
      <c r="C981" s="1" t="s">
        <v>74</v>
      </c>
      <c r="D981" s="1" t="s">
        <v>74</v>
      </c>
      <c r="E981" s="1" t="s">
        <v>74</v>
      </c>
      <c r="F981" s="1" t="s">
        <v>8570</v>
      </c>
      <c r="G981" s="1" t="s">
        <v>74</v>
      </c>
      <c r="H981" s="1" t="s">
        <v>74</v>
      </c>
      <c r="I981" s="1" t="s">
        <v>8571</v>
      </c>
      <c r="J981" s="1" t="s">
        <v>8572</v>
      </c>
      <c r="K981" s="1" t="s">
        <v>74</v>
      </c>
      <c r="L981" s="1" t="s">
        <v>74</v>
      </c>
      <c r="M981" s="1" t="s">
        <v>74</v>
      </c>
      <c r="N981" s="1" t="s">
        <v>78</v>
      </c>
      <c r="O981" s="1" t="s">
        <v>74</v>
      </c>
      <c r="P981" s="1" t="s">
        <v>74</v>
      </c>
      <c r="Q981" s="1" t="s">
        <v>74</v>
      </c>
      <c r="R981" s="1" t="s">
        <v>74</v>
      </c>
      <c r="S981" s="1" t="s">
        <v>74</v>
      </c>
      <c r="T981" s="1" t="s">
        <v>8573</v>
      </c>
      <c r="U981" s="1" t="s">
        <v>74</v>
      </c>
      <c r="V981" s="1" t="s">
        <v>8574</v>
      </c>
      <c r="W981" s="1" t="s">
        <v>74</v>
      </c>
      <c r="X981" s="1" t="s">
        <v>74</v>
      </c>
      <c r="Y981" s="1" t="s">
        <v>74</v>
      </c>
      <c r="Z981" s="1" t="s">
        <v>74</v>
      </c>
      <c r="AA981" s="1" t="s">
        <v>74</v>
      </c>
      <c r="AB981" s="1" t="s">
        <v>74</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8575</v>
      </c>
      <c r="AP981" s="1" t="s">
        <v>8576</v>
      </c>
      <c r="AQ981" s="1" t="s">
        <v>74</v>
      </c>
      <c r="AR981" s="1" t="s">
        <v>74</v>
      </c>
      <c r="AS981" s="1" t="s">
        <v>74</v>
      </c>
      <c r="AT981" s="1" t="s">
        <v>464</v>
      </c>
      <c r="AU981" s="1">
        <v>2025.0</v>
      </c>
      <c r="AV981" s="1">
        <v>24.0</v>
      </c>
      <c r="AW981" s="1">
        <v>8.0</v>
      </c>
      <c r="AX981" s="1" t="s">
        <v>74</v>
      </c>
      <c r="AY981" s="1" t="s">
        <v>74</v>
      </c>
      <c r="AZ981" s="1" t="s">
        <v>74</v>
      </c>
      <c r="BA981" s="1" t="s">
        <v>74</v>
      </c>
      <c r="BB981" s="1" t="s">
        <v>74</v>
      </c>
      <c r="BC981" s="1" t="s">
        <v>74</v>
      </c>
      <c r="BD981" s="1">
        <v>86.0</v>
      </c>
      <c r="BE981" s="1" t="s">
        <v>8577</v>
      </c>
      <c r="BF981" s="2" t="str">
        <f>HYPERLINK("http://dx.doi.org/10.1145/3749642","http://dx.doi.org/10.1145/3749642")</f>
        <v>http://dx.doi.org/10.1145/3749642</v>
      </c>
      <c r="BG981" s="1" t="s">
        <v>74</v>
      </c>
      <c r="BH981" s="1" t="s">
        <v>74</v>
      </c>
      <c r="BI981" s="1" t="s">
        <v>74</v>
      </c>
      <c r="BJ981" s="1" t="s">
        <v>74</v>
      </c>
      <c r="BK981" s="1" t="s">
        <v>74</v>
      </c>
      <c r="BL981" s="1" t="s">
        <v>174</v>
      </c>
      <c r="BM981" s="1" t="s">
        <v>74</v>
      </c>
      <c r="BN981" s="1" t="s">
        <v>74</v>
      </c>
      <c r="BO981" s="1" t="s">
        <v>74</v>
      </c>
      <c r="BP981" s="1" t="s">
        <v>74</v>
      </c>
      <c r="BQ981" s="1" t="s">
        <v>74</v>
      </c>
      <c r="BR981" s="1" t="s">
        <v>74</v>
      </c>
      <c r="BS981" s="1" t="s">
        <v>8578</v>
      </c>
      <c r="BT981" s="1" t="str">
        <f>HYPERLINK("https%3A%2F%2Fwww.webofscience.com%2Fwos%2Fwoscc%2Ffull-record%2FWOS:001576679400009","View Full Record in Web of Science")</f>
        <v>View Full Record in Web of Science</v>
      </c>
    </row>
    <row r="982" ht="12.75" customHeight="1">
      <c r="A982" s="1" t="s">
        <v>72</v>
      </c>
      <c r="B982" s="1" t="s">
        <v>8579</v>
      </c>
      <c r="C982" s="1" t="s">
        <v>74</v>
      </c>
      <c r="D982" s="1" t="s">
        <v>74</v>
      </c>
      <c r="E982" s="1" t="s">
        <v>74</v>
      </c>
      <c r="F982" s="1" t="s">
        <v>8580</v>
      </c>
      <c r="G982" s="1" t="s">
        <v>74</v>
      </c>
      <c r="H982" s="1" t="s">
        <v>74</v>
      </c>
      <c r="I982" s="1" t="s">
        <v>8581</v>
      </c>
      <c r="J982" s="1" t="s">
        <v>7857</v>
      </c>
      <c r="K982" s="1" t="s">
        <v>74</v>
      </c>
      <c r="L982" s="1" t="s">
        <v>74</v>
      </c>
      <c r="M982" s="1" t="s">
        <v>74</v>
      </c>
      <c r="N982" s="1" t="s">
        <v>78</v>
      </c>
      <c r="O982" s="1" t="s">
        <v>74</v>
      </c>
      <c r="P982" s="1" t="s">
        <v>74</v>
      </c>
      <c r="Q982" s="1" t="s">
        <v>74</v>
      </c>
      <c r="R982" s="1" t="s">
        <v>74</v>
      </c>
      <c r="S982" s="1" t="s">
        <v>74</v>
      </c>
      <c r="T982" s="1" t="s">
        <v>8582</v>
      </c>
      <c r="U982" s="1" t="s">
        <v>8583</v>
      </c>
      <c r="V982" s="1" t="s">
        <v>8584</v>
      </c>
      <c r="W982" s="1" t="s">
        <v>74</v>
      </c>
      <c r="X982" s="1" t="s">
        <v>74</v>
      </c>
      <c r="Y982" s="1" t="s">
        <v>74</v>
      </c>
      <c r="Z982" s="1" t="s">
        <v>74</v>
      </c>
      <c r="AA982" s="1" t="s">
        <v>74</v>
      </c>
      <c r="AB982" s="1" t="s">
        <v>74</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7860</v>
      </c>
      <c r="AP982" s="1" t="s">
        <v>7861</v>
      </c>
      <c r="AQ982" s="1" t="s">
        <v>74</v>
      </c>
      <c r="AR982" s="1" t="s">
        <v>74</v>
      </c>
      <c r="AS982" s="1" t="s">
        <v>74</v>
      </c>
      <c r="AT982" s="1" t="s">
        <v>262</v>
      </c>
      <c r="AU982" s="1">
        <v>2025.0</v>
      </c>
      <c r="AV982" s="1">
        <v>22.0</v>
      </c>
      <c r="AW982" s="1">
        <v>3.0</v>
      </c>
      <c r="AX982" s="1" t="s">
        <v>74</v>
      </c>
      <c r="AY982" s="1" t="s">
        <v>74</v>
      </c>
      <c r="AZ982" s="1" t="s">
        <v>707</v>
      </c>
      <c r="BA982" s="1" t="s">
        <v>74</v>
      </c>
      <c r="BB982" s="1">
        <v>601.0</v>
      </c>
      <c r="BC982" s="1">
        <v>610.0</v>
      </c>
      <c r="BD982" s="1" t="s">
        <v>74</v>
      </c>
      <c r="BE982" s="1" t="s">
        <v>8585</v>
      </c>
      <c r="BF982" s="2" t="str">
        <f>HYPERLINK("http://dx.doi.org/10.1007/s11673-025-10449-0","http://dx.doi.org/10.1007/s11673-025-10449-0")</f>
        <v>http://dx.doi.org/10.1007/s11673-025-10449-0</v>
      </c>
      <c r="BG982" s="1" t="s">
        <v>74</v>
      </c>
      <c r="BH982" s="1" t="s">
        <v>112</v>
      </c>
      <c r="BI982" s="1" t="s">
        <v>74</v>
      </c>
      <c r="BJ982" s="1" t="s">
        <v>74</v>
      </c>
      <c r="BK982" s="1" t="s">
        <v>74</v>
      </c>
      <c r="BL982" s="1" t="s">
        <v>2064</v>
      </c>
      <c r="BM982" s="1" t="s">
        <v>74</v>
      </c>
      <c r="BN982" s="1" t="s">
        <v>74</v>
      </c>
      <c r="BO982" s="1" t="s">
        <v>576</v>
      </c>
      <c r="BP982" s="1" t="s">
        <v>74</v>
      </c>
      <c r="BQ982" s="1" t="s">
        <v>74</v>
      </c>
      <c r="BR982" s="1" t="s">
        <v>74</v>
      </c>
      <c r="BS982" s="1" t="s">
        <v>8586</v>
      </c>
      <c r="BT982" s="1" t="str">
        <f>HYPERLINK("https%3A%2F%2Fwww.webofscience.com%2Fwos%2Fwoscc%2Ffull-record%2FWOS:001505286300001","View Full Record in Web of Science")</f>
        <v>View Full Record in Web of Science</v>
      </c>
    </row>
    <row r="983" ht="12.75" customHeight="1">
      <c r="A983" s="1" t="s">
        <v>72</v>
      </c>
      <c r="B983" s="1" t="s">
        <v>8587</v>
      </c>
      <c r="C983" s="1" t="s">
        <v>74</v>
      </c>
      <c r="D983" s="1" t="s">
        <v>74</v>
      </c>
      <c r="E983" s="1" t="s">
        <v>74</v>
      </c>
      <c r="F983" s="1" t="s">
        <v>8588</v>
      </c>
      <c r="G983" s="1" t="s">
        <v>74</v>
      </c>
      <c r="H983" s="1" t="s">
        <v>74</v>
      </c>
      <c r="I983" s="1" t="s">
        <v>8589</v>
      </c>
      <c r="J983" s="1" t="s">
        <v>730</v>
      </c>
      <c r="K983" s="1" t="s">
        <v>74</v>
      </c>
      <c r="L983" s="1" t="s">
        <v>74</v>
      </c>
      <c r="M983" s="1" t="s">
        <v>74</v>
      </c>
      <c r="N983" s="1" t="s">
        <v>78</v>
      </c>
      <c r="O983" s="1" t="s">
        <v>74</v>
      </c>
      <c r="P983" s="1" t="s">
        <v>74</v>
      </c>
      <c r="Q983" s="1" t="s">
        <v>74</v>
      </c>
      <c r="R983" s="1" t="s">
        <v>74</v>
      </c>
      <c r="S983" s="1" t="s">
        <v>74</v>
      </c>
      <c r="T983" s="1" t="s">
        <v>8590</v>
      </c>
      <c r="U983" s="1" t="s">
        <v>8591</v>
      </c>
      <c r="V983" s="1" t="s">
        <v>8592</v>
      </c>
      <c r="W983" s="1" t="s">
        <v>74</v>
      </c>
      <c r="X983" s="1" t="s">
        <v>74</v>
      </c>
      <c r="Y983" s="1" t="s">
        <v>74</v>
      </c>
      <c r="Z983" s="1" t="s">
        <v>74</v>
      </c>
      <c r="AA983" s="1" t="s">
        <v>74</v>
      </c>
      <c r="AB983" s="1" t="s">
        <v>74</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734</v>
      </c>
      <c r="AP983" s="1" t="s">
        <v>735</v>
      </c>
      <c r="AQ983" s="1" t="s">
        <v>74</v>
      </c>
      <c r="AR983" s="1" t="s">
        <v>74</v>
      </c>
      <c r="AS983" s="1" t="s">
        <v>74</v>
      </c>
      <c r="AT983" s="1" t="s">
        <v>736</v>
      </c>
      <c r="AU983" s="1">
        <v>2026.0</v>
      </c>
      <c r="AV983" s="1">
        <v>142.0</v>
      </c>
      <c r="AW983" s="1" t="s">
        <v>74</v>
      </c>
      <c r="AX983" s="1" t="s">
        <v>74</v>
      </c>
      <c r="AY983" s="1" t="s">
        <v>74</v>
      </c>
      <c r="AZ983" s="1" t="s">
        <v>74</v>
      </c>
      <c r="BA983" s="1" t="s">
        <v>74</v>
      </c>
      <c r="BB983" s="1" t="s">
        <v>74</v>
      </c>
      <c r="BC983" s="1" t="s">
        <v>74</v>
      </c>
      <c r="BD983" s="1">
        <v>109362.0</v>
      </c>
      <c r="BE983" s="1" t="s">
        <v>8593</v>
      </c>
      <c r="BF983" s="2" t="str">
        <f>HYPERLINK("http://dx.doi.org/10.1016/j.pec.2025.109362","http://dx.doi.org/10.1016/j.pec.2025.109362")</f>
        <v>http://dx.doi.org/10.1016/j.pec.2025.109362</v>
      </c>
      <c r="BG983" s="1" t="s">
        <v>74</v>
      </c>
      <c r="BH983" s="1" t="s">
        <v>738</v>
      </c>
      <c r="BI983" s="1" t="s">
        <v>74</v>
      </c>
      <c r="BJ983" s="1" t="s">
        <v>74</v>
      </c>
      <c r="BK983" s="1" t="s">
        <v>74</v>
      </c>
      <c r="BL983" s="1" t="s">
        <v>739</v>
      </c>
      <c r="BM983" s="1" t="s">
        <v>74</v>
      </c>
      <c r="BN983" s="1" t="s">
        <v>74</v>
      </c>
      <c r="BO983" s="1" t="s">
        <v>74</v>
      </c>
      <c r="BP983" s="1" t="s">
        <v>74</v>
      </c>
      <c r="BQ983" s="1" t="s">
        <v>74</v>
      </c>
      <c r="BR983" s="1" t="s">
        <v>74</v>
      </c>
      <c r="BS983" s="1" t="s">
        <v>8594</v>
      </c>
      <c r="BT983" s="1" t="str">
        <f>HYPERLINK("https%3A%2F%2Fwww.webofscience.com%2Fwos%2Fwoscc%2Ffull-record%2FWOS:001587068700002","View Full Record in Web of Science")</f>
        <v>View Full Record in Web of Science</v>
      </c>
    </row>
    <row r="984" ht="12.75" customHeight="1">
      <c r="A984" s="1" t="s">
        <v>72</v>
      </c>
      <c r="B984" s="1" t="s">
        <v>8595</v>
      </c>
      <c r="C984" s="1" t="s">
        <v>74</v>
      </c>
      <c r="D984" s="1" t="s">
        <v>74</v>
      </c>
      <c r="E984" s="1" t="s">
        <v>74</v>
      </c>
      <c r="F984" s="1" t="s">
        <v>8596</v>
      </c>
      <c r="G984" s="1" t="s">
        <v>74</v>
      </c>
      <c r="H984" s="1" t="s">
        <v>74</v>
      </c>
      <c r="I984" s="1" t="s">
        <v>8597</v>
      </c>
      <c r="J984" s="1" t="s">
        <v>2961</v>
      </c>
      <c r="K984" s="1" t="s">
        <v>74</v>
      </c>
      <c r="L984" s="1" t="s">
        <v>74</v>
      </c>
      <c r="M984" s="1" t="s">
        <v>74</v>
      </c>
      <c r="N984" s="1" t="s">
        <v>78</v>
      </c>
      <c r="O984" s="1" t="s">
        <v>74</v>
      </c>
      <c r="P984" s="1" t="s">
        <v>74</v>
      </c>
      <c r="Q984" s="1" t="s">
        <v>74</v>
      </c>
      <c r="R984" s="1" t="s">
        <v>74</v>
      </c>
      <c r="S984" s="1" t="s">
        <v>74</v>
      </c>
      <c r="T984" s="1" t="s">
        <v>74</v>
      </c>
      <c r="U984" s="1" t="s">
        <v>74</v>
      </c>
      <c r="V984" s="1" t="s">
        <v>8598</v>
      </c>
      <c r="W984" s="1" t="s">
        <v>74</v>
      </c>
      <c r="X984" s="1" t="s">
        <v>74</v>
      </c>
      <c r="Y984" s="1" t="s">
        <v>74</v>
      </c>
      <c r="Z984" s="1" t="s">
        <v>74</v>
      </c>
      <c r="AA984" s="1" t="s">
        <v>74</v>
      </c>
      <c r="AB984" s="1" t="s">
        <v>74</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2964</v>
      </c>
      <c r="AP984" s="1" t="s">
        <v>2965</v>
      </c>
      <c r="AQ984" s="1" t="s">
        <v>74</v>
      </c>
      <c r="AR984" s="1" t="s">
        <v>74</v>
      </c>
      <c r="AS984" s="1" t="s">
        <v>74</v>
      </c>
      <c r="AT984" s="1" t="s">
        <v>688</v>
      </c>
      <c r="AU984" s="1">
        <v>2025.0</v>
      </c>
      <c r="AV984" s="1">
        <v>8.0</v>
      </c>
      <c r="AW984" s="1">
        <v>2.0</v>
      </c>
      <c r="AX984" s="1" t="s">
        <v>74</v>
      </c>
      <c r="AY984" s="1" t="s">
        <v>74</v>
      </c>
      <c r="AZ984" s="1" t="s">
        <v>74</v>
      </c>
      <c r="BA984" s="1" t="s">
        <v>74</v>
      </c>
      <c r="BB984" s="1">
        <v>32.0</v>
      </c>
      <c r="BC984" s="1">
        <v>38.0</v>
      </c>
      <c r="BD984" s="1" t="s">
        <v>74</v>
      </c>
      <c r="BE984" s="1" t="s">
        <v>8599</v>
      </c>
      <c r="BF984" s="2" t="str">
        <f>HYPERLINK("http://dx.doi.org/10.1109/IOTM.001.2400157","http://dx.doi.org/10.1109/IOTM.001.2400157")</f>
        <v>http://dx.doi.org/10.1109/IOTM.001.2400157</v>
      </c>
      <c r="BG984" s="1" t="s">
        <v>74</v>
      </c>
      <c r="BH984" s="1" t="s">
        <v>74</v>
      </c>
      <c r="BI984" s="1" t="s">
        <v>74</v>
      </c>
      <c r="BJ984" s="1" t="s">
        <v>74</v>
      </c>
      <c r="BK984" s="1" t="s">
        <v>74</v>
      </c>
      <c r="BL984" s="1" t="s">
        <v>152</v>
      </c>
      <c r="BM984" s="1" t="s">
        <v>74</v>
      </c>
      <c r="BN984" s="1" t="s">
        <v>74</v>
      </c>
      <c r="BO984" s="1" t="s">
        <v>74</v>
      </c>
      <c r="BP984" s="1" t="s">
        <v>74</v>
      </c>
      <c r="BQ984" s="1" t="s">
        <v>74</v>
      </c>
      <c r="BR984" s="1" t="s">
        <v>74</v>
      </c>
      <c r="BS984" s="1" t="s">
        <v>8600</v>
      </c>
      <c r="BT984" s="1" t="str">
        <f>HYPERLINK("https%3A%2F%2Fwww.webofscience.com%2Fwos%2Fwoscc%2Ffull-record%2FWOS:001635988900008","View Full Record in Web of Science")</f>
        <v>View Full Record in Web of Science</v>
      </c>
    </row>
    <row r="985" ht="12.75" customHeight="1">
      <c r="A985" s="1" t="s">
        <v>72</v>
      </c>
      <c r="B985" s="1" t="s">
        <v>8601</v>
      </c>
      <c r="C985" s="1" t="s">
        <v>74</v>
      </c>
      <c r="D985" s="1" t="s">
        <v>74</v>
      </c>
      <c r="E985" s="1" t="s">
        <v>74</v>
      </c>
      <c r="F985" s="1" t="s">
        <v>8602</v>
      </c>
      <c r="G985" s="1" t="s">
        <v>74</v>
      </c>
      <c r="H985" s="1" t="s">
        <v>74</v>
      </c>
      <c r="I985" s="1" t="s">
        <v>8603</v>
      </c>
      <c r="J985" s="1" t="s">
        <v>985</v>
      </c>
      <c r="K985" s="1" t="s">
        <v>74</v>
      </c>
      <c r="L985" s="1" t="s">
        <v>74</v>
      </c>
      <c r="M985" s="1" t="s">
        <v>74</v>
      </c>
      <c r="N985" s="1" t="s">
        <v>78</v>
      </c>
      <c r="O985" s="1" t="s">
        <v>74</v>
      </c>
      <c r="P985" s="1" t="s">
        <v>74</v>
      </c>
      <c r="Q985" s="1" t="s">
        <v>74</v>
      </c>
      <c r="R985" s="1" t="s">
        <v>74</v>
      </c>
      <c r="S985" s="1" t="s">
        <v>74</v>
      </c>
      <c r="T985" s="1" t="s">
        <v>8604</v>
      </c>
      <c r="U985" s="1" t="s">
        <v>74</v>
      </c>
      <c r="V985" s="1" t="s">
        <v>8605</v>
      </c>
      <c r="W985" s="1" t="s">
        <v>74</v>
      </c>
      <c r="X985" s="1" t="s">
        <v>74</v>
      </c>
      <c r="Y985" s="1" t="s">
        <v>74</v>
      </c>
      <c r="Z985" s="1" t="s">
        <v>74</v>
      </c>
      <c r="AA985" s="1" t="s">
        <v>74</v>
      </c>
      <c r="AB985" s="1" t="s">
        <v>74</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988</v>
      </c>
      <c r="AP985" s="1" t="s">
        <v>989</v>
      </c>
      <c r="AQ985" s="1" t="s">
        <v>74</v>
      </c>
      <c r="AR985" s="1" t="s">
        <v>74</v>
      </c>
      <c r="AS985" s="1" t="s">
        <v>74</v>
      </c>
      <c r="AT985" s="1" t="s">
        <v>464</v>
      </c>
      <c r="AU985" s="1">
        <v>2023.0</v>
      </c>
      <c r="AV985" s="1">
        <v>14.0</v>
      </c>
      <c r="AW985" s="1">
        <v>8.0</v>
      </c>
      <c r="AX985" s="1" t="s">
        <v>74</v>
      </c>
      <c r="AY985" s="1" t="s">
        <v>74</v>
      </c>
      <c r="AZ985" s="1" t="s">
        <v>74</v>
      </c>
      <c r="BA985" s="1" t="s">
        <v>74</v>
      </c>
      <c r="BB985" s="1">
        <v>937.0</v>
      </c>
      <c r="BC985" s="1">
        <v>946.0</v>
      </c>
      <c r="BD985" s="1" t="s">
        <v>74</v>
      </c>
      <c r="BE985" s="1" t="s">
        <v>74</v>
      </c>
      <c r="BF985" s="1" t="s">
        <v>74</v>
      </c>
      <c r="BG985" s="1" t="s">
        <v>74</v>
      </c>
      <c r="BH985" s="1" t="s">
        <v>74</v>
      </c>
      <c r="BI985" s="1" t="s">
        <v>74</v>
      </c>
      <c r="BJ985" s="1" t="s">
        <v>74</v>
      </c>
      <c r="BK985" s="1" t="s">
        <v>74</v>
      </c>
      <c r="BL985" s="1" t="s">
        <v>174</v>
      </c>
      <c r="BM985" s="1" t="s">
        <v>74</v>
      </c>
      <c r="BN985" s="1" t="s">
        <v>74</v>
      </c>
      <c r="BO985" s="1" t="s">
        <v>74</v>
      </c>
      <c r="BP985" s="1" t="s">
        <v>74</v>
      </c>
      <c r="BQ985" s="1" t="s">
        <v>74</v>
      </c>
      <c r="BR985" s="1" t="s">
        <v>74</v>
      </c>
      <c r="BS985" s="1" t="s">
        <v>8606</v>
      </c>
      <c r="BT985" s="1" t="str">
        <f>HYPERLINK("https%3A%2F%2Fwww.webofscience.com%2Fwos%2Fwoscc%2Ffull-record%2FWOS:001064929600001","View Full Record in Web of Science")</f>
        <v>View Full Record in Web of Science</v>
      </c>
    </row>
    <row r="986" ht="12.75" customHeight="1">
      <c r="A986" s="1" t="s">
        <v>72</v>
      </c>
      <c r="B986" s="1" t="s">
        <v>8607</v>
      </c>
      <c r="C986" s="1" t="s">
        <v>74</v>
      </c>
      <c r="D986" s="1" t="s">
        <v>74</v>
      </c>
      <c r="E986" s="1" t="s">
        <v>74</v>
      </c>
      <c r="F986" s="1" t="s">
        <v>8608</v>
      </c>
      <c r="G986" s="1" t="s">
        <v>74</v>
      </c>
      <c r="H986" s="1" t="s">
        <v>74</v>
      </c>
      <c r="I986" s="1" t="s">
        <v>8609</v>
      </c>
      <c r="J986" s="1" t="s">
        <v>8610</v>
      </c>
      <c r="K986" s="1" t="s">
        <v>74</v>
      </c>
      <c r="L986" s="1" t="s">
        <v>74</v>
      </c>
      <c r="M986" s="1" t="s">
        <v>74</v>
      </c>
      <c r="N986" s="1" t="s">
        <v>78</v>
      </c>
      <c r="O986" s="1" t="s">
        <v>74</v>
      </c>
      <c r="P986" s="1" t="s">
        <v>74</v>
      </c>
      <c r="Q986" s="1" t="s">
        <v>74</v>
      </c>
      <c r="R986" s="1" t="s">
        <v>74</v>
      </c>
      <c r="S986" s="1" t="s">
        <v>74</v>
      </c>
      <c r="T986" s="1" t="s">
        <v>8611</v>
      </c>
      <c r="U986" s="1" t="s">
        <v>74</v>
      </c>
      <c r="V986" s="1" t="s">
        <v>8612</v>
      </c>
      <c r="W986" s="1" t="s">
        <v>74</v>
      </c>
      <c r="X986" s="1" t="s">
        <v>74</v>
      </c>
      <c r="Y986" s="1" t="s">
        <v>74</v>
      </c>
      <c r="Z986" s="1" t="s">
        <v>74</v>
      </c>
      <c r="AA986" s="1" t="s">
        <v>74</v>
      </c>
      <c r="AB986" s="1" t="s">
        <v>74</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74</v>
      </c>
      <c r="AP986" s="1" t="s">
        <v>8613</v>
      </c>
      <c r="AQ986" s="1" t="s">
        <v>74</v>
      </c>
      <c r="AR986" s="1" t="s">
        <v>74</v>
      </c>
      <c r="AS986" s="1" t="s">
        <v>74</v>
      </c>
      <c r="AT986" s="1" t="s">
        <v>357</v>
      </c>
      <c r="AU986" s="1">
        <v>2025.0</v>
      </c>
      <c r="AV986" s="1">
        <v>9.0</v>
      </c>
      <c r="AW986" s="1" t="s">
        <v>8614</v>
      </c>
      <c r="AX986" s="1" t="s">
        <v>74</v>
      </c>
      <c r="AY986" s="1" t="s">
        <v>8615</v>
      </c>
      <c r="AZ986" s="1" t="s">
        <v>74</v>
      </c>
      <c r="BA986" s="1" t="s">
        <v>74</v>
      </c>
      <c r="BB986" s="1" t="s">
        <v>74</v>
      </c>
      <c r="BC986" s="1" t="s">
        <v>74</v>
      </c>
      <c r="BD986" s="1">
        <v>320.0</v>
      </c>
      <c r="BE986" s="1" t="s">
        <v>8616</v>
      </c>
      <c r="BF986" s="2" t="str">
        <f>HYPERLINK("http://dx.doi.org/10.1145/3763098","http://dx.doi.org/10.1145/3763098")</f>
        <v>http://dx.doi.org/10.1145/3763098</v>
      </c>
      <c r="BG986" s="1" t="s">
        <v>74</v>
      </c>
      <c r="BH986" s="1" t="s">
        <v>74</v>
      </c>
      <c r="BI986" s="1" t="s">
        <v>74</v>
      </c>
      <c r="BJ986" s="1" t="s">
        <v>74</v>
      </c>
      <c r="BK986" s="1" t="s">
        <v>74</v>
      </c>
      <c r="BL986" s="1" t="s">
        <v>174</v>
      </c>
      <c r="BM986" s="1" t="s">
        <v>74</v>
      </c>
      <c r="BN986" s="1" t="s">
        <v>74</v>
      </c>
      <c r="BO986" s="1" t="s">
        <v>163</v>
      </c>
      <c r="BP986" s="1" t="s">
        <v>74</v>
      </c>
      <c r="BQ986" s="1" t="s">
        <v>74</v>
      </c>
      <c r="BR986" s="1" t="s">
        <v>74</v>
      </c>
      <c r="BS986" s="1" t="s">
        <v>8617</v>
      </c>
      <c r="BT986" s="1" t="str">
        <f>HYPERLINK("https%3A%2F%2Fwww.webofscience.com%2Fwos%2Fwoscc%2Ffull-record%2FWOS:001632924600001","View Full Record in Web of Science")</f>
        <v>View Full Record in Web of Science</v>
      </c>
    </row>
    <row r="987" ht="12.75" customHeight="1">
      <c r="A987" s="1" t="s">
        <v>72</v>
      </c>
      <c r="B987" s="1" t="s">
        <v>8618</v>
      </c>
      <c r="C987" s="1" t="s">
        <v>74</v>
      </c>
      <c r="D987" s="1" t="s">
        <v>74</v>
      </c>
      <c r="E987" s="1" t="s">
        <v>74</v>
      </c>
      <c r="F987" s="1" t="s">
        <v>8619</v>
      </c>
      <c r="G987" s="1" t="s">
        <v>74</v>
      </c>
      <c r="H987" s="1" t="s">
        <v>74</v>
      </c>
      <c r="I987" s="1" t="s">
        <v>8620</v>
      </c>
      <c r="J987" s="1" t="s">
        <v>816</v>
      </c>
      <c r="K987" s="1" t="s">
        <v>74</v>
      </c>
      <c r="L987" s="1" t="s">
        <v>74</v>
      </c>
      <c r="M987" s="1" t="s">
        <v>74</v>
      </c>
      <c r="N987" s="1" t="s">
        <v>78</v>
      </c>
      <c r="O987" s="1" t="s">
        <v>74</v>
      </c>
      <c r="P987" s="1" t="s">
        <v>74</v>
      </c>
      <c r="Q987" s="1" t="s">
        <v>74</v>
      </c>
      <c r="R987" s="1" t="s">
        <v>74</v>
      </c>
      <c r="S987" s="1" t="s">
        <v>74</v>
      </c>
      <c r="T987" s="1" t="s">
        <v>8621</v>
      </c>
      <c r="U987" s="1" t="s">
        <v>8622</v>
      </c>
      <c r="V987" s="1" t="s">
        <v>8623</v>
      </c>
      <c r="W987" s="1" t="s">
        <v>74</v>
      </c>
      <c r="X987" s="1" t="s">
        <v>74</v>
      </c>
      <c r="Y987" s="1" t="s">
        <v>74</v>
      </c>
      <c r="Z987" s="1" t="s">
        <v>74</v>
      </c>
      <c r="AA987" s="1" t="s">
        <v>74</v>
      </c>
      <c r="AB987" s="1" t="s">
        <v>74</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820</v>
      </c>
      <c r="AP987" s="1" t="s">
        <v>821</v>
      </c>
      <c r="AQ987" s="1" t="s">
        <v>74</v>
      </c>
      <c r="AR987" s="1" t="s">
        <v>74</v>
      </c>
      <c r="AS987" s="1" t="s">
        <v>74</v>
      </c>
      <c r="AT987" s="1" t="s">
        <v>262</v>
      </c>
      <c r="AU987" s="1">
        <v>2024.0</v>
      </c>
      <c r="AV987" s="1">
        <v>157.0</v>
      </c>
      <c r="AW987" s="1" t="s">
        <v>74</v>
      </c>
      <c r="AX987" s="1" t="s">
        <v>74</v>
      </c>
      <c r="AY987" s="1" t="s">
        <v>74</v>
      </c>
      <c r="AZ987" s="1" t="s">
        <v>74</v>
      </c>
      <c r="BA987" s="1" t="s">
        <v>74</v>
      </c>
      <c r="BB987" s="1" t="s">
        <v>74</v>
      </c>
      <c r="BC987" s="1" t="s">
        <v>74</v>
      </c>
      <c r="BD987" s="1">
        <v>104720.0</v>
      </c>
      <c r="BE987" s="1" t="s">
        <v>8624</v>
      </c>
      <c r="BF987" s="2" t="str">
        <f>HYPERLINK("http://dx.doi.org/10.1016/j.jbi.2024.104720","http://dx.doi.org/10.1016/j.jbi.2024.104720")</f>
        <v>http://dx.doi.org/10.1016/j.jbi.2024.104720</v>
      </c>
      <c r="BG987" s="1" t="s">
        <v>74</v>
      </c>
      <c r="BH987" s="1" t="s">
        <v>453</v>
      </c>
      <c r="BI987" s="1" t="s">
        <v>74</v>
      </c>
      <c r="BJ987" s="1" t="s">
        <v>74</v>
      </c>
      <c r="BK987" s="1" t="s">
        <v>74</v>
      </c>
      <c r="BL987" s="1" t="s">
        <v>823</v>
      </c>
      <c r="BM987" s="1" t="s">
        <v>74</v>
      </c>
      <c r="BN987" s="1" t="s">
        <v>74</v>
      </c>
      <c r="BO987" s="1" t="s">
        <v>114</v>
      </c>
      <c r="BP987" s="1" t="s">
        <v>74</v>
      </c>
      <c r="BQ987" s="1" t="s">
        <v>74</v>
      </c>
      <c r="BR987" s="1" t="s">
        <v>74</v>
      </c>
      <c r="BS987" s="1" t="s">
        <v>8625</v>
      </c>
      <c r="BT987" s="1" t="str">
        <f>HYPERLINK("https%3A%2F%2Fwww.webofscience.com%2Fwos%2Fwoscc%2Ffull-record%2FWOS:001312772300001","View Full Record in Web of Science")</f>
        <v>View Full Record in Web of Science</v>
      </c>
    </row>
    <row r="988" ht="12.75" customHeight="1">
      <c r="A988" s="1" t="s">
        <v>72</v>
      </c>
      <c r="B988" s="1" t="s">
        <v>8626</v>
      </c>
      <c r="C988" s="1" t="s">
        <v>74</v>
      </c>
      <c r="D988" s="1" t="s">
        <v>74</v>
      </c>
      <c r="E988" s="1" t="s">
        <v>74</v>
      </c>
      <c r="F988" s="1" t="s">
        <v>8627</v>
      </c>
      <c r="G988" s="1" t="s">
        <v>74</v>
      </c>
      <c r="H988" s="1" t="s">
        <v>74</v>
      </c>
      <c r="I988" s="1" t="s">
        <v>8628</v>
      </c>
      <c r="J988" s="1" t="s">
        <v>147</v>
      </c>
      <c r="K988" s="1" t="s">
        <v>74</v>
      </c>
      <c r="L988" s="1" t="s">
        <v>74</v>
      </c>
      <c r="M988" s="1" t="s">
        <v>74</v>
      </c>
      <c r="N988" s="1" t="s">
        <v>78</v>
      </c>
      <c r="O988" s="1" t="s">
        <v>74</v>
      </c>
      <c r="P988" s="1" t="s">
        <v>74</v>
      </c>
      <c r="Q988" s="1" t="s">
        <v>74</v>
      </c>
      <c r="R988" s="1" t="s">
        <v>74</v>
      </c>
      <c r="S988" s="1" t="s">
        <v>74</v>
      </c>
      <c r="T988" s="1" t="s">
        <v>8629</v>
      </c>
      <c r="U988" s="1" t="s">
        <v>74</v>
      </c>
      <c r="V988" s="1" t="s">
        <v>8630</v>
      </c>
      <c r="W988" s="1" t="s">
        <v>74</v>
      </c>
      <c r="X988" s="1" t="s">
        <v>74</v>
      </c>
      <c r="Y988" s="1" t="s">
        <v>74</v>
      </c>
      <c r="Z988" s="1" t="s">
        <v>74</v>
      </c>
      <c r="AA988" s="1" t="s">
        <v>74</v>
      </c>
      <c r="AB988" s="1" t="s">
        <v>74</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150</v>
      </c>
      <c r="AP988" s="1" t="s">
        <v>74</v>
      </c>
      <c r="AQ988" s="1" t="s">
        <v>74</v>
      </c>
      <c r="AR988" s="1" t="s">
        <v>74</v>
      </c>
      <c r="AS988" s="1" t="s">
        <v>74</v>
      </c>
      <c r="AT988" s="1" t="s">
        <v>74</v>
      </c>
      <c r="AU988" s="1">
        <v>2025.0</v>
      </c>
      <c r="AV988" s="1">
        <v>13.0</v>
      </c>
      <c r="AW988" s="1" t="s">
        <v>74</v>
      </c>
      <c r="AX988" s="1" t="s">
        <v>74</v>
      </c>
      <c r="AY988" s="1" t="s">
        <v>74</v>
      </c>
      <c r="AZ988" s="1" t="s">
        <v>74</v>
      </c>
      <c r="BA988" s="1" t="s">
        <v>74</v>
      </c>
      <c r="BB988" s="1">
        <v>157651.0</v>
      </c>
      <c r="BC988" s="1">
        <v>157673.0</v>
      </c>
      <c r="BD988" s="1" t="s">
        <v>74</v>
      </c>
      <c r="BE988" s="1" t="s">
        <v>8631</v>
      </c>
      <c r="BF988" s="2" t="str">
        <f>HYPERLINK("http://dx.doi.org/10.1109/ACCESS.2025.3606961","http://dx.doi.org/10.1109/ACCESS.2025.3606961")</f>
        <v>http://dx.doi.org/10.1109/ACCESS.2025.3606961</v>
      </c>
      <c r="BG988" s="1" t="s">
        <v>74</v>
      </c>
      <c r="BH988" s="1" t="s">
        <v>74</v>
      </c>
      <c r="BI988" s="1" t="s">
        <v>74</v>
      </c>
      <c r="BJ988" s="1" t="s">
        <v>74</v>
      </c>
      <c r="BK988" s="1" t="s">
        <v>74</v>
      </c>
      <c r="BL988" s="1" t="s">
        <v>152</v>
      </c>
      <c r="BM988" s="1" t="s">
        <v>74</v>
      </c>
      <c r="BN988" s="1" t="s">
        <v>74</v>
      </c>
      <c r="BO988" s="1" t="s">
        <v>153</v>
      </c>
      <c r="BP988" s="1" t="s">
        <v>74</v>
      </c>
      <c r="BQ988" s="1" t="s">
        <v>74</v>
      </c>
      <c r="BR988" s="1" t="s">
        <v>74</v>
      </c>
      <c r="BS988" s="1" t="s">
        <v>8632</v>
      </c>
      <c r="BT988" s="1" t="str">
        <f>HYPERLINK("https%3A%2F%2Fwww.webofscience.com%2Fwos%2Fwoscc%2Ffull-record%2FWOS:001571485600045","View Full Record in Web of Science")</f>
        <v>View Full Record in Web of Science</v>
      </c>
    </row>
    <row r="989" ht="12.75" customHeight="1">
      <c r="A989" s="1" t="s">
        <v>72</v>
      </c>
      <c r="B989" s="1" t="s">
        <v>8633</v>
      </c>
      <c r="C989" s="1" t="s">
        <v>74</v>
      </c>
      <c r="D989" s="1" t="s">
        <v>74</v>
      </c>
      <c r="E989" s="1" t="s">
        <v>74</v>
      </c>
      <c r="F989" s="1" t="s">
        <v>8634</v>
      </c>
      <c r="G989" s="1" t="s">
        <v>74</v>
      </c>
      <c r="H989" s="1" t="s">
        <v>74</v>
      </c>
      <c r="I989" s="1" t="s">
        <v>8635</v>
      </c>
      <c r="J989" s="1" t="s">
        <v>8636</v>
      </c>
      <c r="K989" s="1" t="s">
        <v>74</v>
      </c>
      <c r="L989" s="1" t="s">
        <v>74</v>
      </c>
      <c r="M989" s="1" t="s">
        <v>74</v>
      </c>
      <c r="N989" s="1" t="s">
        <v>78</v>
      </c>
      <c r="O989" s="1" t="s">
        <v>74</v>
      </c>
      <c r="P989" s="1" t="s">
        <v>74</v>
      </c>
      <c r="Q989" s="1" t="s">
        <v>74</v>
      </c>
      <c r="R989" s="1" t="s">
        <v>74</v>
      </c>
      <c r="S989" s="1" t="s">
        <v>74</v>
      </c>
      <c r="T989" s="1" t="s">
        <v>8637</v>
      </c>
      <c r="U989" s="1" t="s">
        <v>8638</v>
      </c>
      <c r="V989" s="1" t="s">
        <v>8639</v>
      </c>
      <c r="W989" s="1" t="s">
        <v>74</v>
      </c>
      <c r="X989" s="1" t="s">
        <v>74</v>
      </c>
      <c r="Y989" s="1" t="s">
        <v>74</v>
      </c>
      <c r="Z989" s="1" t="s">
        <v>74</v>
      </c>
      <c r="AA989" s="1" t="s">
        <v>74</v>
      </c>
      <c r="AB989" s="1" t="s">
        <v>74</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74</v>
      </c>
      <c r="AP989" s="1" t="s">
        <v>8640</v>
      </c>
      <c r="AQ989" s="1" t="s">
        <v>74</v>
      </c>
      <c r="AR989" s="1" t="s">
        <v>74</v>
      </c>
      <c r="AS989" s="1" t="s">
        <v>74</v>
      </c>
      <c r="AT989" s="1" t="s">
        <v>357</v>
      </c>
      <c r="AU989" s="1">
        <v>2024.0</v>
      </c>
      <c r="AV989" s="1">
        <v>8.0</v>
      </c>
      <c r="AW989" s="1">
        <v>10.0</v>
      </c>
      <c r="AX989" s="1" t="s">
        <v>74</v>
      </c>
      <c r="AY989" s="1" t="s">
        <v>74</v>
      </c>
      <c r="AZ989" s="1" t="s">
        <v>74</v>
      </c>
      <c r="BA989" s="1" t="s">
        <v>74</v>
      </c>
      <c r="BB989" s="1" t="s">
        <v>74</v>
      </c>
      <c r="BC989" s="1" t="s">
        <v>74</v>
      </c>
      <c r="BD989" s="1">
        <v>84.0</v>
      </c>
      <c r="BE989" s="1" t="s">
        <v>8641</v>
      </c>
      <c r="BF989" s="2" t="str">
        <f>HYPERLINK("http://dx.doi.org/10.3390/mti8100084","http://dx.doi.org/10.3390/mti8100084")</f>
        <v>http://dx.doi.org/10.3390/mti8100084</v>
      </c>
      <c r="BG989" s="1" t="s">
        <v>74</v>
      </c>
      <c r="BH989" s="1" t="s">
        <v>74</v>
      </c>
      <c r="BI989" s="1" t="s">
        <v>74</v>
      </c>
      <c r="BJ989" s="1" t="s">
        <v>74</v>
      </c>
      <c r="BK989" s="1" t="s">
        <v>74</v>
      </c>
      <c r="BL989" s="1" t="s">
        <v>174</v>
      </c>
      <c r="BM989" s="1" t="s">
        <v>74</v>
      </c>
      <c r="BN989" s="1" t="s">
        <v>74</v>
      </c>
      <c r="BO989" s="1" t="s">
        <v>153</v>
      </c>
      <c r="BP989" s="1" t="s">
        <v>74</v>
      </c>
      <c r="BQ989" s="1" t="s">
        <v>74</v>
      </c>
      <c r="BR989" s="1" t="s">
        <v>74</v>
      </c>
      <c r="BS989" s="1" t="s">
        <v>8642</v>
      </c>
      <c r="BT989" s="1" t="str">
        <f>HYPERLINK("https%3A%2F%2Fwww.webofscience.com%2Fwos%2Fwoscc%2Ffull-record%2FWOS:001342904000001","View Full Record in Web of Science")</f>
        <v>View Full Record in Web of Science</v>
      </c>
    </row>
    <row r="990" ht="12.75" customHeight="1">
      <c r="A990" s="1" t="s">
        <v>72</v>
      </c>
      <c r="B990" s="1" t="s">
        <v>8643</v>
      </c>
      <c r="C990" s="1" t="s">
        <v>74</v>
      </c>
      <c r="D990" s="1" t="s">
        <v>74</v>
      </c>
      <c r="E990" s="1" t="s">
        <v>74</v>
      </c>
      <c r="F990" s="1" t="s">
        <v>8644</v>
      </c>
      <c r="G990" s="1" t="s">
        <v>74</v>
      </c>
      <c r="H990" s="1" t="s">
        <v>74</v>
      </c>
      <c r="I990" s="1" t="s">
        <v>8645</v>
      </c>
      <c r="J990" s="1" t="s">
        <v>6206</v>
      </c>
      <c r="K990" s="1" t="s">
        <v>74</v>
      </c>
      <c r="L990" s="1" t="s">
        <v>74</v>
      </c>
      <c r="M990" s="1" t="s">
        <v>74</v>
      </c>
      <c r="N990" s="1" t="s">
        <v>78</v>
      </c>
      <c r="O990" s="1" t="s">
        <v>74</v>
      </c>
      <c r="P990" s="1" t="s">
        <v>74</v>
      </c>
      <c r="Q990" s="1" t="s">
        <v>74</v>
      </c>
      <c r="R990" s="1" t="s">
        <v>74</v>
      </c>
      <c r="S990" s="1" t="s">
        <v>74</v>
      </c>
      <c r="T990" s="1" t="s">
        <v>74</v>
      </c>
      <c r="U990" s="1" t="s">
        <v>74</v>
      </c>
      <c r="V990" s="1" t="s">
        <v>8646</v>
      </c>
      <c r="W990" s="1" t="s">
        <v>74</v>
      </c>
      <c r="X990" s="1" t="s">
        <v>74</v>
      </c>
      <c r="Y990" s="1" t="s">
        <v>74</v>
      </c>
      <c r="Z990" s="1" t="s">
        <v>74</v>
      </c>
      <c r="AA990" s="1" t="s">
        <v>74</v>
      </c>
      <c r="AB990" s="1" t="s">
        <v>74</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74</v>
      </c>
      <c r="AP990" s="1" t="s">
        <v>6208</v>
      </c>
      <c r="AQ990" s="1" t="s">
        <v>74</v>
      </c>
      <c r="AR990" s="1" t="s">
        <v>74</v>
      </c>
      <c r="AS990" s="1" t="s">
        <v>74</v>
      </c>
      <c r="AT990" s="1" t="s">
        <v>4209</v>
      </c>
      <c r="AU990" s="1">
        <v>2024.0</v>
      </c>
      <c r="AV990" s="1">
        <v>11.0</v>
      </c>
      <c r="AW990" s="1">
        <v>1.0</v>
      </c>
      <c r="AX990" s="1" t="s">
        <v>74</v>
      </c>
      <c r="AY990" s="1" t="s">
        <v>74</v>
      </c>
      <c r="AZ990" s="1" t="s">
        <v>74</v>
      </c>
      <c r="BA990" s="1" t="s">
        <v>74</v>
      </c>
      <c r="BB990" s="1" t="s">
        <v>74</v>
      </c>
      <c r="BC990" s="1" t="s">
        <v>74</v>
      </c>
      <c r="BD990" s="1">
        <v>1706.0</v>
      </c>
      <c r="BE990" s="1" t="s">
        <v>8647</v>
      </c>
      <c r="BF990" s="2" t="str">
        <f>HYPERLINK("http://dx.doi.org/10.1057/s41599-024-04219-3","http://dx.doi.org/10.1057/s41599-024-04219-3")</f>
        <v>http://dx.doi.org/10.1057/s41599-024-04219-3</v>
      </c>
      <c r="BG990" s="1" t="s">
        <v>74</v>
      </c>
      <c r="BH990" s="1" t="s">
        <v>74</v>
      </c>
      <c r="BI990" s="1" t="s">
        <v>74</v>
      </c>
      <c r="BJ990" s="1" t="s">
        <v>74</v>
      </c>
      <c r="BK990" s="1" t="s">
        <v>74</v>
      </c>
      <c r="BL990" s="1" t="s">
        <v>6211</v>
      </c>
      <c r="BM990" s="1" t="s">
        <v>74</v>
      </c>
      <c r="BN990" s="1" t="s">
        <v>74</v>
      </c>
      <c r="BO990" s="1" t="s">
        <v>153</v>
      </c>
      <c r="BP990" s="1" t="s">
        <v>74</v>
      </c>
      <c r="BQ990" s="1" t="s">
        <v>74</v>
      </c>
      <c r="BR990" s="1" t="s">
        <v>74</v>
      </c>
      <c r="BS990" s="1" t="s">
        <v>8648</v>
      </c>
      <c r="BT990" s="1" t="str">
        <f>HYPERLINK("https%3A%2F%2Fwww.webofscience.com%2Fwos%2Fwoscc%2Ffull-record%2FWOS:001381827000001","View Full Record in Web of Science")</f>
        <v>View Full Record in Web of Science</v>
      </c>
    </row>
    <row r="991" ht="12.75" customHeight="1">
      <c r="A991" s="1" t="s">
        <v>72</v>
      </c>
      <c r="B991" s="1" t="s">
        <v>8649</v>
      </c>
      <c r="C991" s="1" t="s">
        <v>74</v>
      </c>
      <c r="D991" s="1" t="s">
        <v>74</v>
      </c>
      <c r="E991" s="1" t="s">
        <v>74</v>
      </c>
      <c r="F991" s="1" t="s">
        <v>8650</v>
      </c>
      <c r="G991" s="1" t="s">
        <v>74</v>
      </c>
      <c r="H991" s="1" t="s">
        <v>74</v>
      </c>
      <c r="I991" s="1" t="s">
        <v>8651</v>
      </c>
      <c r="J991" s="1" t="s">
        <v>620</v>
      </c>
      <c r="K991" s="1" t="s">
        <v>74</v>
      </c>
      <c r="L991" s="1" t="s">
        <v>74</v>
      </c>
      <c r="M991" s="1" t="s">
        <v>74</v>
      </c>
      <c r="N991" s="1" t="s">
        <v>78</v>
      </c>
      <c r="O991" s="1" t="s">
        <v>74</v>
      </c>
      <c r="P991" s="1" t="s">
        <v>74</v>
      </c>
      <c r="Q991" s="1" t="s">
        <v>74</v>
      </c>
      <c r="R991" s="1" t="s">
        <v>74</v>
      </c>
      <c r="S991" s="1" t="s">
        <v>74</v>
      </c>
      <c r="T991" s="1" t="s">
        <v>8652</v>
      </c>
      <c r="U991" s="1" t="s">
        <v>8653</v>
      </c>
      <c r="V991" s="1" t="s">
        <v>8654</v>
      </c>
      <c r="W991" s="1" t="s">
        <v>74</v>
      </c>
      <c r="X991" s="1" t="s">
        <v>74</v>
      </c>
      <c r="Y991" s="1" t="s">
        <v>74</v>
      </c>
      <c r="Z991" s="1" t="s">
        <v>74</v>
      </c>
      <c r="AA991" s="1" t="s">
        <v>74</v>
      </c>
      <c r="AB991" s="1" t="s">
        <v>74</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624</v>
      </c>
      <c r="AP991" s="1" t="s">
        <v>625</v>
      </c>
      <c r="AQ991" s="1" t="s">
        <v>74</v>
      </c>
      <c r="AR991" s="1" t="s">
        <v>74</v>
      </c>
      <c r="AS991" s="1" t="s">
        <v>74</v>
      </c>
      <c r="AT991" s="1" t="s">
        <v>736</v>
      </c>
      <c r="AU991" s="1">
        <v>2024.0</v>
      </c>
      <c r="AV991" s="1">
        <v>76.0</v>
      </c>
      <c r="AW991" s="1" t="s">
        <v>74</v>
      </c>
      <c r="AX991" s="1" t="s">
        <v>74</v>
      </c>
      <c r="AY991" s="1" t="s">
        <v>74</v>
      </c>
      <c r="AZ991" s="1" t="s">
        <v>74</v>
      </c>
      <c r="BA991" s="1" t="s">
        <v>74</v>
      </c>
      <c r="BB991" s="1" t="s">
        <v>74</v>
      </c>
      <c r="BC991" s="1" t="s">
        <v>74</v>
      </c>
      <c r="BD991" s="1">
        <v>103580.0</v>
      </c>
      <c r="BE991" s="1" t="s">
        <v>8655</v>
      </c>
      <c r="BF991" s="2" t="str">
        <f>HYPERLINK("http://dx.doi.org/10.1016/j.jretconser.2023.103580","http://dx.doi.org/10.1016/j.jretconser.2023.103580")</f>
        <v>http://dx.doi.org/10.1016/j.jretconser.2023.103580</v>
      </c>
      <c r="BG991" s="1" t="s">
        <v>74</v>
      </c>
      <c r="BH991" s="1" t="s">
        <v>360</v>
      </c>
      <c r="BI991" s="1" t="s">
        <v>74</v>
      </c>
      <c r="BJ991" s="1" t="s">
        <v>74</v>
      </c>
      <c r="BK991" s="1" t="s">
        <v>74</v>
      </c>
      <c r="BL991" s="1" t="s">
        <v>214</v>
      </c>
      <c r="BM991" s="1" t="s">
        <v>74</v>
      </c>
      <c r="BN991" s="1" t="s">
        <v>74</v>
      </c>
      <c r="BO991" s="1" t="s">
        <v>576</v>
      </c>
      <c r="BP991" s="1" t="s">
        <v>74</v>
      </c>
      <c r="BQ991" s="1" t="s">
        <v>74</v>
      </c>
      <c r="BR991" s="1" t="s">
        <v>74</v>
      </c>
      <c r="BS991" s="1" t="s">
        <v>8656</v>
      </c>
      <c r="BT991" s="1" t="str">
        <f>HYPERLINK("https%3A%2F%2Fwww.webofscience.com%2Fwos%2Fwoscc%2Ffull-record%2FWOS:001108563800001","View Full Record in Web of Science")</f>
        <v>View Full Record in Web of Science</v>
      </c>
    </row>
    <row r="992" ht="12.75" customHeight="1">
      <c r="A992" s="1" t="s">
        <v>72</v>
      </c>
      <c r="B992" s="1" t="s">
        <v>8657</v>
      </c>
      <c r="C992" s="1" t="s">
        <v>74</v>
      </c>
      <c r="D992" s="1" t="s">
        <v>74</v>
      </c>
      <c r="E992" s="1" t="s">
        <v>74</v>
      </c>
      <c r="F992" s="1" t="s">
        <v>8658</v>
      </c>
      <c r="G992" s="1" t="s">
        <v>74</v>
      </c>
      <c r="H992" s="1" t="s">
        <v>74</v>
      </c>
      <c r="I992" s="1" t="s">
        <v>8659</v>
      </c>
      <c r="J992" s="1" t="s">
        <v>828</v>
      </c>
      <c r="K992" s="1" t="s">
        <v>74</v>
      </c>
      <c r="L992" s="1" t="s">
        <v>74</v>
      </c>
      <c r="M992" s="1" t="s">
        <v>74</v>
      </c>
      <c r="N992" s="1" t="s">
        <v>78</v>
      </c>
      <c r="O992" s="1" t="s">
        <v>74</v>
      </c>
      <c r="P992" s="1" t="s">
        <v>74</v>
      </c>
      <c r="Q992" s="1" t="s">
        <v>74</v>
      </c>
      <c r="R992" s="1" t="s">
        <v>74</v>
      </c>
      <c r="S992" s="1" t="s">
        <v>74</v>
      </c>
      <c r="T992" s="1" t="s">
        <v>8660</v>
      </c>
      <c r="U992" s="1" t="s">
        <v>74</v>
      </c>
      <c r="V992" s="1" t="s">
        <v>8661</v>
      </c>
      <c r="W992" s="1" t="s">
        <v>74</v>
      </c>
      <c r="X992" s="1" t="s">
        <v>74</v>
      </c>
      <c r="Y992" s="1" t="s">
        <v>74</v>
      </c>
      <c r="Z992" s="1" t="s">
        <v>74</v>
      </c>
      <c r="AA992" s="1" t="s">
        <v>74</v>
      </c>
      <c r="AB992" s="1" t="s">
        <v>74</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831</v>
      </c>
      <c r="AP992" s="1" t="s">
        <v>832</v>
      </c>
      <c r="AQ992" s="1" t="s">
        <v>74</v>
      </c>
      <c r="AR992" s="1" t="s">
        <v>74</v>
      </c>
      <c r="AS992" s="1" t="s">
        <v>74</v>
      </c>
      <c r="AT992" s="1" t="s">
        <v>74</v>
      </c>
      <c r="AU992" s="1">
        <v>2024.0</v>
      </c>
      <c r="AV992" s="1">
        <v>36.0</v>
      </c>
      <c r="AW992" s="1">
        <v>1.0</v>
      </c>
      <c r="AX992" s="1" t="s">
        <v>74</v>
      </c>
      <c r="AY992" s="1" t="s">
        <v>74</v>
      </c>
      <c r="AZ992" s="1" t="s">
        <v>74</v>
      </c>
      <c r="BA992" s="1" t="s">
        <v>74</v>
      </c>
      <c r="BB992" s="1" t="s">
        <v>74</v>
      </c>
      <c r="BC992" s="1" t="s">
        <v>74</v>
      </c>
      <c r="BD992" s="1">
        <v>340038.0</v>
      </c>
      <c r="BE992" s="1" t="s">
        <v>8662</v>
      </c>
      <c r="BF992" s="2" t="str">
        <f>HYPERLINK("http://dx.doi.org/10.4018/JOEUC.340038","http://dx.doi.org/10.4018/JOEUC.340038")</f>
        <v>http://dx.doi.org/10.4018/JOEUC.340038</v>
      </c>
      <c r="BG992" s="1" t="s">
        <v>74</v>
      </c>
      <c r="BH992" s="1" t="s">
        <v>74</v>
      </c>
      <c r="BI992" s="1" t="s">
        <v>74</v>
      </c>
      <c r="BJ992" s="1" t="s">
        <v>74</v>
      </c>
      <c r="BK992" s="1" t="s">
        <v>74</v>
      </c>
      <c r="BL992" s="1" t="s">
        <v>834</v>
      </c>
      <c r="BM992" s="1" t="s">
        <v>74</v>
      </c>
      <c r="BN992" s="1" t="s">
        <v>74</v>
      </c>
      <c r="BO992" s="1" t="s">
        <v>163</v>
      </c>
      <c r="BP992" s="1" t="s">
        <v>74</v>
      </c>
      <c r="BQ992" s="1" t="s">
        <v>74</v>
      </c>
      <c r="BR992" s="1" t="s">
        <v>74</v>
      </c>
      <c r="BS992" s="1" t="s">
        <v>8663</v>
      </c>
      <c r="BT992" s="1" t="str">
        <f>HYPERLINK("https%3A%2F%2Fwww.webofscience.com%2Fwos%2Fwoscc%2Ffull-record%2FWOS:001185409200002","View Full Record in Web of Science")</f>
        <v>View Full Record in Web of Science</v>
      </c>
    </row>
    <row r="993" ht="12.75" customHeight="1">
      <c r="A993" s="1" t="s">
        <v>72</v>
      </c>
      <c r="B993" s="1" t="s">
        <v>8664</v>
      </c>
      <c r="C993" s="1" t="s">
        <v>74</v>
      </c>
      <c r="D993" s="1" t="s">
        <v>74</v>
      </c>
      <c r="E993" s="1" t="s">
        <v>74</v>
      </c>
      <c r="F993" s="1" t="s">
        <v>8665</v>
      </c>
      <c r="G993" s="1" t="s">
        <v>74</v>
      </c>
      <c r="H993" s="1" t="s">
        <v>74</v>
      </c>
      <c r="I993" s="1" t="s">
        <v>8666</v>
      </c>
      <c r="J993" s="1" t="s">
        <v>147</v>
      </c>
      <c r="K993" s="1" t="s">
        <v>74</v>
      </c>
      <c r="L993" s="1" t="s">
        <v>74</v>
      </c>
      <c r="M993" s="1" t="s">
        <v>74</v>
      </c>
      <c r="N993" s="1" t="s">
        <v>78</v>
      </c>
      <c r="O993" s="1" t="s">
        <v>74</v>
      </c>
      <c r="P993" s="1" t="s">
        <v>74</v>
      </c>
      <c r="Q993" s="1" t="s">
        <v>74</v>
      </c>
      <c r="R993" s="1" t="s">
        <v>74</v>
      </c>
      <c r="S993" s="1" t="s">
        <v>74</v>
      </c>
      <c r="T993" s="1" t="s">
        <v>8667</v>
      </c>
      <c r="U993" s="1" t="s">
        <v>8668</v>
      </c>
      <c r="V993" s="1" t="s">
        <v>8669</v>
      </c>
      <c r="W993" s="1" t="s">
        <v>74</v>
      </c>
      <c r="X993" s="1" t="s">
        <v>74</v>
      </c>
      <c r="Y993" s="1" t="s">
        <v>74</v>
      </c>
      <c r="Z993" s="1" t="s">
        <v>74</v>
      </c>
      <c r="AA993" s="1" t="s">
        <v>74</v>
      </c>
      <c r="AB993" s="1" t="s">
        <v>74</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150</v>
      </c>
      <c r="AP993" s="1" t="s">
        <v>74</v>
      </c>
      <c r="AQ993" s="1" t="s">
        <v>74</v>
      </c>
      <c r="AR993" s="1" t="s">
        <v>74</v>
      </c>
      <c r="AS993" s="1" t="s">
        <v>74</v>
      </c>
      <c r="AT993" s="1" t="s">
        <v>74</v>
      </c>
      <c r="AU993" s="1">
        <v>2024.0</v>
      </c>
      <c r="AV993" s="1">
        <v>12.0</v>
      </c>
      <c r="AW993" s="1" t="s">
        <v>74</v>
      </c>
      <c r="AX993" s="1" t="s">
        <v>74</v>
      </c>
      <c r="AY993" s="1" t="s">
        <v>74</v>
      </c>
      <c r="AZ993" s="1" t="s">
        <v>74</v>
      </c>
      <c r="BA993" s="1" t="s">
        <v>74</v>
      </c>
      <c r="BB993" s="1">
        <v>198046.0</v>
      </c>
      <c r="BC993" s="1">
        <v>198066.0</v>
      </c>
      <c r="BD993" s="1" t="s">
        <v>74</v>
      </c>
      <c r="BE993" s="1" t="s">
        <v>8670</v>
      </c>
      <c r="BF993" s="2" t="str">
        <f>HYPERLINK("http://dx.doi.org/10.1109/ACCESS.2024.3522061","http://dx.doi.org/10.1109/ACCESS.2024.3522061")</f>
        <v>http://dx.doi.org/10.1109/ACCESS.2024.3522061</v>
      </c>
      <c r="BG993" s="1" t="s">
        <v>74</v>
      </c>
      <c r="BH993" s="1" t="s">
        <v>74</v>
      </c>
      <c r="BI993" s="1" t="s">
        <v>74</v>
      </c>
      <c r="BJ993" s="1" t="s">
        <v>74</v>
      </c>
      <c r="BK993" s="1" t="s">
        <v>74</v>
      </c>
      <c r="BL993" s="1" t="s">
        <v>152</v>
      </c>
      <c r="BM993" s="1" t="s">
        <v>74</v>
      </c>
      <c r="BN993" s="1" t="s">
        <v>74</v>
      </c>
      <c r="BO993" s="1" t="s">
        <v>153</v>
      </c>
      <c r="BP993" s="1" t="s">
        <v>74</v>
      </c>
      <c r="BQ993" s="1" t="s">
        <v>74</v>
      </c>
      <c r="BR993" s="1" t="s">
        <v>74</v>
      </c>
      <c r="BS993" s="1" t="s">
        <v>8671</v>
      </c>
      <c r="BT993" s="1" t="str">
        <f>HYPERLINK("https%3A%2F%2Fwww.webofscience.com%2Fwos%2Fwoscc%2Ffull-record%2FWOS:001386558700030","View Full Record in Web of Science")</f>
        <v>View Full Record in Web of Science</v>
      </c>
    </row>
    <row r="994" ht="12.75" customHeight="1">
      <c r="A994" s="1" t="s">
        <v>72</v>
      </c>
      <c r="B994" s="1" t="s">
        <v>3845</v>
      </c>
      <c r="C994" s="1" t="s">
        <v>74</v>
      </c>
      <c r="D994" s="1" t="s">
        <v>74</v>
      </c>
      <c r="E994" s="1" t="s">
        <v>74</v>
      </c>
      <c r="F994" s="1" t="s">
        <v>3846</v>
      </c>
      <c r="G994" s="1" t="s">
        <v>74</v>
      </c>
      <c r="H994" s="1" t="s">
        <v>74</v>
      </c>
      <c r="I994" s="1" t="s">
        <v>8672</v>
      </c>
      <c r="J994" s="1" t="s">
        <v>3848</v>
      </c>
      <c r="K994" s="1" t="s">
        <v>74</v>
      </c>
      <c r="L994" s="1" t="s">
        <v>74</v>
      </c>
      <c r="M994" s="1" t="s">
        <v>74</v>
      </c>
      <c r="N994" s="1" t="s">
        <v>158</v>
      </c>
      <c r="O994" s="1" t="s">
        <v>74</v>
      </c>
      <c r="P994" s="1" t="s">
        <v>74</v>
      </c>
      <c r="Q994" s="1" t="s">
        <v>74</v>
      </c>
      <c r="R994" s="1" t="s">
        <v>74</v>
      </c>
      <c r="S994" s="1" t="s">
        <v>74</v>
      </c>
      <c r="T994" s="1" t="s">
        <v>74</v>
      </c>
      <c r="U994" s="1" t="s">
        <v>74</v>
      </c>
      <c r="V994" s="1" t="s">
        <v>8673</v>
      </c>
      <c r="W994" s="1" t="s">
        <v>74</v>
      </c>
      <c r="X994" s="1" t="s">
        <v>74</v>
      </c>
      <c r="Y994" s="1" t="s">
        <v>74</v>
      </c>
      <c r="Z994" s="1" t="s">
        <v>74</v>
      </c>
      <c r="AA994" s="1" t="s">
        <v>74</v>
      </c>
      <c r="AB994" s="1" t="s">
        <v>74</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3851</v>
      </c>
      <c r="AP994" s="1" t="s">
        <v>3852</v>
      </c>
      <c r="AQ994" s="1" t="s">
        <v>74</v>
      </c>
      <c r="AR994" s="1" t="s">
        <v>74</v>
      </c>
      <c r="AS994" s="1" t="s">
        <v>74</v>
      </c>
      <c r="AT994" s="1" t="s">
        <v>84</v>
      </c>
      <c r="AU994" s="1">
        <v>2024.0</v>
      </c>
      <c r="AV994" s="1">
        <v>30.0</v>
      </c>
      <c r="AW994" s="1">
        <v>3.0</v>
      </c>
      <c r="AX994" s="1" t="s">
        <v>74</v>
      </c>
      <c r="AY994" s="1" t="s">
        <v>74</v>
      </c>
      <c r="AZ994" s="1" t="s">
        <v>74</v>
      </c>
      <c r="BA994" s="1" t="s">
        <v>74</v>
      </c>
      <c r="BB994" s="1">
        <v>650.0</v>
      </c>
      <c r="BC994" s="1">
        <v>659.0</v>
      </c>
      <c r="BD994" s="1" t="s">
        <v>74</v>
      </c>
      <c r="BE994" s="1" t="s">
        <v>8674</v>
      </c>
      <c r="BF994" s="2" t="str">
        <f>HYPERLINK("http://dx.doi.org/10.1017/S1351324924000032","http://dx.doi.org/10.1017/S1351324924000032")</f>
        <v>http://dx.doi.org/10.1017/S1351324924000032</v>
      </c>
      <c r="BG994" s="1" t="s">
        <v>74</v>
      </c>
      <c r="BH994" s="1" t="s">
        <v>74</v>
      </c>
      <c r="BI994" s="1" t="s">
        <v>74</v>
      </c>
      <c r="BJ994" s="1" t="s">
        <v>74</v>
      </c>
      <c r="BK994" s="1" t="s">
        <v>74</v>
      </c>
      <c r="BL994" s="1" t="s">
        <v>3854</v>
      </c>
      <c r="BM994" s="1" t="s">
        <v>74</v>
      </c>
      <c r="BN994" s="1" t="s">
        <v>74</v>
      </c>
      <c r="BO994" s="1" t="s">
        <v>114</v>
      </c>
      <c r="BP994" s="1" t="s">
        <v>74</v>
      </c>
      <c r="BQ994" s="1" t="s">
        <v>74</v>
      </c>
      <c r="BR994" s="1" t="s">
        <v>74</v>
      </c>
      <c r="BS994" s="1" t="s">
        <v>8675</v>
      </c>
      <c r="BT994" s="1" t="str">
        <f>HYPERLINK("https%3A%2F%2Fwww.webofscience.com%2Fwos%2Fwoscc%2Ffull-record%2FWOS:001221718900004","View Full Record in Web of Science")</f>
        <v>View Full Record in Web of Science</v>
      </c>
    </row>
    <row r="995" ht="12.75" customHeight="1">
      <c r="A995" s="1" t="s">
        <v>72</v>
      </c>
      <c r="B995" s="1" t="s">
        <v>8676</v>
      </c>
      <c r="C995" s="1" t="s">
        <v>74</v>
      </c>
      <c r="D995" s="1" t="s">
        <v>74</v>
      </c>
      <c r="E995" s="1" t="s">
        <v>74</v>
      </c>
      <c r="F995" s="1" t="s">
        <v>8677</v>
      </c>
      <c r="G995" s="1" t="s">
        <v>74</v>
      </c>
      <c r="H995" s="1" t="s">
        <v>74</v>
      </c>
      <c r="I995" s="1" t="s">
        <v>8678</v>
      </c>
      <c r="J995" s="1" t="s">
        <v>2809</v>
      </c>
      <c r="K995" s="1" t="s">
        <v>74</v>
      </c>
      <c r="L995" s="1" t="s">
        <v>74</v>
      </c>
      <c r="M995" s="1" t="s">
        <v>74</v>
      </c>
      <c r="N995" s="1" t="s">
        <v>78</v>
      </c>
      <c r="O995" s="1" t="s">
        <v>74</v>
      </c>
      <c r="P995" s="1" t="s">
        <v>74</v>
      </c>
      <c r="Q995" s="1" t="s">
        <v>74</v>
      </c>
      <c r="R995" s="1" t="s">
        <v>74</v>
      </c>
      <c r="S995" s="1" t="s">
        <v>74</v>
      </c>
      <c r="T995" s="1" t="s">
        <v>8679</v>
      </c>
      <c r="U995" s="1" t="s">
        <v>7792</v>
      </c>
      <c r="V995" s="1" t="s">
        <v>8680</v>
      </c>
      <c r="W995" s="1" t="s">
        <v>74</v>
      </c>
      <c r="X995" s="1" t="s">
        <v>74</v>
      </c>
      <c r="Y995" s="1" t="s">
        <v>74</v>
      </c>
      <c r="Z995" s="1" t="s">
        <v>74</v>
      </c>
      <c r="AA995" s="1" t="s">
        <v>74</v>
      </c>
      <c r="AB995" s="1" t="s">
        <v>74</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2812</v>
      </c>
      <c r="AP995" s="1" t="s">
        <v>2813</v>
      </c>
      <c r="AQ995" s="1" t="s">
        <v>74</v>
      </c>
      <c r="AR995" s="1" t="s">
        <v>74</v>
      </c>
      <c r="AS995" s="1" t="s">
        <v>74</v>
      </c>
      <c r="AT995" s="1" t="s">
        <v>357</v>
      </c>
      <c r="AU995" s="1">
        <v>2025.0</v>
      </c>
      <c r="AV995" s="1">
        <v>17.0</v>
      </c>
      <c r="AW995" s="1">
        <v>5.0</v>
      </c>
      <c r="AX995" s="1" t="s">
        <v>74</v>
      </c>
      <c r="AY995" s="1" t="s">
        <v>74</v>
      </c>
      <c r="AZ995" s="1" t="s">
        <v>74</v>
      </c>
      <c r="BA995" s="1" t="s">
        <v>74</v>
      </c>
      <c r="BB995" s="1">
        <v>1163.0</v>
      </c>
      <c r="BC995" s="1">
        <v>1174.0</v>
      </c>
      <c r="BD995" s="1" t="s">
        <v>74</v>
      </c>
      <c r="BE995" s="1" t="s">
        <v>8681</v>
      </c>
      <c r="BF995" s="2" t="str">
        <f>HYPERLINK("http://dx.doi.org/10.1109/TCDS.2025.3543364","http://dx.doi.org/10.1109/TCDS.2025.3543364")</f>
        <v>http://dx.doi.org/10.1109/TCDS.2025.3543364</v>
      </c>
      <c r="BG995" s="1" t="s">
        <v>74</v>
      </c>
      <c r="BH995" s="1" t="s">
        <v>74</v>
      </c>
      <c r="BI995" s="1" t="s">
        <v>74</v>
      </c>
      <c r="BJ995" s="1" t="s">
        <v>74</v>
      </c>
      <c r="BK995" s="1" t="s">
        <v>74</v>
      </c>
      <c r="BL995" s="1" t="s">
        <v>2815</v>
      </c>
      <c r="BM995" s="1" t="s">
        <v>74</v>
      </c>
      <c r="BN995" s="1" t="s">
        <v>74</v>
      </c>
      <c r="BO995" s="1" t="s">
        <v>74</v>
      </c>
      <c r="BP995" s="1" t="s">
        <v>74</v>
      </c>
      <c r="BQ995" s="1" t="s">
        <v>74</v>
      </c>
      <c r="BR995" s="1" t="s">
        <v>74</v>
      </c>
      <c r="BS995" s="1" t="s">
        <v>8682</v>
      </c>
      <c r="BT995" s="1" t="str">
        <f>HYPERLINK("https%3A%2F%2Fwww.webofscience.com%2Fwos%2Fwoscc%2Ffull-record%2FWOS:001592218900012","View Full Record in Web of Science")</f>
        <v>View Full Record in Web of Science</v>
      </c>
    </row>
    <row r="996" ht="12.75" customHeight="1">
      <c r="A996" s="1" t="s">
        <v>72</v>
      </c>
      <c r="B996" s="1" t="s">
        <v>8683</v>
      </c>
      <c r="C996" s="1" t="s">
        <v>74</v>
      </c>
      <c r="D996" s="1" t="s">
        <v>74</v>
      </c>
      <c r="E996" s="1" t="s">
        <v>74</v>
      </c>
      <c r="F996" s="1" t="s">
        <v>8684</v>
      </c>
      <c r="G996" s="1" t="s">
        <v>74</v>
      </c>
      <c r="H996" s="1" t="s">
        <v>74</v>
      </c>
      <c r="I996" s="1" t="s">
        <v>8685</v>
      </c>
      <c r="J996" s="1" t="s">
        <v>6554</v>
      </c>
      <c r="K996" s="1" t="s">
        <v>74</v>
      </c>
      <c r="L996" s="1" t="s">
        <v>74</v>
      </c>
      <c r="M996" s="1" t="s">
        <v>74</v>
      </c>
      <c r="N996" s="1" t="s">
        <v>78</v>
      </c>
      <c r="O996" s="1" t="s">
        <v>74</v>
      </c>
      <c r="P996" s="1" t="s">
        <v>74</v>
      </c>
      <c r="Q996" s="1" t="s">
        <v>74</v>
      </c>
      <c r="R996" s="1" t="s">
        <v>74</v>
      </c>
      <c r="S996" s="1" t="s">
        <v>74</v>
      </c>
      <c r="T996" s="1" t="s">
        <v>8686</v>
      </c>
      <c r="U996" s="1" t="s">
        <v>8687</v>
      </c>
      <c r="V996" s="1" t="s">
        <v>8688</v>
      </c>
      <c r="W996" s="1" t="s">
        <v>74</v>
      </c>
      <c r="X996" s="1" t="s">
        <v>74</v>
      </c>
      <c r="Y996" s="1" t="s">
        <v>74</v>
      </c>
      <c r="Z996" s="1" t="s">
        <v>74</v>
      </c>
      <c r="AA996" s="1" t="s">
        <v>74</v>
      </c>
      <c r="AB996" s="1" t="s">
        <v>74</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6558</v>
      </c>
      <c r="AP996" s="1" t="s">
        <v>74</v>
      </c>
      <c r="AQ996" s="1" t="s">
        <v>74</v>
      </c>
      <c r="AR996" s="1" t="s">
        <v>74</v>
      </c>
      <c r="AS996" s="1" t="s">
        <v>74</v>
      </c>
      <c r="AT996" s="1" t="s">
        <v>8689</v>
      </c>
      <c r="AU996" s="1">
        <v>2025.0</v>
      </c>
      <c r="AV996" s="1">
        <v>13.0</v>
      </c>
      <c r="AW996" s="1">
        <v>4.0</v>
      </c>
      <c r="AX996" s="1" t="s">
        <v>74</v>
      </c>
      <c r="AY996" s="1" t="s">
        <v>74</v>
      </c>
      <c r="AZ996" s="1" t="s">
        <v>74</v>
      </c>
      <c r="BA996" s="1" t="s">
        <v>74</v>
      </c>
      <c r="BB996" s="1" t="s">
        <v>74</v>
      </c>
      <c r="BC996" s="1" t="s">
        <v>74</v>
      </c>
      <c r="BD996" s="1">
        <v>201.0</v>
      </c>
      <c r="BE996" s="1" t="s">
        <v>8690</v>
      </c>
      <c r="BF996" s="2" t="str">
        <f>HYPERLINK("http://dx.doi.org/10.3390/ijfs13040201","http://dx.doi.org/10.3390/ijfs13040201")</f>
        <v>http://dx.doi.org/10.3390/ijfs13040201</v>
      </c>
      <c r="BG996" s="1" t="s">
        <v>74</v>
      </c>
      <c r="BH996" s="1" t="s">
        <v>74</v>
      </c>
      <c r="BI996" s="1" t="s">
        <v>74</v>
      </c>
      <c r="BJ996" s="1" t="s">
        <v>74</v>
      </c>
      <c r="BK996" s="1" t="s">
        <v>74</v>
      </c>
      <c r="BL996" s="1" t="s">
        <v>214</v>
      </c>
      <c r="BM996" s="1" t="s">
        <v>74</v>
      </c>
      <c r="BN996" s="1" t="s">
        <v>74</v>
      </c>
      <c r="BO996" s="1" t="s">
        <v>163</v>
      </c>
      <c r="BP996" s="1" t="s">
        <v>74</v>
      </c>
      <c r="BQ996" s="1" t="s">
        <v>74</v>
      </c>
      <c r="BR996" s="1" t="s">
        <v>74</v>
      </c>
      <c r="BS996" s="1" t="s">
        <v>8691</v>
      </c>
      <c r="BT996" s="1" t="str">
        <f>HYPERLINK("https%3A%2F%2Fwww.webofscience.com%2Fwos%2Fwoscc%2Ffull-record%2FWOS:001646672500001","View Full Record in Web of Science")</f>
        <v>View Full Record in Web of Science</v>
      </c>
    </row>
    <row r="997" ht="12.75" customHeight="1">
      <c r="A997" s="1" t="s">
        <v>72</v>
      </c>
      <c r="B997" s="1" t="s">
        <v>8692</v>
      </c>
      <c r="C997" s="1" t="s">
        <v>74</v>
      </c>
      <c r="D997" s="1" t="s">
        <v>74</v>
      </c>
      <c r="E997" s="1" t="s">
        <v>74</v>
      </c>
      <c r="F997" s="1" t="s">
        <v>8693</v>
      </c>
      <c r="G997" s="1" t="s">
        <v>74</v>
      </c>
      <c r="H997" s="1" t="s">
        <v>74</v>
      </c>
      <c r="I997" s="1" t="s">
        <v>8694</v>
      </c>
      <c r="J997" s="1" t="s">
        <v>4531</v>
      </c>
      <c r="K997" s="1" t="s">
        <v>74</v>
      </c>
      <c r="L997" s="1" t="s">
        <v>74</v>
      </c>
      <c r="M997" s="1" t="s">
        <v>74</v>
      </c>
      <c r="N997" s="1" t="s">
        <v>78</v>
      </c>
      <c r="O997" s="1" t="s">
        <v>74</v>
      </c>
      <c r="P997" s="1" t="s">
        <v>74</v>
      </c>
      <c r="Q997" s="1" t="s">
        <v>74</v>
      </c>
      <c r="R997" s="1" t="s">
        <v>74</v>
      </c>
      <c r="S997" s="1" t="s">
        <v>74</v>
      </c>
      <c r="T997" s="1" t="s">
        <v>8695</v>
      </c>
      <c r="U997" s="1" t="s">
        <v>74</v>
      </c>
      <c r="V997" s="1" t="s">
        <v>8696</v>
      </c>
      <c r="W997" s="1" t="s">
        <v>74</v>
      </c>
      <c r="X997" s="1" t="s">
        <v>74</v>
      </c>
      <c r="Y997" s="1" t="s">
        <v>74</v>
      </c>
      <c r="Z997" s="1" t="s">
        <v>74</v>
      </c>
      <c r="AA997" s="1" t="s">
        <v>74</v>
      </c>
      <c r="AB997" s="1" t="s">
        <v>74</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4534</v>
      </c>
      <c r="AP997" s="1" t="s">
        <v>4535</v>
      </c>
      <c r="AQ997" s="1" t="s">
        <v>74</v>
      </c>
      <c r="AR997" s="1" t="s">
        <v>74</v>
      </c>
      <c r="AS997" s="1" t="s">
        <v>74</v>
      </c>
      <c r="AT997" s="1" t="s">
        <v>200</v>
      </c>
      <c r="AU997" s="1">
        <v>2025.0</v>
      </c>
      <c r="AV997" s="1">
        <v>31.0</v>
      </c>
      <c r="AW997" s="1">
        <v>4.0</v>
      </c>
      <c r="AX997" s="1" t="s">
        <v>74</v>
      </c>
      <c r="AY997" s="1" t="s">
        <v>74</v>
      </c>
      <c r="AZ997" s="1" t="s">
        <v>74</v>
      </c>
      <c r="BA997" s="1" t="s">
        <v>74</v>
      </c>
      <c r="BB997" s="1">
        <v>299.0</v>
      </c>
      <c r="BC997" s="1">
        <v>322.0</v>
      </c>
      <c r="BD997" s="1" t="s">
        <v>74</v>
      </c>
      <c r="BE997" s="1" t="s">
        <v>8697</v>
      </c>
      <c r="BF997" s="2" t="str">
        <f>HYPERLINK("http://dx.doi.org/10.1007/s10588-025-09408-2","http://dx.doi.org/10.1007/s10588-025-09408-2")</f>
        <v>http://dx.doi.org/10.1007/s10588-025-09408-2</v>
      </c>
      <c r="BG997" s="1" t="s">
        <v>74</v>
      </c>
      <c r="BH997" s="1" t="s">
        <v>811</v>
      </c>
      <c r="BI997" s="1" t="s">
        <v>74</v>
      </c>
      <c r="BJ997" s="1" t="s">
        <v>74</v>
      </c>
      <c r="BK997" s="1" t="s">
        <v>74</v>
      </c>
      <c r="BL997" s="1" t="s">
        <v>4537</v>
      </c>
      <c r="BM997" s="1" t="s">
        <v>74</v>
      </c>
      <c r="BN997" s="1" t="s">
        <v>74</v>
      </c>
      <c r="BO997" s="1" t="s">
        <v>74</v>
      </c>
      <c r="BP997" s="1" t="s">
        <v>74</v>
      </c>
      <c r="BQ997" s="1" t="s">
        <v>74</v>
      </c>
      <c r="BR997" s="1" t="s">
        <v>74</v>
      </c>
      <c r="BS997" s="1" t="s">
        <v>8698</v>
      </c>
      <c r="BT997" s="1" t="str">
        <f>HYPERLINK("https%3A%2F%2Fwww.webofscience.com%2Fwos%2Fwoscc%2Ffull-record%2FWOS:001604812800001","View Full Record in Web of Science")</f>
        <v>View Full Record in Web of Science</v>
      </c>
    </row>
    <row r="998" ht="12.75" customHeight="1">
      <c r="A998" s="1" t="s">
        <v>72</v>
      </c>
      <c r="B998" s="1" t="s">
        <v>8699</v>
      </c>
      <c r="C998" s="1" t="s">
        <v>74</v>
      </c>
      <c r="D998" s="1" t="s">
        <v>74</v>
      </c>
      <c r="E998" s="1" t="s">
        <v>74</v>
      </c>
      <c r="F998" s="1" t="s">
        <v>8700</v>
      </c>
      <c r="G998" s="1" t="s">
        <v>74</v>
      </c>
      <c r="H998" s="1" t="s">
        <v>74</v>
      </c>
      <c r="I998" s="1" t="s">
        <v>8701</v>
      </c>
      <c r="J998" s="1" t="s">
        <v>330</v>
      </c>
      <c r="K998" s="1" t="s">
        <v>74</v>
      </c>
      <c r="L998" s="1" t="s">
        <v>74</v>
      </c>
      <c r="M998" s="1" t="s">
        <v>74</v>
      </c>
      <c r="N998" s="1" t="s">
        <v>78</v>
      </c>
      <c r="O998" s="1" t="s">
        <v>74</v>
      </c>
      <c r="P998" s="1" t="s">
        <v>74</v>
      </c>
      <c r="Q998" s="1" t="s">
        <v>74</v>
      </c>
      <c r="R998" s="1" t="s">
        <v>74</v>
      </c>
      <c r="S998" s="1" t="s">
        <v>74</v>
      </c>
      <c r="T998" s="1" t="s">
        <v>74</v>
      </c>
      <c r="U998" s="1" t="s">
        <v>74</v>
      </c>
      <c r="V998" s="1" t="s">
        <v>8702</v>
      </c>
      <c r="W998" s="1" t="s">
        <v>74</v>
      </c>
      <c r="X998" s="1" t="s">
        <v>74</v>
      </c>
      <c r="Y998" s="1" t="s">
        <v>74</v>
      </c>
      <c r="Z998" s="1" t="s">
        <v>74</v>
      </c>
      <c r="AA998" s="1" t="s">
        <v>74</v>
      </c>
      <c r="AB998" s="1" t="s">
        <v>74</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74</v>
      </c>
      <c r="AP998" s="1" t="s">
        <v>334</v>
      </c>
      <c r="AQ998" s="1" t="s">
        <v>74</v>
      </c>
      <c r="AR998" s="1" t="s">
        <v>74</v>
      </c>
      <c r="AS998" s="1" t="s">
        <v>74</v>
      </c>
      <c r="AT998" s="1" t="s">
        <v>200</v>
      </c>
      <c r="AU998" s="1">
        <v>2024.0</v>
      </c>
      <c r="AV998" s="1">
        <v>2.0</v>
      </c>
      <c r="AW998" s="1">
        <v>4.0</v>
      </c>
      <c r="AX998" s="1" t="s">
        <v>74</v>
      </c>
      <c r="AY998" s="1" t="s">
        <v>74</v>
      </c>
      <c r="AZ998" s="1" t="s">
        <v>74</v>
      </c>
      <c r="BA998" s="1" t="s">
        <v>74</v>
      </c>
      <c r="BB998" s="1" t="s">
        <v>74</v>
      </c>
      <c r="BC998" s="1" t="s">
        <v>74</v>
      </c>
      <c r="BD998" s="1">
        <v>100103.0</v>
      </c>
      <c r="BE998" s="1" t="s">
        <v>8703</v>
      </c>
      <c r="BF998" s="2" t="str">
        <f>HYPERLINK("http://dx.doi.org/10.1016/j.metrad.2024.100103","http://dx.doi.org/10.1016/j.metrad.2024.100103")</f>
        <v>http://dx.doi.org/10.1016/j.metrad.2024.100103</v>
      </c>
      <c r="BG998" s="1" t="s">
        <v>74</v>
      </c>
      <c r="BH998" s="1" t="s">
        <v>2216</v>
      </c>
      <c r="BI998" s="1" t="s">
        <v>74</v>
      </c>
      <c r="BJ998" s="1" t="s">
        <v>74</v>
      </c>
      <c r="BK998" s="1" t="s">
        <v>74</v>
      </c>
      <c r="BL998" s="1" t="s">
        <v>337</v>
      </c>
      <c r="BM998" s="1" t="s">
        <v>74</v>
      </c>
      <c r="BN998" s="1" t="s">
        <v>74</v>
      </c>
      <c r="BO998" s="1" t="s">
        <v>153</v>
      </c>
      <c r="BP998" s="1" t="s">
        <v>74</v>
      </c>
      <c r="BQ998" s="1" t="s">
        <v>74</v>
      </c>
      <c r="BR998" s="1" t="s">
        <v>74</v>
      </c>
      <c r="BS998" s="1" t="s">
        <v>8704</v>
      </c>
      <c r="BT998" s="1" t="str">
        <f>HYPERLINK("https%3A%2F%2Fwww.webofscience.com%2Fwos%2Fwoscc%2Ffull-record%2FWOS:001577798200001","View Full Record in Web of Science")</f>
        <v>View Full Record in Web of Science</v>
      </c>
    </row>
    <row r="999" ht="12.75" customHeight="1">
      <c r="A999" s="1" t="s">
        <v>72</v>
      </c>
      <c r="B999" s="1" t="s">
        <v>8705</v>
      </c>
      <c r="C999" s="1" t="s">
        <v>74</v>
      </c>
      <c r="D999" s="1" t="s">
        <v>74</v>
      </c>
      <c r="E999" s="1" t="s">
        <v>74</v>
      </c>
      <c r="F999" s="1" t="s">
        <v>8706</v>
      </c>
      <c r="G999" s="1" t="s">
        <v>74</v>
      </c>
      <c r="H999" s="1" t="s">
        <v>74</v>
      </c>
      <c r="I999" s="1" t="s">
        <v>8707</v>
      </c>
      <c r="J999" s="1" t="s">
        <v>3936</v>
      </c>
      <c r="K999" s="1" t="s">
        <v>74</v>
      </c>
      <c r="L999" s="1" t="s">
        <v>74</v>
      </c>
      <c r="M999" s="1" t="s">
        <v>74</v>
      </c>
      <c r="N999" s="1" t="s">
        <v>78</v>
      </c>
      <c r="O999" s="1" t="s">
        <v>74</v>
      </c>
      <c r="P999" s="1" t="s">
        <v>74</v>
      </c>
      <c r="Q999" s="1" t="s">
        <v>74</v>
      </c>
      <c r="R999" s="1" t="s">
        <v>74</v>
      </c>
      <c r="S999" s="1" t="s">
        <v>74</v>
      </c>
      <c r="T999" s="1" t="s">
        <v>8708</v>
      </c>
      <c r="U999" s="1" t="s">
        <v>8709</v>
      </c>
      <c r="V999" s="1" t="s">
        <v>8710</v>
      </c>
      <c r="W999" s="1" t="s">
        <v>74</v>
      </c>
      <c r="X999" s="1" t="s">
        <v>74</v>
      </c>
      <c r="Y999" s="1" t="s">
        <v>74</v>
      </c>
      <c r="Z999" s="1" t="s">
        <v>74</v>
      </c>
      <c r="AA999" s="1" t="s">
        <v>74</v>
      </c>
      <c r="AB999" s="1" t="s">
        <v>74</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3939</v>
      </c>
      <c r="AP999" s="1" t="s">
        <v>3940</v>
      </c>
      <c r="AQ999" s="1" t="s">
        <v>74</v>
      </c>
      <c r="AR999" s="1" t="s">
        <v>74</v>
      </c>
      <c r="AS999" s="1" t="s">
        <v>74</v>
      </c>
      <c r="AT999" s="1" t="s">
        <v>8711</v>
      </c>
      <c r="AU999" s="1">
        <v>2025.0</v>
      </c>
      <c r="AV999" s="1">
        <v>11.0</v>
      </c>
      <c r="AW999" s="1">
        <v>9.0</v>
      </c>
      <c r="AX999" s="1" t="s">
        <v>74</v>
      </c>
      <c r="AY999" s="1" t="s">
        <v>74</v>
      </c>
      <c r="AZ999" s="1" t="s">
        <v>74</v>
      </c>
      <c r="BA999" s="1" t="s">
        <v>74</v>
      </c>
      <c r="BB999" s="1" t="s">
        <v>74</v>
      </c>
      <c r="BC999" s="1" t="s">
        <v>74</v>
      </c>
      <c r="BD999" s="1">
        <v>399.0</v>
      </c>
      <c r="BE999" s="1" t="s">
        <v>8712</v>
      </c>
      <c r="BF999" s="2" t="str">
        <f>HYPERLINK("http://dx.doi.org/10.1007/s40747-025-02027-z","http://dx.doi.org/10.1007/s40747-025-02027-z")</f>
        <v>http://dx.doi.org/10.1007/s40747-025-02027-z</v>
      </c>
      <c r="BG999" s="1" t="s">
        <v>74</v>
      </c>
      <c r="BH999" s="1" t="s">
        <v>74</v>
      </c>
      <c r="BI999" s="1" t="s">
        <v>74</v>
      </c>
      <c r="BJ999" s="1" t="s">
        <v>74</v>
      </c>
      <c r="BK999" s="1" t="s">
        <v>74</v>
      </c>
      <c r="BL999" s="1" t="s">
        <v>174</v>
      </c>
      <c r="BM999" s="1" t="s">
        <v>74</v>
      </c>
      <c r="BN999" s="1" t="s">
        <v>74</v>
      </c>
      <c r="BO999" s="1" t="s">
        <v>163</v>
      </c>
      <c r="BP999" s="1" t="s">
        <v>74</v>
      </c>
      <c r="BQ999" s="1" t="s">
        <v>74</v>
      </c>
      <c r="BR999" s="1" t="s">
        <v>74</v>
      </c>
      <c r="BS999" s="1" t="s">
        <v>8713</v>
      </c>
      <c r="BT999" s="1" t="str">
        <f>HYPERLINK("https%3A%2F%2Fwww.webofscience.com%2Fwos%2Fwoscc%2Ffull-record%2FWOS:001537300400005","View Full Record in Web of Science")</f>
        <v>View Full Record in Web of Science</v>
      </c>
    </row>
    <row r="1000" ht="12.75" customHeight="1">
      <c r="A1000" s="1" t="s">
        <v>72</v>
      </c>
      <c r="B1000" s="1" t="s">
        <v>8714</v>
      </c>
      <c r="C1000" s="1" t="s">
        <v>74</v>
      </c>
      <c r="D1000" s="1" t="s">
        <v>74</v>
      </c>
      <c r="E1000" s="1" t="s">
        <v>74</v>
      </c>
      <c r="F1000" s="1" t="s">
        <v>8715</v>
      </c>
      <c r="G1000" s="1" t="s">
        <v>74</v>
      </c>
      <c r="H1000" s="1" t="s">
        <v>74</v>
      </c>
      <c r="I1000" s="1" t="s">
        <v>8716</v>
      </c>
      <c r="J1000" s="1" t="s">
        <v>1272</v>
      </c>
      <c r="K1000" s="1" t="s">
        <v>74</v>
      </c>
      <c r="L1000" s="1" t="s">
        <v>74</v>
      </c>
      <c r="M1000" s="1" t="s">
        <v>74</v>
      </c>
      <c r="N1000" s="1" t="s">
        <v>78</v>
      </c>
      <c r="O1000" s="1" t="s">
        <v>74</v>
      </c>
      <c r="P1000" s="1" t="s">
        <v>74</v>
      </c>
      <c r="Q1000" s="1" t="s">
        <v>74</v>
      </c>
      <c r="R1000" s="1" t="s">
        <v>74</v>
      </c>
      <c r="S1000" s="1" t="s">
        <v>74</v>
      </c>
      <c r="T1000" s="1" t="s">
        <v>8717</v>
      </c>
      <c r="U1000" s="1" t="s">
        <v>8718</v>
      </c>
      <c r="V1000" s="1" t="s">
        <v>8719</v>
      </c>
      <c r="W1000" s="1" t="s">
        <v>74</v>
      </c>
      <c r="X1000" s="1" t="s">
        <v>74</v>
      </c>
      <c r="Y1000" s="1" t="s">
        <v>74</v>
      </c>
      <c r="Z1000" s="1" t="s">
        <v>74</v>
      </c>
      <c r="AA1000" s="1" t="s">
        <v>74</v>
      </c>
      <c r="AB1000" s="1" t="s">
        <v>74</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1276</v>
      </c>
      <c r="AP1000" s="1" t="s">
        <v>1277</v>
      </c>
      <c r="AQ1000" s="1" t="s">
        <v>74</v>
      </c>
      <c r="AR1000" s="1" t="s">
        <v>74</v>
      </c>
      <c r="AS1000" s="1" t="s">
        <v>74</v>
      </c>
      <c r="AT1000" s="1" t="s">
        <v>8720</v>
      </c>
      <c r="AU1000" s="1">
        <v>2025.0</v>
      </c>
      <c r="AV1000" s="1">
        <v>81.0</v>
      </c>
      <c r="AW1000" s="1">
        <v>4.0</v>
      </c>
      <c r="AX1000" s="1" t="s">
        <v>74</v>
      </c>
      <c r="AY1000" s="1" t="s">
        <v>74</v>
      </c>
      <c r="AZ1000" s="1" t="s">
        <v>74</v>
      </c>
      <c r="BA1000" s="1" t="s">
        <v>74</v>
      </c>
      <c r="BB1000" s="1" t="s">
        <v>74</v>
      </c>
      <c r="BC1000" s="1" t="s">
        <v>74</v>
      </c>
      <c r="BD1000" s="1">
        <v>569.0</v>
      </c>
      <c r="BE1000" s="1" t="s">
        <v>8721</v>
      </c>
      <c r="BF1000" s="2" t="str">
        <f>HYPERLINK("http://dx.doi.org/10.1007/s11227-025-07008-0","http://dx.doi.org/10.1007/s11227-025-07008-0")</f>
        <v>http://dx.doi.org/10.1007/s11227-025-07008-0</v>
      </c>
      <c r="BG1000" s="1" t="s">
        <v>74</v>
      </c>
      <c r="BH1000" s="1" t="s">
        <v>74</v>
      </c>
      <c r="BI1000" s="1" t="s">
        <v>74</v>
      </c>
      <c r="BJ1000" s="1" t="s">
        <v>74</v>
      </c>
      <c r="BK1000" s="1" t="s">
        <v>74</v>
      </c>
      <c r="BL1000" s="1" t="s">
        <v>98</v>
      </c>
      <c r="BM1000" s="1" t="s">
        <v>74</v>
      </c>
      <c r="BN1000" s="1" t="s">
        <v>74</v>
      </c>
      <c r="BO1000" s="1" t="s">
        <v>74</v>
      </c>
      <c r="BP1000" s="1" t="s">
        <v>74</v>
      </c>
      <c r="BQ1000" s="1" t="s">
        <v>74</v>
      </c>
      <c r="BR1000" s="1" t="s">
        <v>74</v>
      </c>
      <c r="BS1000" s="1" t="s">
        <v>8722</v>
      </c>
      <c r="BT1000" s="1" t="str">
        <f>HYPERLINK("https%3A%2F%2Fwww.webofscience.com%2Fwos%2Fwoscc%2Ffull-record%2FWOS:001436275700010","View Full Record in Web of Science")</f>
        <v>View Full Record in Web of Science</v>
      </c>
    </row>
    <row r="1001" ht="12.75" customHeight="1">
      <c r="A1001" s="1" t="s">
        <v>72</v>
      </c>
      <c r="B1001" s="1" t="s">
        <v>8723</v>
      </c>
      <c r="C1001" s="1" t="s">
        <v>74</v>
      </c>
      <c r="D1001" s="1" t="s">
        <v>74</v>
      </c>
      <c r="E1001" s="1" t="s">
        <v>74</v>
      </c>
      <c r="F1001" s="1" t="s">
        <v>8724</v>
      </c>
      <c r="G1001" s="1" t="s">
        <v>74</v>
      </c>
      <c r="H1001" s="1" t="s">
        <v>74</v>
      </c>
      <c r="I1001" s="1" t="s">
        <v>8725</v>
      </c>
      <c r="J1001" s="1" t="s">
        <v>816</v>
      </c>
      <c r="K1001" s="1" t="s">
        <v>74</v>
      </c>
      <c r="L1001" s="1" t="s">
        <v>74</v>
      </c>
      <c r="M1001" s="1" t="s">
        <v>74</v>
      </c>
      <c r="N1001" s="1" t="s">
        <v>78</v>
      </c>
      <c r="O1001" s="1" t="s">
        <v>74</v>
      </c>
      <c r="P1001" s="1" t="s">
        <v>74</v>
      </c>
      <c r="Q1001" s="1" t="s">
        <v>74</v>
      </c>
      <c r="R1001" s="1" t="s">
        <v>74</v>
      </c>
      <c r="S1001" s="1" t="s">
        <v>74</v>
      </c>
      <c r="T1001" s="1" t="s">
        <v>8726</v>
      </c>
      <c r="U1001" s="1" t="s">
        <v>2364</v>
      </c>
      <c r="V1001" s="1" t="s">
        <v>8727</v>
      </c>
      <c r="W1001" s="1" t="s">
        <v>74</v>
      </c>
      <c r="X1001" s="1" t="s">
        <v>74</v>
      </c>
      <c r="Y1001" s="1" t="s">
        <v>74</v>
      </c>
      <c r="Z1001" s="1" t="s">
        <v>74</v>
      </c>
      <c r="AA1001" s="1" t="s">
        <v>74</v>
      </c>
      <c r="AB1001" s="1" t="s">
        <v>74</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820</v>
      </c>
      <c r="AP1001" s="1" t="s">
        <v>821</v>
      </c>
      <c r="AQ1001" s="1" t="s">
        <v>74</v>
      </c>
      <c r="AR1001" s="1" t="s">
        <v>74</v>
      </c>
      <c r="AS1001" s="1" t="s">
        <v>74</v>
      </c>
      <c r="AT1001" s="1" t="s">
        <v>172</v>
      </c>
      <c r="AU1001" s="1">
        <v>2025.0</v>
      </c>
      <c r="AV1001" s="1">
        <v>171.0</v>
      </c>
      <c r="AW1001" s="1" t="s">
        <v>74</v>
      </c>
      <c r="AX1001" s="1" t="s">
        <v>74</v>
      </c>
      <c r="AY1001" s="1" t="s">
        <v>74</v>
      </c>
      <c r="AZ1001" s="1" t="s">
        <v>74</v>
      </c>
      <c r="BA1001" s="1" t="s">
        <v>74</v>
      </c>
      <c r="BB1001" s="1" t="s">
        <v>74</v>
      </c>
      <c r="BC1001" s="1" t="s">
        <v>74</v>
      </c>
      <c r="BD1001" s="1">
        <v>104927.0</v>
      </c>
      <c r="BE1001" s="1" t="s">
        <v>8728</v>
      </c>
      <c r="BF1001" s="2" t="str">
        <f>HYPERLINK("http://dx.doi.org/10.1016/j.jbi.2025.104927","http://dx.doi.org/10.1016/j.jbi.2025.104927")</f>
        <v>http://dx.doi.org/10.1016/j.jbi.2025.104927</v>
      </c>
      <c r="BG1001" s="1" t="s">
        <v>74</v>
      </c>
      <c r="BH1001" s="1" t="s">
        <v>811</v>
      </c>
      <c r="BI1001" s="1" t="s">
        <v>74</v>
      </c>
      <c r="BJ1001" s="1" t="s">
        <v>74</v>
      </c>
      <c r="BK1001" s="1" t="s">
        <v>74</v>
      </c>
      <c r="BL1001" s="1" t="s">
        <v>823</v>
      </c>
      <c r="BM1001" s="1" t="s">
        <v>74</v>
      </c>
      <c r="BN1001" s="1" t="s">
        <v>74</v>
      </c>
      <c r="BO1001" s="1" t="s">
        <v>74</v>
      </c>
      <c r="BP1001" s="1" t="s">
        <v>74</v>
      </c>
      <c r="BQ1001" s="1" t="s">
        <v>74</v>
      </c>
      <c r="BR1001" s="1" t="s">
        <v>74</v>
      </c>
      <c r="BS1001" s="1" t="s">
        <v>8729</v>
      </c>
      <c r="BT1001" s="1" t="str">
        <f>HYPERLINK("https%3A%2F%2Fwww.webofscience.com%2Fwos%2Fwoscc%2Ffull-record%2FWOS:001604847200002","View Full Record in Web of Science")</f>
        <v>View Full Record in Web of Science</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